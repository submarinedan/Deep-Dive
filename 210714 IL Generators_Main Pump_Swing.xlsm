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embeddings/oleObject2.bin" ContentType="application/vnd.openxmlformats-officedocument.oleObject"/>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defaultThemeVersion="124226"/>
  <mc:AlternateContent xmlns:mc="http://schemas.openxmlformats.org/markup-compatibility/2006">
    <mc:Choice Requires="x15">
      <x15ac:absPath xmlns:x15ac="http://schemas.microsoft.com/office/spreadsheetml/2010/11/ac" url="C:\Users\TSFleming\Desktop\RAM Folder Tool\Dredge Illinois\IL Deep Dive 2021\"/>
    </mc:Choice>
  </mc:AlternateContent>
  <bookViews>
    <workbookView xWindow="0" yWindow="0" windowWidth="14370" windowHeight="11900" tabRatio="847" firstSheet="10" activeTab="16"/>
  </bookViews>
  <sheets>
    <sheet name="Table Of Contents - Order" sheetId="13" r:id="rId1"/>
    <sheet name="Pareto" sheetId="50" r:id="rId2"/>
    <sheet name="Delay Log Appendix A" sheetId="27" r:id="rId3"/>
    <sheet name="Data" sheetId="51" r:id="rId4"/>
    <sheet name="Gen System SJ" sheetId="29" r:id="rId5"/>
    <sheet name="Gen System Parts" sheetId="33" r:id="rId6"/>
    <sheet name="Swing System SJ" sheetId="30" r:id="rId7"/>
    <sheet name="Swing System Parts" sheetId="34" r:id="rId8"/>
    <sheet name="Main Pump System SJ" sheetId="41" r:id="rId9"/>
    <sheet name="Main Pump System Parts" sheetId="42" r:id="rId10"/>
    <sheet name="HYD DIV SJ BY SYSTEM" sheetId="52" r:id="rId11"/>
    <sheet name="HYD DIV Critical Parts by SYS" sheetId="53" r:id="rId12"/>
    <sheet name="MCIA Cases" sheetId="45" r:id="rId13"/>
    <sheet name="MCIA Root Causes" sheetId="46" r:id="rId14"/>
    <sheet name="MCIA CA" sheetId="47" r:id="rId15"/>
    <sheet name="Summary Recommendations" sheetId="36" r:id="rId16"/>
    <sheet name="Action Tab" sheetId="54" r:id="rId17"/>
  </sheets>
  <externalReferences>
    <externalReference r:id="rId18"/>
  </externalReferences>
  <definedNames>
    <definedName name="_xlnm._FilterDatabase" localSheetId="3" hidden="1">Data!$A$1:$R$62</definedName>
    <definedName name="_xlnm._FilterDatabase" localSheetId="14" hidden="1">'MCIA CA'!$A$1:$O$127</definedName>
    <definedName name="_xlnm._FilterDatabase" localSheetId="12" hidden="1">'MCIA Cases'!$A$1:$AF$48</definedName>
    <definedName name="_xlnm._FilterDatabase" localSheetId="13" hidden="1">'MCIA Root Causes'!$A$1:$F$124</definedName>
  </definedNames>
  <calcPr calcId="162913"/>
  <pivotCaches>
    <pivotCache cacheId="0" r:id="rId19"/>
    <pivotCache cacheId="1" r:id="rId20"/>
  </pivotCaches>
</workbook>
</file>

<file path=xl/calcChain.xml><?xml version="1.0" encoding="utf-8"?>
<calcChain xmlns="http://schemas.openxmlformats.org/spreadsheetml/2006/main">
  <c r="L3" i="53" l="1"/>
  <c r="M3" i="53"/>
  <c r="N3" i="53" s="1"/>
  <c r="L4" i="53"/>
  <c r="M4" i="53"/>
  <c r="L5" i="53"/>
  <c r="M5" i="53"/>
  <c r="L6" i="53"/>
  <c r="N6" i="53" s="1"/>
  <c r="M6" i="53"/>
  <c r="L7" i="53"/>
  <c r="M7" i="53"/>
  <c r="N7" i="53" s="1"/>
  <c r="V4" i="52"/>
  <c r="W4" i="52"/>
  <c r="V5" i="52"/>
  <c r="W5" i="52"/>
  <c r="V6" i="52"/>
  <c r="X6" i="52" s="1"/>
  <c r="W6" i="52"/>
  <c r="V7" i="52"/>
  <c r="W7" i="52"/>
  <c r="V8" i="52"/>
  <c r="W8" i="52"/>
  <c r="E39" i="52"/>
  <c r="H39" i="52"/>
  <c r="K39" i="52"/>
  <c r="N39" i="52"/>
  <c r="Q39" i="52"/>
  <c r="X5" i="52" l="1"/>
  <c r="N5" i="53"/>
  <c r="X8" i="52"/>
  <c r="X4" i="52"/>
  <c r="N4" i="53"/>
  <c r="X7" i="52"/>
  <c r="Y7" i="52" s="1"/>
  <c r="N9" i="53"/>
  <c r="Y8" i="52"/>
  <c r="Y6" i="52"/>
  <c r="Y5" i="52"/>
  <c r="Y4" i="52"/>
  <c r="Y10" i="52" l="1"/>
  <c r="AC63" i="51" l="1"/>
  <c r="M76" i="51"/>
  <c r="M77" i="51"/>
  <c r="M75" i="51"/>
  <c r="AB3" i="51"/>
  <c r="AB4" i="51"/>
  <c r="AB5" i="51"/>
  <c r="AB6" i="51"/>
  <c r="AB7" i="51"/>
  <c r="AB8" i="51"/>
  <c r="AB9" i="51"/>
  <c r="AB10" i="51"/>
  <c r="AB11" i="51"/>
  <c r="AB12" i="51"/>
  <c r="AB13" i="51"/>
  <c r="AB14" i="51"/>
  <c r="AB15" i="51"/>
  <c r="AB16" i="51"/>
  <c r="AB17" i="51"/>
  <c r="AB18" i="51"/>
  <c r="AB19" i="51"/>
  <c r="AB22" i="51"/>
  <c r="AB23" i="51"/>
  <c r="AB24" i="51"/>
  <c r="AB25" i="51"/>
  <c r="AB26" i="51"/>
  <c r="AB27" i="51"/>
  <c r="AB28" i="51"/>
  <c r="AB29" i="51"/>
  <c r="AB30" i="51"/>
  <c r="AB31" i="51"/>
  <c r="AB32" i="51"/>
  <c r="AB33" i="51"/>
  <c r="AB34" i="51"/>
  <c r="AB35" i="51"/>
  <c r="AB36" i="51"/>
  <c r="AB37" i="51"/>
  <c r="AB38" i="51"/>
  <c r="AB40" i="51"/>
  <c r="AB42" i="51"/>
  <c r="AB43" i="51"/>
  <c r="AB44" i="51"/>
  <c r="AB45" i="51"/>
  <c r="AB46" i="51"/>
  <c r="AB47" i="51"/>
  <c r="AB48" i="51"/>
  <c r="AB49" i="51"/>
  <c r="AB50" i="51"/>
  <c r="AB51" i="51"/>
  <c r="AB52" i="51"/>
  <c r="AB53" i="51"/>
  <c r="AB54" i="51"/>
  <c r="AB55" i="51"/>
  <c r="AB56" i="51"/>
  <c r="AB57" i="51"/>
  <c r="AB58" i="51"/>
  <c r="AB59" i="51"/>
  <c r="AB60" i="51"/>
  <c r="AB61" i="51"/>
  <c r="AB62" i="51"/>
  <c r="AB63" i="51"/>
  <c r="J77" i="51"/>
  <c r="J76" i="51"/>
  <c r="J75" i="51"/>
  <c r="J67" i="51" l="1"/>
  <c r="J68" i="51"/>
  <c r="J69" i="51"/>
  <c r="J73" i="51"/>
  <c r="K75" i="51"/>
  <c r="B9" i="13"/>
  <c r="K76" i="51"/>
  <c r="K77" i="51"/>
  <c r="K78" i="51"/>
  <c r="J71" i="51" l="1"/>
  <c r="J72" i="51" s="1"/>
  <c r="J78" i="51"/>
  <c r="W57" i="51" l="1"/>
  <c r="X57" i="51"/>
  <c r="Y57" i="51"/>
  <c r="W58" i="51"/>
  <c r="X58" i="51"/>
  <c r="Y58" i="51"/>
  <c r="W59" i="51"/>
  <c r="X59" i="51"/>
  <c r="Y59" i="51"/>
  <c r="W60" i="51"/>
  <c r="X60" i="51"/>
  <c r="Y60" i="51"/>
  <c r="W61" i="51"/>
  <c r="X61" i="51"/>
  <c r="Y61" i="51"/>
  <c r="W62" i="51"/>
  <c r="X62" i="51"/>
  <c r="Y62" i="51"/>
  <c r="W63" i="51"/>
  <c r="X63" i="51"/>
  <c r="Y63" i="51"/>
  <c r="Z58" i="51" l="1"/>
  <c r="Z63" i="51"/>
  <c r="Z57" i="51"/>
  <c r="Z60" i="51"/>
  <c r="Z62" i="51"/>
  <c r="Z59" i="51"/>
  <c r="Z61" i="51"/>
  <c r="K61" i="51" l="1"/>
  <c r="L61" i="51"/>
  <c r="AC61" i="51" s="1"/>
  <c r="K59" i="51"/>
  <c r="L59" i="51"/>
  <c r="AC59" i="51" s="1"/>
  <c r="K57" i="51"/>
  <c r="L57" i="51"/>
  <c r="AC57" i="51" s="1"/>
  <c r="K60" i="51"/>
  <c r="L60" i="51"/>
  <c r="AC60" i="51" s="1"/>
  <c r="AC31" i="51"/>
  <c r="AC42" i="51"/>
  <c r="AC3" i="51"/>
  <c r="AC10" i="51"/>
  <c r="AC11" i="51"/>
  <c r="AC22" i="51"/>
  <c r="AC23" i="51"/>
  <c r="AC24" i="51"/>
  <c r="AC25" i="51"/>
  <c r="AC29" i="51"/>
  <c r="AC30" i="51"/>
  <c r="AB2" i="51"/>
  <c r="W36" i="51"/>
  <c r="X36" i="51"/>
  <c r="Y36" i="51"/>
  <c r="W35" i="51"/>
  <c r="X35" i="51"/>
  <c r="Y35" i="51"/>
  <c r="O76" i="51" l="1"/>
  <c r="O77" i="51"/>
  <c r="O75" i="51"/>
  <c r="Z36" i="51"/>
  <c r="Z35" i="51"/>
  <c r="M78" i="51" l="1"/>
  <c r="K35" i="51"/>
  <c r="L35" i="51"/>
  <c r="AC35" i="51" s="1"/>
  <c r="O78" i="51"/>
  <c r="A72" i="36" s="1"/>
  <c r="A47" i="36"/>
  <c r="A33" i="36"/>
  <c r="A19" i="36"/>
  <c r="W3" i="51"/>
  <c r="X3" i="51"/>
  <c r="Y3" i="51"/>
  <c r="W4" i="51"/>
  <c r="X4" i="51"/>
  <c r="Y4" i="51"/>
  <c r="W5" i="51"/>
  <c r="X5" i="51"/>
  <c r="Y5" i="51"/>
  <c r="W6" i="51"/>
  <c r="X6" i="51"/>
  <c r="Y6" i="51"/>
  <c r="W7" i="51"/>
  <c r="X7" i="51"/>
  <c r="Y7" i="51"/>
  <c r="W8" i="51"/>
  <c r="X8" i="51"/>
  <c r="Y8" i="51"/>
  <c r="W9" i="51"/>
  <c r="X9" i="51"/>
  <c r="Y9" i="51"/>
  <c r="W10" i="51"/>
  <c r="X10" i="51"/>
  <c r="Y10" i="51"/>
  <c r="W11" i="51"/>
  <c r="X11" i="51"/>
  <c r="Y11" i="51"/>
  <c r="W12" i="51"/>
  <c r="X12" i="51"/>
  <c r="Y12" i="51"/>
  <c r="W13" i="51"/>
  <c r="X13" i="51"/>
  <c r="Y13" i="51"/>
  <c r="W14" i="51"/>
  <c r="X14" i="51"/>
  <c r="Y14" i="51"/>
  <c r="W15" i="51"/>
  <c r="X15" i="51"/>
  <c r="Y15" i="51"/>
  <c r="W16" i="51"/>
  <c r="X16" i="51"/>
  <c r="Y16" i="51"/>
  <c r="W17" i="51"/>
  <c r="X17" i="51"/>
  <c r="Y17" i="51"/>
  <c r="W18" i="51"/>
  <c r="X18" i="51"/>
  <c r="Y18" i="51"/>
  <c r="W19" i="51"/>
  <c r="X19" i="51"/>
  <c r="Y19" i="51"/>
  <c r="W22" i="51"/>
  <c r="X22" i="51"/>
  <c r="Y22" i="51"/>
  <c r="W23" i="51"/>
  <c r="X23" i="51"/>
  <c r="Y23" i="51"/>
  <c r="W24" i="51"/>
  <c r="X24" i="51"/>
  <c r="Y24" i="51"/>
  <c r="W25" i="51"/>
  <c r="X25" i="51"/>
  <c r="Y25" i="51"/>
  <c r="W26" i="51"/>
  <c r="X26" i="51"/>
  <c r="Y26" i="51"/>
  <c r="W27" i="51"/>
  <c r="X27" i="51"/>
  <c r="Y27" i="51"/>
  <c r="W28" i="51"/>
  <c r="X28" i="51"/>
  <c r="Y28" i="51"/>
  <c r="W29" i="51"/>
  <c r="X29" i="51"/>
  <c r="Y29" i="51"/>
  <c r="W31" i="51"/>
  <c r="X31" i="51"/>
  <c r="Y31" i="51"/>
  <c r="W32" i="51"/>
  <c r="X32" i="51"/>
  <c r="Y32" i="51"/>
  <c r="W33" i="51"/>
  <c r="X33" i="51"/>
  <c r="Y33" i="51"/>
  <c r="W34" i="51"/>
  <c r="X34" i="51"/>
  <c r="Y34" i="51"/>
  <c r="W37" i="51"/>
  <c r="X37" i="51"/>
  <c r="Y37" i="51"/>
  <c r="W38" i="51"/>
  <c r="X38" i="51"/>
  <c r="Y38" i="51"/>
  <c r="W40" i="51"/>
  <c r="X40" i="51"/>
  <c r="Y40" i="51"/>
  <c r="W42" i="51"/>
  <c r="X42" i="51"/>
  <c r="Y42" i="51"/>
  <c r="W43" i="51"/>
  <c r="X43" i="51"/>
  <c r="Y43" i="51"/>
  <c r="W44" i="51"/>
  <c r="X44" i="51"/>
  <c r="Y44" i="51"/>
  <c r="W45" i="51"/>
  <c r="X45" i="51"/>
  <c r="Y45" i="51"/>
  <c r="W46" i="51"/>
  <c r="X46" i="51"/>
  <c r="Y46" i="51"/>
  <c r="W47" i="51"/>
  <c r="X47" i="51"/>
  <c r="Y47" i="51"/>
  <c r="W48" i="51"/>
  <c r="X48" i="51"/>
  <c r="Y48" i="51"/>
  <c r="W49" i="51"/>
  <c r="X49" i="51"/>
  <c r="Y49" i="51"/>
  <c r="W50" i="51"/>
  <c r="X50" i="51"/>
  <c r="Y50" i="51"/>
  <c r="W51" i="51"/>
  <c r="X51" i="51"/>
  <c r="Y51" i="51"/>
  <c r="W52" i="51"/>
  <c r="X52" i="51"/>
  <c r="Y52" i="51"/>
  <c r="W53" i="51"/>
  <c r="X53" i="51"/>
  <c r="Y53" i="51"/>
  <c r="W54" i="51"/>
  <c r="X54" i="51"/>
  <c r="Y54" i="51"/>
  <c r="W55" i="51"/>
  <c r="X55" i="51"/>
  <c r="Y55" i="51"/>
  <c r="W56" i="51"/>
  <c r="X56" i="51"/>
  <c r="Y56" i="51"/>
  <c r="Y2" i="51"/>
  <c r="X2" i="51"/>
  <c r="W2" i="51"/>
  <c r="B12" i="13"/>
  <c r="B6" i="13"/>
  <c r="A66" i="36"/>
  <c r="A65" i="36" l="1"/>
  <c r="Z51" i="51"/>
  <c r="Z43" i="51"/>
  <c r="Z33" i="51"/>
  <c r="Z22" i="51"/>
  <c r="Z12" i="51"/>
  <c r="Z4" i="51"/>
  <c r="Z2" i="51"/>
  <c r="A4" i="36"/>
  <c r="Z52" i="51"/>
  <c r="Z44" i="51"/>
  <c r="Z40" i="51"/>
  <c r="Z34" i="51"/>
  <c r="Z31" i="51"/>
  <c r="Z23" i="51"/>
  <c r="Z18" i="51"/>
  <c r="Z13" i="51"/>
  <c r="Z5" i="51"/>
  <c r="A2" i="36"/>
  <c r="Z49" i="51"/>
  <c r="Z28" i="51"/>
  <c r="Z10" i="51"/>
  <c r="Z53" i="51"/>
  <c r="Z45" i="51"/>
  <c r="Z55" i="51"/>
  <c r="Z47" i="51"/>
  <c r="Z37" i="51"/>
  <c r="Z26" i="51"/>
  <c r="Z16" i="51"/>
  <c r="Z8" i="51"/>
  <c r="Z54" i="51"/>
  <c r="Z46" i="51"/>
  <c r="Z25" i="51"/>
  <c r="Z15" i="51"/>
  <c r="Z7" i="51"/>
  <c r="A63" i="36"/>
  <c r="A12" i="36"/>
  <c r="A8" i="36"/>
  <c r="Z56" i="51"/>
  <c r="Z50" i="51"/>
  <c r="Z48" i="51"/>
  <c r="Z42" i="51"/>
  <c r="Z38" i="51"/>
  <c r="Z32" i="51"/>
  <c r="Z29" i="51"/>
  <c r="Z27" i="51"/>
  <c r="Z19" i="51"/>
  <c r="Z17" i="51"/>
  <c r="Z11" i="51"/>
  <c r="Z9" i="51"/>
  <c r="Z3" i="51"/>
  <c r="Z24" i="51"/>
  <c r="Z14" i="51"/>
  <c r="Z6" i="51"/>
  <c r="A64" i="36"/>
  <c r="A13" i="36" l="1"/>
  <c r="A9" i="36"/>
  <c r="A5" i="36"/>
  <c r="K17" i="51"/>
  <c r="L17" i="51"/>
  <c r="AC17" i="51" s="1"/>
  <c r="K45" i="51"/>
  <c r="L45" i="51"/>
  <c r="AC45" i="51" s="1"/>
  <c r="K18" i="51"/>
  <c r="L18" i="51"/>
  <c r="AC18" i="51" s="1"/>
  <c r="L2" i="51"/>
  <c r="AC2" i="51" s="1"/>
  <c r="K2" i="51"/>
  <c r="K54" i="51"/>
  <c r="L54" i="51"/>
  <c r="AC54" i="51" s="1"/>
  <c r="L4" i="51"/>
  <c r="AC4" i="51" s="1"/>
  <c r="K4" i="51"/>
  <c r="L28" i="51"/>
  <c r="AC28" i="51" s="1"/>
  <c r="K28" i="51"/>
  <c r="K34" i="51"/>
  <c r="L34" i="51"/>
  <c r="AC34" i="51" s="1"/>
  <c r="K7" i="51"/>
  <c r="L7" i="51"/>
  <c r="AC7" i="51" s="1"/>
  <c r="K37" i="51"/>
  <c r="L37" i="51"/>
  <c r="AC37" i="51" s="1"/>
  <c r="K52" i="51"/>
  <c r="L52" i="51"/>
  <c r="AC52" i="51" s="1"/>
  <c r="K51" i="51"/>
  <c r="L51" i="51"/>
  <c r="AC51" i="51" s="1"/>
  <c r="AC46" i="51"/>
  <c r="AC49" i="51"/>
  <c r="AC44" i="51"/>
  <c r="AC33" i="51"/>
  <c r="AC5" i="51"/>
  <c r="AC43" i="51"/>
  <c r="AC38" i="51"/>
  <c r="AC8" i="51"/>
  <c r="AC55" i="51"/>
  <c r="AC9" i="51"/>
  <c r="AC27" i="51"/>
  <c r="AC48" i="51"/>
  <c r="AC26" i="51"/>
  <c r="AC6" i="51"/>
  <c r="AC19" i="51"/>
  <c r="AC12" i="51"/>
  <c r="P77" i="51" l="1"/>
  <c r="P76" i="51"/>
  <c r="P75" i="51"/>
  <c r="P78" i="51" l="1"/>
  <c r="A67" i="36" s="1"/>
</calcChain>
</file>

<file path=xl/sharedStrings.xml><?xml version="1.0" encoding="utf-8"?>
<sst xmlns="http://schemas.openxmlformats.org/spreadsheetml/2006/main" count="6196" uniqueCount="1528">
  <si>
    <t>Date</t>
  </si>
  <si>
    <t>Hours</t>
  </si>
  <si>
    <t>System</t>
  </si>
  <si>
    <t>Delay Log Notes</t>
  </si>
  <si>
    <t>N/A</t>
  </si>
  <si>
    <t>Pareto with top 20 % of Delays by hrs</t>
  </si>
  <si>
    <t>MCIA</t>
  </si>
  <si>
    <t>Year</t>
  </si>
  <si>
    <t>Vessel</t>
  </si>
  <si>
    <t>Division</t>
  </si>
  <si>
    <t>Subsystem</t>
  </si>
  <si>
    <t>Work Order</t>
  </si>
  <si>
    <t>None</t>
  </si>
  <si>
    <t>Parts</t>
  </si>
  <si>
    <t>MIN/MAX</t>
  </si>
  <si>
    <t>SJ</t>
  </si>
  <si>
    <t>WO Findings</t>
  </si>
  <si>
    <t>Click to Open</t>
  </si>
  <si>
    <t>Recommendations:</t>
  </si>
  <si>
    <t>Summary:</t>
  </si>
  <si>
    <t>Date-Range Start:</t>
  </si>
  <si>
    <t>Date-Range Stop:</t>
  </si>
  <si>
    <t>Category</t>
  </si>
  <si>
    <t>Subcategory</t>
  </si>
  <si>
    <t>Combined</t>
  </si>
  <si>
    <t>Count</t>
  </si>
  <si>
    <t>% Total</t>
  </si>
  <si>
    <t xml:space="preserve"> </t>
  </si>
  <si>
    <t/>
  </si>
  <si>
    <t>Total Incidents / Delay Hours</t>
  </si>
  <si>
    <t>Mechanical</t>
  </si>
  <si>
    <t>Other Observations:</t>
  </si>
  <si>
    <t>Summary/Recomendations By System</t>
  </si>
  <si>
    <t>WO Title</t>
  </si>
  <si>
    <t>Case ID</t>
  </si>
  <si>
    <t>Case Title</t>
  </si>
  <si>
    <t>Scribe</t>
  </si>
  <si>
    <t>Case Type</t>
  </si>
  <si>
    <t>Operating Division</t>
  </si>
  <si>
    <t>Project</t>
  </si>
  <si>
    <t>OSHA Number</t>
  </si>
  <si>
    <t>Incident Outcome</t>
  </si>
  <si>
    <t>MCIA Date</t>
  </si>
  <si>
    <t>Case Status</t>
  </si>
  <si>
    <t>Prop Number</t>
  </si>
  <si>
    <t>Alternate Scribe</t>
  </si>
  <si>
    <t>Lead Contact</t>
  </si>
  <si>
    <t>Executive Review Team</t>
  </si>
  <si>
    <t>Date of Incident</t>
  </si>
  <si>
    <t>Time of Incident</t>
  </si>
  <si>
    <t>Location of Incident</t>
  </si>
  <si>
    <t>Incident Type</t>
  </si>
  <si>
    <t>JSA Review</t>
  </si>
  <si>
    <t>Job Site</t>
  </si>
  <si>
    <t>Operation Underway</t>
  </si>
  <si>
    <t>Job Task Underway</t>
  </si>
  <si>
    <t>Weather</t>
  </si>
  <si>
    <t>Supervisor</t>
  </si>
  <si>
    <t>Crew Configuration</t>
  </si>
  <si>
    <t>Plant Number</t>
  </si>
  <si>
    <t>Vessel Name</t>
  </si>
  <si>
    <t>Vessel / Equipment</t>
  </si>
  <si>
    <t>Tools / Materials</t>
  </si>
  <si>
    <t>Barriers that Worked</t>
  </si>
  <si>
    <t>Barriers that Failed</t>
  </si>
  <si>
    <t>Recovery Factors Summary</t>
  </si>
  <si>
    <t>Complete</t>
  </si>
  <si>
    <t>Dredge</t>
  </si>
  <si>
    <t>Mechanical Breakdown</t>
  </si>
  <si>
    <t>No</t>
  </si>
  <si>
    <t>Project - Dredge</t>
  </si>
  <si>
    <t>In Process</t>
  </si>
  <si>
    <t>Sunny</t>
  </si>
  <si>
    <t>Stop Work</t>
  </si>
  <si>
    <t>0800</t>
  </si>
  <si>
    <t>Cloudy</t>
  </si>
  <si>
    <t>Mechanical - PM Plan</t>
  </si>
  <si>
    <t>Other</t>
  </si>
  <si>
    <t>Armand F Riehl</t>
  </si>
  <si>
    <t>Dark</t>
  </si>
  <si>
    <t>PTP - Pre-Task Planning</t>
  </si>
  <si>
    <t>Mechanical - Material Specs</t>
  </si>
  <si>
    <t>In Progress</t>
  </si>
  <si>
    <t>Root Cause</t>
  </si>
  <si>
    <t>Contributing Factor</t>
  </si>
  <si>
    <t>Equipment/Tools/Materials</t>
  </si>
  <si>
    <t>Supervisory</t>
  </si>
  <si>
    <t>Rules/ Regulations/ Procedures</t>
  </si>
  <si>
    <t>Equipment/Tools Operation</t>
  </si>
  <si>
    <t>Work Space/Environment</t>
  </si>
  <si>
    <t>Rules/Regulations/Procedures</t>
  </si>
  <si>
    <t>Work Space Design</t>
  </si>
  <si>
    <t>Operator/Individual(s)</t>
  </si>
  <si>
    <t>On-site Work Group</t>
  </si>
  <si>
    <t>Corrective Action</t>
  </si>
  <si>
    <t>Responsible Party</t>
  </si>
  <si>
    <t>Verification Manager</t>
  </si>
  <si>
    <t>Due Date</t>
  </si>
  <si>
    <t>Pilot Status</t>
  </si>
  <si>
    <t>Priority</t>
  </si>
  <si>
    <t>Roll Out Sites</t>
  </si>
  <si>
    <t>Roll Out Status</t>
  </si>
  <si>
    <t>Validated</t>
  </si>
  <si>
    <t>Authenticated</t>
  </si>
  <si>
    <t>CA Incident Prevention Confirmed</t>
  </si>
  <si>
    <t>Local Only</t>
  </si>
  <si>
    <t>100% complete</t>
  </si>
  <si>
    <t>Yes</t>
  </si>
  <si>
    <t>High</t>
  </si>
  <si>
    <t>Medium</t>
  </si>
  <si>
    <t>Bill Baumann</t>
  </si>
  <si>
    <t>Not Started</t>
  </si>
  <si>
    <t>Low</t>
  </si>
  <si>
    <t>Testing Underway</t>
  </si>
  <si>
    <t xml:space="preserve">QTY  </t>
  </si>
  <si>
    <t>Part Name</t>
  </si>
  <si>
    <t>Part Number</t>
  </si>
  <si>
    <t>NA</t>
  </si>
  <si>
    <t>Total</t>
  </si>
  <si>
    <r>
      <t>1.</t>
    </r>
    <r>
      <rPr>
        <sz val="7"/>
        <color rgb="FFC00000"/>
        <rFont val="Times New Roman"/>
        <family val="1"/>
      </rPr>
      <t xml:space="preserve">       </t>
    </r>
    <r>
      <rPr>
        <sz val="11"/>
        <color rgb="FFC00000"/>
        <rFont val="Calibri"/>
        <family val="2"/>
        <scheme val="minor"/>
      </rPr>
      <t>Are we using the System correctly (within specified OEM parameters and environmental conditions)?</t>
    </r>
  </si>
  <si>
    <r>
      <t>2.</t>
    </r>
    <r>
      <rPr>
        <sz val="7"/>
        <color rgb="FFC00000"/>
        <rFont val="Times New Roman"/>
        <family val="1"/>
      </rPr>
      <t xml:space="preserve">       </t>
    </r>
    <r>
      <rPr>
        <sz val="11"/>
        <color rgb="FFC00000"/>
        <rFont val="Calibri"/>
        <family val="2"/>
        <scheme val="minor"/>
      </rPr>
      <t>Is the System engineered for how the vessel requires the System to function?</t>
    </r>
  </si>
  <si>
    <r>
      <t>3.</t>
    </r>
    <r>
      <rPr>
        <sz val="7"/>
        <color rgb="FFC00000"/>
        <rFont val="Times New Roman"/>
        <family val="1"/>
      </rPr>
      <t xml:space="preserve">       </t>
    </r>
    <r>
      <rPr>
        <sz val="11"/>
        <color rgb="FFC00000"/>
        <rFont val="Calibri"/>
        <family val="2"/>
        <scheme val="minor"/>
      </rPr>
      <t>Do we have to right parts in place for use, and lead time to acquire spares for future failure(s)?</t>
    </r>
  </si>
  <si>
    <r>
      <t>4.</t>
    </r>
    <r>
      <rPr>
        <sz val="7"/>
        <color rgb="FFC00000"/>
        <rFont val="Times New Roman"/>
        <family val="1"/>
      </rPr>
      <t xml:space="preserve">       </t>
    </r>
    <r>
      <rPr>
        <sz val="11"/>
        <color rgb="FFC00000"/>
        <rFont val="Calibri"/>
        <family val="2"/>
        <scheme val="minor"/>
      </rPr>
      <t>Does the Standard Job adequately address the failure(s) seen?</t>
    </r>
  </si>
  <si>
    <t>0230</t>
  </si>
  <si>
    <t>In Transition</t>
  </si>
  <si>
    <t>James C Gillespie</t>
  </si>
  <si>
    <t>Ready for Review</t>
  </si>
  <si>
    <t>Mob/Demob</t>
  </si>
  <si>
    <t>Survey</t>
  </si>
  <si>
    <t>08/01/2017</t>
  </si>
  <si>
    <t>Mechanical - SOP, Mechanical - QA/QC</t>
  </si>
  <si>
    <t>Project - Attn.Plant</t>
  </si>
  <si>
    <t>Attendant Plant - Other</t>
  </si>
  <si>
    <t>Dave Allen</t>
  </si>
  <si>
    <t>Crewboat/Survey Boat</t>
  </si>
  <si>
    <t>Mechanical - PM Plan, Mechanical - SOP, Mechanical - QA/QC</t>
  </si>
  <si>
    <t>Vessel Accident -allision / collision, grounding</t>
  </si>
  <si>
    <t>Mechanical - SOP</t>
  </si>
  <si>
    <t>Mechanical - QA/QC</t>
  </si>
  <si>
    <t>Dark, High Winds</t>
  </si>
  <si>
    <t>Organizational/Association</t>
  </si>
  <si>
    <t>Workplace Documentation</t>
  </si>
  <si>
    <t>Attention/Alertness/Fatigue</t>
  </si>
  <si>
    <t>Operating Controls and Displays</t>
  </si>
  <si>
    <t>Information Exchanged on the Job</t>
  </si>
  <si>
    <t>Sherif Abdelgafar</t>
  </si>
  <si>
    <t>No WO #</t>
  </si>
  <si>
    <t>WO #</t>
  </si>
  <si>
    <t>Hrs</t>
  </si>
  <si>
    <t>No WO</t>
  </si>
  <si>
    <t xml:space="preserve">**Top 5 reasons for delays in this system** </t>
  </si>
  <si>
    <t xml:space="preserve">2) </t>
  </si>
  <si>
    <t xml:space="preserve">3) </t>
  </si>
  <si>
    <t xml:space="preserve">4) </t>
  </si>
  <si>
    <t xml:space="preserve">5) </t>
  </si>
  <si>
    <t>Findings</t>
  </si>
  <si>
    <t>Calc. System</t>
  </si>
  <si>
    <t>Period 5</t>
  </si>
  <si>
    <t>Period 4</t>
  </si>
  <si>
    <t>Period 3</t>
  </si>
  <si>
    <t>Period 2</t>
  </si>
  <si>
    <t>Period 1</t>
  </si>
  <si>
    <t>Hydraulics</t>
  </si>
  <si>
    <t>0 MCIAs conducted on  delays greater than 24 HRS.</t>
  </si>
  <si>
    <t>Blank / "None"</t>
  </si>
  <si>
    <t>Parts (#WO)</t>
  </si>
  <si>
    <t>Findings (#WO)</t>
  </si>
  <si>
    <t>EDL Data</t>
  </si>
  <si>
    <t>Summary Recommendations</t>
  </si>
  <si>
    <t>Recommendations Tab</t>
  </si>
  <si>
    <t>Data Tab</t>
  </si>
  <si>
    <t>Pareto</t>
  </si>
  <si>
    <t xml:space="preserve">Parts: </t>
  </si>
  <si>
    <t xml:space="preserve">Standard Jobs: </t>
  </si>
  <si>
    <t>Summary</t>
  </si>
  <si>
    <t>Table of Contents - Order</t>
  </si>
  <si>
    <t>MCIA - Cases</t>
  </si>
  <si>
    <t>MCIA - Root Causes</t>
  </si>
  <si>
    <t>MCIA - Corrective Actions</t>
  </si>
  <si>
    <t>Table of Contents</t>
  </si>
  <si>
    <t>Subsystems</t>
  </si>
  <si>
    <t>Electronic Delay Log and NS ENTERPRISE Data</t>
  </si>
  <si>
    <t>Systems</t>
  </si>
  <si>
    <t>Compressed Air</t>
  </si>
  <si>
    <t>HVAC</t>
  </si>
  <si>
    <t>04/19/2017</t>
  </si>
  <si>
    <t>Steven W  Becker, Bill Baumann</t>
  </si>
  <si>
    <t>Kurt Hill</t>
  </si>
  <si>
    <t>09/29/2017</t>
  </si>
  <si>
    <t>Sam Radjenovich</t>
  </si>
  <si>
    <t>Bill Baumann, James C Gillespie</t>
  </si>
  <si>
    <t>Hydraulic, Mechanical</t>
  </si>
  <si>
    <t>Bill Baumann, Russell F. Zimmerman, James C Gillespie</t>
  </si>
  <si>
    <t>12/31/2019</t>
  </si>
  <si>
    <t>Sudhir Shroff</t>
  </si>
  <si>
    <t>Hydraulic</t>
  </si>
  <si>
    <t>07/31/2020</t>
  </si>
  <si>
    <t>Brian Bickford, Steven W  Becker, James C Gillespie</t>
  </si>
  <si>
    <t>12/15/2020</t>
  </si>
  <si>
    <t>Ready for Edits</t>
  </si>
  <si>
    <t>02/25/2021</t>
  </si>
  <si>
    <t>Maintenance/Housekeeping</t>
  </si>
  <si>
    <t>Planning and Flexibility</t>
  </si>
  <si>
    <t>Layup/Shipyard</t>
  </si>
  <si>
    <t>0900</t>
  </si>
  <si>
    <t>02/13/2017</t>
  </si>
  <si>
    <t>03/30/2017</t>
  </si>
  <si>
    <t>03/29/2017</t>
  </si>
  <si>
    <t>Company Policy</t>
  </si>
  <si>
    <t>Prep</t>
  </si>
  <si>
    <t>0030</t>
  </si>
  <si>
    <t>Cloudy, High Winds</t>
  </si>
  <si>
    <t>Mechanical - PM Plan, Mechanical - QA/QC, Mechanical - Material Specs</t>
  </si>
  <si>
    <t>0830</t>
  </si>
  <si>
    <t>Idle</t>
  </si>
  <si>
    <t>JSA - Job Safety Analysis</t>
  </si>
  <si>
    <t>0100</t>
  </si>
  <si>
    <t>0400</t>
  </si>
  <si>
    <t>05/09/2019</t>
  </si>
  <si>
    <t>0930</t>
  </si>
  <si>
    <t>Jacksonville Deepening</t>
  </si>
  <si>
    <t>Step Back for Safety</t>
  </si>
  <si>
    <t>Holt Hartung</t>
  </si>
  <si>
    <t>Auxiliary Systems</t>
  </si>
  <si>
    <t>Fuel</t>
  </si>
  <si>
    <t>Auxiliary System Subtotal</t>
  </si>
  <si>
    <t>Fairleads</t>
  </si>
  <si>
    <t>Auxiliary Generator</t>
  </si>
  <si>
    <t>Main Generator</t>
  </si>
  <si>
    <t>Main Generator Engine</t>
  </si>
  <si>
    <t>Auxiliary Systems (Compressed Air)</t>
  </si>
  <si>
    <t>Auxiliary Systems (Fuel)</t>
  </si>
  <si>
    <t>Auxiliary Systems (HVAC)</t>
  </si>
  <si>
    <t>Hyperlinks</t>
  </si>
  <si>
    <t>tripped</t>
  </si>
  <si>
    <t>Hyperlink</t>
  </si>
  <si>
    <t>Delay Log Apendix A "HYDRAULIC DIV"</t>
  </si>
  <si>
    <t>ILLINOIS</t>
  </si>
  <si>
    <t>New Jersey</t>
  </si>
  <si>
    <t>WOSI / SY</t>
  </si>
  <si>
    <t>Grande Isle, LA</t>
  </si>
  <si>
    <t>Miss River Pass</t>
  </si>
  <si>
    <t>Deck Crane &amp; Hoists</t>
  </si>
  <si>
    <t>Fire Prevention System</t>
  </si>
  <si>
    <t>Sanitary</t>
  </si>
  <si>
    <t>Water - Potable or Raw</t>
  </si>
  <si>
    <t>Cutter</t>
  </si>
  <si>
    <t>Bearing or Shaft</t>
  </si>
  <si>
    <t>Cutter Canister</t>
  </si>
  <si>
    <t>Gear Box</t>
  </si>
  <si>
    <t>Motor</t>
  </si>
  <si>
    <t>SCR Drive or MG Set</t>
  </si>
  <si>
    <t>Cutter System Subtotal</t>
  </si>
  <si>
    <t>Electrical System</t>
  </si>
  <si>
    <t>MCC or Switch Gear</t>
  </si>
  <si>
    <t>PLC or Automation</t>
  </si>
  <si>
    <t>Transformer</t>
  </si>
  <si>
    <t>Electrical System Subtotal</t>
  </si>
  <si>
    <t>Engine Room</t>
  </si>
  <si>
    <t>Electrical</t>
  </si>
  <si>
    <t>Firemain</t>
  </si>
  <si>
    <t>Gland Seal</t>
  </si>
  <si>
    <t>Main Pump Engine</t>
  </si>
  <si>
    <t>Oil System</t>
  </si>
  <si>
    <t>Engine Room System Subtotal</t>
  </si>
  <si>
    <t>Generators</t>
  </si>
  <si>
    <t>Generators System Subtotal</t>
  </si>
  <si>
    <t>Ladder</t>
  </si>
  <si>
    <t>Ladder Structure</t>
  </si>
  <si>
    <t>Ladder Winch</t>
  </si>
  <si>
    <t>SCR Drive</t>
  </si>
  <si>
    <t>Sheave or Block</t>
  </si>
  <si>
    <t>Wire</t>
  </si>
  <si>
    <t>Ladder System Subtotal</t>
  </si>
  <si>
    <t>Ladder Pump</t>
  </si>
  <si>
    <t>Motor or Engine</t>
  </si>
  <si>
    <t>Packing or Stuffing Box</t>
  </si>
  <si>
    <t>Pump Leak</t>
  </si>
  <si>
    <t>Pump Rebuild</t>
  </si>
  <si>
    <t>Shaft</t>
  </si>
  <si>
    <t>Ladder Pump System Subtotal</t>
  </si>
  <si>
    <t>Main Pump</t>
  </si>
  <si>
    <t>Engine or Motor</t>
  </si>
  <si>
    <t>Main Pump System Subtotal</t>
  </si>
  <si>
    <t>Spud or Xmas Tree</t>
  </si>
  <si>
    <t>Setting Spud</t>
  </si>
  <si>
    <t>Sheaves</t>
  </si>
  <si>
    <t>Tree Structure</t>
  </si>
  <si>
    <t>Walking Spud</t>
  </si>
  <si>
    <t>Winch or Hoist System</t>
  </si>
  <si>
    <t>Spud or Xmas Tree System Subtotal</t>
  </si>
  <si>
    <t>Suction or Discharge Pipe</t>
  </si>
  <si>
    <t>Suction or Discharge Pipe System Subtotal</t>
  </si>
  <si>
    <t>Swing System</t>
  </si>
  <si>
    <t>Swing Sheaves</t>
  </si>
  <si>
    <t>Swing Wire</t>
  </si>
  <si>
    <t>Winch System</t>
  </si>
  <si>
    <t>SwingSystem Subtotal</t>
  </si>
  <si>
    <t>Auxiliary Systems (Deck Crane &amp; Hoists)</t>
  </si>
  <si>
    <t>Auxiliary Systems (Fire Prevention System)</t>
  </si>
  <si>
    <t>Auxiliary Systems (Sanitary)</t>
  </si>
  <si>
    <t>Auxiliary Systems (Water - Potable or Raw)</t>
  </si>
  <si>
    <t>Cutter (Bearing or Shaft)</t>
  </si>
  <si>
    <t>Cutter (Cutter Canister)</t>
  </si>
  <si>
    <t>Cutter (Gear Box)</t>
  </si>
  <si>
    <t>Cutter (Motor)</t>
  </si>
  <si>
    <t>Cutter (SCR Drive or MG Set)</t>
  </si>
  <si>
    <t>Electrical System (MCC or Switch Gear)</t>
  </si>
  <si>
    <t>Electrical System (PLC or Automation)</t>
  </si>
  <si>
    <t>Electrical System (Transformer)</t>
  </si>
  <si>
    <t>Engine Room (Electrical)</t>
  </si>
  <si>
    <t>Engine Room (Firemain)</t>
  </si>
  <si>
    <t>Engine Room (Gland Seal)</t>
  </si>
  <si>
    <t>Engine Room (Main Pump Engine)</t>
  </si>
  <si>
    <t>Engine Room (Oil System)</t>
  </si>
  <si>
    <t>Generators (Auxiliary Generator)</t>
  </si>
  <si>
    <t>Generators (Main Generator Engine)</t>
  </si>
  <si>
    <t>Generators (Main Generator)</t>
  </si>
  <si>
    <t>Ladder (Ladder Structure)</t>
  </si>
  <si>
    <t>Ladder (Ladder Winch)</t>
  </si>
  <si>
    <t>Ladder (SCR Drive)</t>
  </si>
  <si>
    <t>Ladder (Sheave or Block)</t>
  </si>
  <si>
    <t>Ladder (Wire)</t>
  </si>
  <si>
    <t>Ladder Pump (Bearing or Shaft)</t>
  </si>
  <si>
    <t>Ladder Pump (Gear Box)</t>
  </si>
  <si>
    <t>Ladder Pump (Gland Seal)</t>
  </si>
  <si>
    <t>Ladder Pump (Motor or Engine)</t>
  </si>
  <si>
    <t>Ladder Pump (Packing or Stuffing Box)</t>
  </si>
  <si>
    <t>Ladder Pump (Pump Leak)</t>
  </si>
  <si>
    <t>Ladder Pump (Pump Rebuild)</t>
  </si>
  <si>
    <t>Ladder Pump (SCR Drive)</t>
  </si>
  <si>
    <t>Ladder Pump (Shaft)</t>
  </si>
  <si>
    <t>Main Pump (Bearing or Shaft)</t>
  </si>
  <si>
    <t>Main Pump (Engine or Motor)</t>
  </si>
  <si>
    <t>Main Pump (Gear Box)</t>
  </si>
  <si>
    <t>Main Pump (Gland Seal)</t>
  </si>
  <si>
    <t>Main Pump (Packing or Stuffing Box)</t>
  </si>
  <si>
    <t>Main Pump (Pump Leak)</t>
  </si>
  <si>
    <t>Main Pump (Pump Rebuild)</t>
  </si>
  <si>
    <t>Spud or Xmas Tree (SCR Drive)</t>
  </si>
  <si>
    <t>Spud or Xmas Tree (Setting Spud)</t>
  </si>
  <si>
    <t>Spud or Xmas Tree (Sheaves)</t>
  </si>
  <si>
    <t>Spud or Xmas Tree (Tree Structure)</t>
  </si>
  <si>
    <t>Spud or Xmas Tree (Walking Spud)</t>
  </si>
  <si>
    <t>Spud or Xmas Tree (Winch or Hoist System)</t>
  </si>
  <si>
    <t>Spud or Xmas Tree (Wire)</t>
  </si>
  <si>
    <t>Suction or Discharge Pipe (Dredge)</t>
  </si>
  <si>
    <t>Swing System (Fairleads)</t>
  </si>
  <si>
    <t>Swing System (SCR Drive)</t>
  </si>
  <si>
    <t>Swing System (Swing Sheaves)</t>
  </si>
  <si>
    <t>Swing System (Swing Wire)</t>
  </si>
  <si>
    <t>Swing System (Winch System)</t>
  </si>
  <si>
    <t>Illinois</t>
  </si>
  <si>
    <t>tightened strb brake</t>
  </si>
  <si>
    <t>Brake pads port swing</t>
  </si>
  <si>
    <t>port swing guard broke stop and fix</t>
  </si>
  <si>
    <t>stb swing brake pin out</t>
  </si>
  <si>
    <t>port breast</t>
  </si>
  <si>
    <t>work on port fricton</t>
  </si>
  <si>
    <t>add jacking bolt to port swing brake to prevent brake from getting in a bind</t>
  </si>
  <si>
    <t>WORK ON PORT SWING WINCH CANT GET OUT CORNER 800 AMPS NOT RELEASING</t>
  </si>
  <si>
    <t>PORT WORK ON BREAK</t>
  </si>
  <si>
    <t>Bearings / Shafts</t>
  </si>
  <si>
    <t>swing friction (Delay start and/or stop updated during data conversion to reconcile with Dredge System reporting. Previous time: 2/16/2020 5:26:48 PM - 2/16/2020 5:36:26 PM)</t>
  </si>
  <si>
    <t>swing friction</t>
  </si>
  <si>
    <t>change swing brake pads starb</t>
  </si>
  <si>
    <t>failure</t>
  </si>
  <si>
    <t>friction slipping</t>
  </si>
  <si>
    <t>port breast air line wont release fricton</t>
  </si>
  <si>
    <t>tighten port friction</t>
  </si>
  <si>
    <t>replace pad on starboard swing brake</t>
  </si>
  <si>
    <t>lost power</t>
  </si>
  <si>
    <t>CHANGE BRAKE RAM</t>
  </si>
  <si>
    <t>fuel leak</t>
  </si>
  <si>
    <t>work on break</t>
  </si>
  <si>
    <t>ram on swing brake</t>
  </si>
  <si>
    <t>work on stb swing break</t>
  </si>
  <si>
    <t>tighten up stb brake</t>
  </si>
  <si>
    <t>tighten stb swing brake</t>
  </si>
  <si>
    <t>ladder control</t>
  </si>
  <si>
    <t>tighten friction</t>
  </si>
  <si>
    <t>break</t>
  </si>
  <si>
    <t>tightening friction</t>
  </si>
  <si>
    <t>over heating</t>
  </si>
  <si>
    <t>port wire broke change wire</t>
  </si>
  <si>
    <t>Auxiliary Generator; Main Generator; Main Generator Engine</t>
  </si>
  <si>
    <t>Generator Systems Standard Jobs</t>
  </si>
  <si>
    <t>Generator Systems Critical Spares</t>
  </si>
  <si>
    <t>Swing System Standard Jobs</t>
  </si>
  <si>
    <t>Swing Systems Critical Spares</t>
  </si>
  <si>
    <t>Bearing/Shaft</t>
  </si>
  <si>
    <t>Main Pump System Standard Jobs</t>
  </si>
  <si>
    <t>Main Pump System Critical Spares</t>
  </si>
  <si>
    <t>HYD DIV SJ By System</t>
  </si>
  <si>
    <t>HYD DIV Critcal Parts By System</t>
  </si>
  <si>
    <t>HYD Div SJ</t>
  </si>
  <si>
    <t>HYD Div Parts</t>
  </si>
  <si>
    <t>QTY</t>
  </si>
  <si>
    <t>MCIA 039 - Spider Barge Arm Break</t>
  </si>
  <si>
    <t>Develop a standard job to rotate spares and inspect used winches.</t>
  </si>
  <si>
    <t>David Rappe, Bill Baumann, David J Johanson</t>
  </si>
  <si>
    <t>Develop a standard job to rotate spares and inspect used winches.  This will include documentation of the results.</t>
  </si>
  <si>
    <t>Develop a standard job to rotate spares and inspect used winches.  This will include documentation of the results. Over time a life expectancy will be determined.</t>
  </si>
  <si>
    <t>Winch upgrades will remain on future work list.</t>
  </si>
  <si>
    <t>Andrew Francis</t>
  </si>
  <si>
    <t>MCIA 001 - Crane Collision 72464</t>
  </si>
  <si>
    <t>project orientation for each employee prior to starting work on new projects</t>
  </si>
  <si>
    <t>Dave Johanson</t>
  </si>
  <si>
    <t>David J Johanson</t>
  </si>
  <si>
    <t>David Rappe, Russell F. Zimmerman, Dave Allen</t>
  </si>
  <si>
    <t>02/28/2017</t>
  </si>
  <si>
    <t>JSA template for on the job equipment moves. Safety Alert - When JSA appropriate</t>
  </si>
  <si>
    <t>Roger Nichols</t>
  </si>
  <si>
    <t>post job specific hazards on all vessels and support equipment on project</t>
  </si>
  <si>
    <t>Remind Captain / Crane Operators to complete a JSA for all support equipment moves; to include (Derrick, Barge, etc..) Fleet and Project wide assessment</t>
  </si>
  <si>
    <t>David Rappe</t>
  </si>
  <si>
    <t>Instruct Derrick Operator to always cradle the boom of the derrick during transit away from immediate dredge work area. If not, provide reason per crane operator or tug captain for advance approval by dredge manager</t>
  </si>
  <si>
    <t>consult navigation charts or chart plotters per USCG regulations</t>
  </si>
  <si>
    <t>FL MP Thrust Bearing Failure</t>
  </si>
  <si>
    <t>Send out all 4 Magotteaux impellers to be QC'ed and repaired so that they fit on a proper thread gauge and incorporate the register fit on the impeller hub as indicated in the drawings.</t>
  </si>
  <si>
    <t>Joe Moon</t>
  </si>
  <si>
    <t>Eugene Corey</t>
  </si>
  <si>
    <t>David Rappe, Bill Baumann, David J Johanson, Dave Allen</t>
  </si>
  <si>
    <t>04/15/2017</t>
  </si>
  <si>
    <t>Require written confirmation that manufacturers have received and properly use all supplied drawings.</t>
  </si>
  <si>
    <t>Require Magotteaux to build a proper shaft thread gauge</t>
  </si>
  <si>
    <t>Stop use of the blue coated liners until it can be determined/confirmed why it failed.</t>
  </si>
  <si>
    <t>05/15/2017</t>
  </si>
  <si>
    <t>Investigate and confirm why the blue coating on the liners failed</t>
  </si>
  <si>
    <t>Determine if the thread specifications on the drawings are correct or if they need to modified.</t>
  </si>
  <si>
    <t>Tim Riehl</t>
  </si>
  <si>
    <t>Derrick 65 - Bent Boom Chord and Lacing</t>
  </si>
  <si>
    <t>Draft and broadcast an action alert for proper rigging points including air compressor barges.</t>
  </si>
  <si>
    <t>Stuart Hilgendorf</t>
  </si>
  <si>
    <t>David Rappe, David J Johanson, Steven R Auernhamer, Dave Allen</t>
  </si>
  <si>
    <t>02/12/2019</t>
  </si>
  <si>
    <t>Write a specific JSA and Pre-Lift plan for Lifting AC barge out of water</t>
  </si>
  <si>
    <t>03/20/2019</t>
  </si>
  <si>
    <t>Specify in the JSA that there may be a hazard if there is water in any air compressor barge tanks and its presence will add to the estimated weight of the barge and may result in possible shifting of the load.</t>
  </si>
  <si>
    <t>Specify in the JSA that Saddle pin holes are not proper lifting points for picking up AC Barge instead lift by rigging straps or cable to choke the pipe</t>
  </si>
  <si>
    <t>Specify in the JSA the estimated load of a 5 tank compressor barge and the practice of knowing and not exceeding 75% of the maximum load at the boom angle you are intending to make the lift.</t>
  </si>
  <si>
    <t>Booster Jack stern spud failure / drop</t>
  </si>
  <si>
    <t>Design chocks as per those added during the repairs made.  Update drawings to include chocks and weld details.</t>
  </si>
  <si>
    <t>David B Coombs</t>
  </si>
  <si>
    <t>Mark V Outten</t>
  </si>
  <si>
    <t>Develop a PM plan for the jacking system to include standard jobs for periodic inspections, checks, and adjustments of the entire system.  List each gearbox / motor assembly as a component of the spud.
Items to be addressed in Standard Jobs:
Oil analysis of gearboxes and hydraulic system
Brake component inspection
System pressure / relief valve check and adjustment
Hydraulic hose replacement
Lubrication of pinion and bushings</t>
  </si>
  <si>
    <t>Review and update jacking procedure to include more details.  Include safety concerns and instructions for closing watertight doors. Also address jacking down booster.
 Procedure should address the need for a JSA</t>
  </si>
  <si>
    <t>04/30/2017</t>
  </si>
  <si>
    <t>Develop a standard job for the installation of jacking gearbox and motor including all materials required (Bolts, washers, nuts, grease), torque specs, pinion engagement criteria, brake checks, lubrication, chock installation, etc.</t>
  </si>
  <si>
    <t>05/31/2017</t>
  </si>
  <si>
    <t>Dredge Illinois Stbd Main Engine Turbo Failure</t>
  </si>
  <si>
    <t>review and edit pm plan for 20-645 EMD engines to include detailed turbo charger inspections and required turbo charger inspection findings (4K hours)</t>
  </si>
  <si>
    <t>Terry Wright</t>
  </si>
  <si>
    <t>Review the maintenance history of all 20 cy EMD turbo engine applications for life history both dredge pump and generator.</t>
  </si>
  <si>
    <t>04/28/2017</t>
  </si>
  <si>
    <t>Crane 63 Boom Damage</t>
  </si>
  <si>
    <t>Send out a notice to all Derrick Operators and Deck Captains that all loads need to be centered for a straight-up lifting.  If the load is not centered Call An All Stop.</t>
  </si>
  <si>
    <t>Create an Action Alert that instructs Derrick Operators and Deck Captains that pontoon tanks are only to be lifted using pad eyes that are designed for lifting or using a basket hitch to cradle the tank.  Under no circumstances should the bits be used as lifting points as they are not designed for vertical stresses.</t>
  </si>
  <si>
    <t>05/30/2017</t>
  </si>
  <si>
    <t>Subline tow - lost raft incident</t>
  </si>
  <si>
    <t>Develop a standard rigging procedure for subline raft tows.</t>
  </si>
  <si>
    <t>David Rappe, David J Johanson, James C Gillespie</t>
  </si>
  <si>
    <t>11/20/2019</t>
  </si>
  <si>
    <t>Hydraulic, Hopper, Yard/Bull Gang</t>
  </si>
  <si>
    <t>Complete engineering analysis of subline tow arrangement in order to complete procedure with accurate data.</t>
  </si>
  <si>
    <t>Sean Raines</t>
  </si>
  <si>
    <t>Columbia River Multi Beam Head Damage</t>
  </si>
  <si>
    <t>Refrain from using a multibeam boat as a 24 hour crew boat. If a Multibeam boat is to be used as a 24 hour crew boat, only operators who are familiar with the multibeam system and how to protect it should be allowed to operate the boat.</t>
  </si>
  <si>
    <t>Washington Bryan, Chris Roberts, David Rappe, Mark L. Reid, Dave Allen</t>
  </si>
  <si>
    <t>Company All</t>
  </si>
  <si>
    <t>Discuss incident with the Captain and Tug Owner.</t>
  </si>
  <si>
    <t>Chris Roberts</t>
  </si>
  <si>
    <t>CA did not solve the problem</t>
  </si>
  <si>
    <t>Buried Bulldozer</t>
  </si>
  <si>
    <t>Create a Mob/Demob Best Practice Procedure for Fill Site and post to Bullseye-Project Management Folder.</t>
  </si>
  <si>
    <t>William E Mitchell</t>
  </si>
  <si>
    <t>Chris Ameika, David J Johanson, James C Gillespie, Dave Allen</t>
  </si>
  <si>
    <t>06/10/2017</t>
  </si>
  <si>
    <t>Conduct Formal JSA Training with crew</t>
  </si>
  <si>
    <t>Wade Smith</t>
  </si>
  <si>
    <t>Create JSA for working without a spreader and distribute to all GLDD Fill Sites/Foreman.</t>
  </si>
  <si>
    <t>James Ganus</t>
  </si>
  <si>
    <t>Yard/Bull Gang</t>
  </si>
  <si>
    <t>Review Fill Site Training Presentation.  Post Presentation to Bullseye-Project Management Folder.</t>
  </si>
  <si>
    <t>Chris Ameika</t>
  </si>
  <si>
    <t>Port Breast Winch Shaft Failure</t>
  </si>
  <si>
    <t>Limit swing tonnage as not to exceed 75 tons while digging on the Xmas tree.</t>
  </si>
  <si>
    <t>Robbie Baker</t>
  </si>
  <si>
    <t>Mark V Outten, Andrew Gillie, David Rappe, Bill Baumann, Mark L. Reid, David J Johanson, Dave Allen</t>
  </si>
  <si>
    <t>05/03/2017</t>
  </si>
  <si>
    <t>Cutter Gear Box / Cutter Motor Noise</t>
  </si>
  <si>
    <t>create a SJ for the overhaul of the cutter motors that includes a check list for fasteners and torque settings and QC/ QA details.  SJ must have checkpoints for possible owners rep attendance.</t>
  </si>
  <si>
    <t>Have a meeting with Keystone (CR) to discuss the factors that led up to the fasteners not being installed and what steps can we implement to prevent this form happening in the future.</t>
  </si>
  <si>
    <t>12/31/2017</t>
  </si>
  <si>
    <t>Edit the 750 hour SJ for the cutter motors to include inspection of the brush rigging and mounting bolts.  Include photos in the SJ of the correct installation with highlighted items of detailed inspections.</t>
  </si>
  <si>
    <t>Alaska Swing Drive Issue</t>
  </si>
  <si>
    <t>Instruct the dredge crew on proper inventory maintenance (receiving parts, reconciliation, usage tab Etc.), &amp; to use the inventory to find parts not by memory.</t>
  </si>
  <si>
    <t>Brian Markey</t>
  </si>
  <si>
    <t>09/06/2017</t>
  </si>
  <si>
    <t>Create a policy for unplanned downtime including initial steps, chain of command, help network etc.</t>
  </si>
  <si>
    <t>Create PM plan for the M/G set.</t>
  </si>
  <si>
    <t>Create plan for to be written jobs creation.</t>
  </si>
  <si>
    <t>09/22/2017</t>
  </si>
  <si>
    <t>Hydraulic, Hopper, Mechanical, Int'l - Hopper, Int'l - Hydraulic, Int'l - Mechanical</t>
  </si>
  <si>
    <t>Create a Ram note for WO to be written at or before time of repair.</t>
  </si>
  <si>
    <t>Create a basic trouble shooting guide that can be used for all systems.</t>
  </si>
  <si>
    <t>IL Swing Drive</t>
  </si>
  <si>
    <t>Procure replacement boards and take the time with Bill English to pre-calibrate and label replacement boards.</t>
  </si>
  <si>
    <t>Tim J Kremer</t>
  </si>
  <si>
    <t>Evaluate board design and determine if additional adhesive will aid in making more robust.</t>
  </si>
  <si>
    <t>22582_MCIA_009_CSD Carolina Cutter Motor No. 4</t>
  </si>
  <si>
    <t>Standard Job need to create for "Taking the addition insulation resistance measurements from the SCR room to determine if the insulation resistance is  decreasing due to carbon build up. Do these tests when the dredge is shutdown for 2 hours or longer, by measuring the insulation resistance in the SCR room rather than at the motor also help to reduce the frequency of opening Cutter Canister.</t>
  </si>
  <si>
    <t>Hector Gonzales</t>
  </si>
  <si>
    <t>Joseph Sadiq</t>
  </si>
  <si>
    <t>Jacques Coetzee</t>
  </si>
  <si>
    <t>Manny Vianzon, Garrett Gibson</t>
  </si>
  <si>
    <t>12/16/2017</t>
  </si>
  <si>
    <t>Int'l - Hydraulic</t>
  </si>
  <si>
    <t>Install additional cameras to verify the wear of the brushes by looking at the wear indicators without opening the canister.</t>
  </si>
  <si>
    <t>Alaska Cutter Motor Failure 12/21/2017</t>
  </si>
  <si>
    <t>Add the correct electrical grade sealant material (for sealing motor access points ) to the cutter motor installation Standard job  - this is to address the fact that silicone was found to be a CF to this incident</t>
  </si>
  <si>
    <t>Steven W  Becker, James C Gillespie</t>
  </si>
  <si>
    <t>09/10/2019</t>
  </si>
  <si>
    <t>Establish Standard jobs for cutter motors to cover   
1. Inspection
2. Removal
3. Installation</t>
  </si>
  <si>
    <t>Engine room personnel need to be properly trained on implementing the 3 standard jobs associated with cutter motor inspections / removals / installations. This should be part of an authorized and qualified process.</t>
  </si>
  <si>
    <t>Create a standard work / service order for servicing cutter motors at outside shops -  to include adjusting the brush neutral setting to remove amperage from the system.</t>
  </si>
  <si>
    <t>STBD Cutter Motor Failure</t>
  </si>
  <si>
    <t>Add QC steps of  inspection of the motor during reassembly and all cabling to include pictures.</t>
  </si>
  <si>
    <t>Steven W  Becker, Bill Baumann, James C Gillespie</t>
  </si>
  <si>
    <t>Broken Tail Shaft Coupling 2/1/2018</t>
  </si>
  <si>
    <t>Enter all tailshafts and couplings as serialized items in NS to track all repairs, installations, etc.</t>
  </si>
  <si>
    <t>Lionell Caroon</t>
  </si>
  <si>
    <t>Steven W  Becker, Tim Riehl, Bill Baumann, James C Gillespie</t>
  </si>
  <si>
    <t>01/01/2019</t>
  </si>
  <si>
    <t>Edit standard job for tailshaft / coupling rebuilds to include a mag particle or dye test with photos of the test in the findings.</t>
  </si>
  <si>
    <t>11/25/2018</t>
  </si>
  <si>
    <t>Create a standard job for cutter tailshaft / coupling installation based on the Technical Procedure we currently have.</t>
  </si>
  <si>
    <t>10/31/2018</t>
  </si>
  <si>
    <t>Cutter Gearbox Bearing Failure</t>
  </si>
  <si>
    <t>Engineer oil cooler for gearbox for shallow water digging.</t>
  </si>
  <si>
    <t>Carl Pfeil</t>
  </si>
  <si>
    <t>02/15/2019</t>
  </si>
  <si>
    <t>Engineer / design seal assembly to eliminate water intrusion.</t>
  </si>
  <si>
    <t>Updating all drawings using one specific mfg data.</t>
  </si>
  <si>
    <t>Add to reassembling procedures to take measurement of sleeve, bearing and flange spigot to confirm fits are the same as they were installed prior reassembling.</t>
  </si>
  <si>
    <t>07/15/2020</t>
  </si>
  <si>
    <t>Change the part hierarchy to reference OEM parts with no substitutions.</t>
  </si>
  <si>
    <t>Dredge Carolina cutter gearbox failure May 2018</t>
  </si>
  <si>
    <t>Provide training and instruction to dredge leadership teams on the expectations of Standard job performance.  Including findings, feedback on job requirements, etc.to all dredges in the RAM program.</t>
  </si>
  <si>
    <t>Steven W  Becker, Russell F. Zimmerman, David J Johanson, James C Gillespie</t>
  </si>
  <si>
    <t>10/15/2018</t>
  </si>
  <si>
    <t>Work with Total oil to provide a system to monitor sample due dates and provide reports on overdue samples.</t>
  </si>
  <si>
    <t>Jose Gracia</t>
  </si>
  <si>
    <t>08/31/2018</t>
  </si>
  <si>
    <t>Create and implement a SJ audit program focused on crew performed, critical equipment inspections and condition based maintence jobs.</t>
  </si>
  <si>
    <t>Research and implement a method to install sensors in order to monitor and record oil and critical bearing temperatures</t>
  </si>
  <si>
    <t>GL-10 Port Side Pin Connection Failure</t>
  </si>
  <si>
    <t>Maintenance Manager for dredge to review Min/Max levels for pins and update as necessary</t>
  </si>
  <si>
    <t>Mike Hungerford</t>
  </si>
  <si>
    <t>Steven W  Becker, David J Johanson, James C Gillespie</t>
  </si>
  <si>
    <t>Develop a standard job or procedure for installing pins, sleeve, and end caps.  Ensure that the correct materials are noted for install, i.e. bolts.</t>
  </si>
  <si>
    <t>Review if GL-10 is needed to continue digging in Charleston during Season II</t>
  </si>
  <si>
    <t>Russell F. Zimmerman</t>
  </si>
  <si>
    <t>07/17/2019</t>
  </si>
  <si>
    <t>Texas Broken Port Spud Winch</t>
  </si>
  <si>
    <t>Engineer and requisition new winch</t>
  </si>
  <si>
    <t>James C Towner</t>
  </si>
  <si>
    <t>Russell F. Zimmerman, David J Johanson, James C Gillespie</t>
  </si>
  <si>
    <t>06/01/2019</t>
  </si>
  <si>
    <t>Alaska anchor contact with hull</t>
  </si>
  <si>
    <t>Prepare action alert for the fleet reviewing hazards of hanging anchors and moving the dredge.  Including hazards such as: ground contact with the anchor, failed rigging, slack in the anchor wire.</t>
  </si>
  <si>
    <t>Mike  Gerlach</t>
  </si>
  <si>
    <t>David Rappe, Bill Baumann, Lynn Nietfeld, James C Gillespie, Dave Allen</t>
  </si>
  <si>
    <t>Updated instructions on the dredges to ensure if a phone call is received from the pilots that the dredge confirms via VHF that all parties are up to date. (call the other dredge and confirm)</t>
  </si>
  <si>
    <t>Booster Jack Spud Foot / Hull/ and hose Damage</t>
  </si>
  <si>
    <t>Addition to Booster placement JSA should be added to entail acknowledgement of hose positions during operation of spuds.</t>
  </si>
  <si>
    <t xml:space="preserve">Shawn Boynton </t>
  </si>
  <si>
    <t>Mathew Bishop</t>
  </si>
  <si>
    <t>David Rappe, James C Gillespie, Dave Allen</t>
  </si>
  <si>
    <t>06/30/2019</t>
  </si>
  <si>
    <t>Revised JSA to include additional step focused on hose locstion during entire evolution.</t>
  </si>
  <si>
    <t>Dredge Carolina Suction Hose Failure</t>
  </si>
  <si>
    <t>Write a standard job for removing / replacing hose and pipe under the ladder.  Include instructions to not tighten up the flanges fully until the vitalic coupling connection is secured.</t>
  </si>
  <si>
    <t>Scott Baumann</t>
  </si>
  <si>
    <t>David Rappe, Bill Baumann, Lynn Nietfeld, James C Gillespie</t>
  </si>
  <si>
    <t>04/01/2019</t>
  </si>
  <si>
    <t>Write a standard job for inspection of hose and pipe to include gauging the pipe and bands on the hose.</t>
  </si>
  <si>
    <t>DB 186 Hull/Deck Damage</t>
  </si>
  <si>
    <t>Hold a meeting with crew about never tying barges steel to steel, no matter how long the barges are expected to be tied together</t>
  </si>
  <si>
    <t>06/10/2019</t>
  </si>
  <si>
    <t>Oak Brook management to have a discussion with design engineers about adding fendering to all new barges moving forward</t>
  </si>
  <si>
    <t>02/20/2019</t>
  </si>
  <si>
    <t>Dredge Illinois Fuel Spill</t>
  </si>
  <si>
    <t>Accountability consequences should be assigned to the Supervisor (Watch Engineer) and crew member (Oiler)</t>
  </si>
  <si>
    <t>Lanny Lawrence</t>
  </si>
  <si>
    <t>Keith Pearse</t>
  </si>
  <si>
    <t>Sherry Turner</t>
  </si>
  <si>
    <t xml:space="preserve">Carolina Port Cutter Motor </t>
  </si>
  <si>
    <t>Chief / First Assistant to document all work, including outside vendor service in NS. Find out if the Chief  / 1st Assistant know how to manipulate documentation for Serialized parts (Cutter Motors)</t>
  </si>
  <si>
    <t>DeVos Pieter</t>
  </si>
  <si>
    <t>Steven W  Becker, Bill Baumann, James C Gillespie, Steven R Auernhamer</t>
  </si>
  <si>
    <t>04/01/2020</t>
  </si>
  <si>
    <t>develop a plan to megger motors  anytime the dredge sit idle for period of 24 hours or more.</t>
  </si>
  <si>
    <t>Dwight  Davis</t>
  </si>
  <si>
    <t>Alaska Christmas Tree Failure</t>
  </si>
  <si>
    <t>Update existing drawings with better and more clear detail.  Such as "100% weld penetration".</t>
  </si>
  <si>
    <t>Thomas C Hoag</t>
  </si>
  <si>
    <t>UWP Blown Out Seal Dredge Illinois</t>
  </si>
  <si>
    <t>create a new standard job to include the proper procedure to not only change the existing filter but the newly installed secondary filter and proper valve opening and closing procedures</t>
  </si>
  <si>
    <t>Craig Daly</t>
  </si>
  <si>
    <t>David Rappe, Bill Baumann</t>
  </si>
  <si>
    <t>02/14/2020</t>
  </si>
  <si>
    <t>Carolina cutter tailshaft / coupling failure</t>
  </si>
  <si>
    <t>Create a policy / procedure to vet any drawing going out for quotes or other actions</t>
  </si>
  <si>
    <t>Steven W  Becker</t>
  </si>
  <si>
    <t>Update drawings for the Carolina, Texas, and Ohio cutter tail shafts to show proper coupling to shaft fit and draw.  Remove / archive all related drawings that contain inaccuracies.</t>
  </si>
  <si>
    <t>Office</t>
  </si>
  <si>
    <t>Create a Standard Job for the installation of the cutter tail shaft.  Include details for coupling / shaft fit, coupling draw, bolt torque, etc.
Include required findings e.g. as measured final coupling draw, cutlass bearing clearance readings, radial bearing clearance readings,</t>
  </si>
  <si>
    <t>Swing Motor Failure Dredge Illinois</t>
  </si>
  <si>
    <t>All increase in swing radius shall be discussed with the captain and chief to ensure no undo stress is put on the associated swing assemblies.</t>
  </si>
  <si>
    <t>Columbia River Main Engines Damage</t>
  </si>
  <si>
    <t>Develop an on boarding process which provides training and hard copy resources to provide to operators in regards to all Maintenance SOPs and role specific responsibilities.</t>
  </si>
  <si>
    <t>Nathan Stevick</t>
  </si>
  <si>
    <t>Clearly define in new SOP what maintenance activities vessel operators are responsible for and what they are not</t>
  </si>
  <si>
    <t>Develop system in which fleet management can easily and frequently qc vessel logs and PMS Book</t>
  </si>
  <si>
    <t>Dredge Carolina Cutter Thrust Bearing Failure</t>
  </si>
  <si>
    <t>Review all SJ's that involve assembly of the bearing (shop rebuild, Assembly installation, rotating element installation, 5,000 hour PM) and edit the same to include detailed steps that we have learned from past experience.  These include; checking the anti-rotation pin clearance, thrust clearance and setting, loading springs install, bushing clearance checks, correct seal installation, housing alignment, housing dimensional checks, sealant, etc.</t>
  </si>
  <si>
    <t>Alexanders Andrezens</t>
  </si>
  <si>
    <t>Review current spare assemblies and correct / address any discrepancies from the current drawing.
(Currently there is a spare being assembled at SPI, One at Progress Machine, and one in stock in Norfolk)</t>
  </si>
  <si>
    <t>Enter request in SmartSheet to perform a review of the current bearing vs functionality and research a better fitting option.  What do the European dredging companies use?  Could we incorporate two radial roller bearings and back to back tapered thrust bearings?</t>
  </si>
  <si>
    <t>Update all assembly procedures to address the possibility of bearing discrepancies.  If the correct slot is not in the bearing it must be added as per drawing / description.</t>
  </si>
  <si>
    <t>Develop a detailed SJ for commissioning of the cutter thrust bearing to be completed after all installations.  Shall include operating parameters, test times, what checks are made and when, required findings, checklist, etc.</t>
  </si>
  <si>
    <t>Update the part description to include specific details of; the anti-rotation slot (Depth, width, and slot not a hole), bearing shall have "three roller style" instead of the two rollers, roll pins , not screws holding the bearing cage together.</t>
  </si>
  <si>
    <t>Work with engineering to review all of the drawings for the Texas, Carolina, and Ohio Cutter Thrust bearing assembly and update / delete as needed to have only one current drawing.  Should include slotted bearing, check housing pin hole dimensions, pin size, seals, bronze bushing diameter and retainers, etc.</t>
  </si>
  <si>
    <t>Carolina Port Main pump drive coupling failure</t>
  </si>
  <si>
    <t>Create standard job(s) for maintenance of the port and starboard main pump couplings. Including the one at the gearbox.</t>
  </si>
  <si>
    <t>Create standard job for pump bearing assembly overhaul including details of coupling inspection and requalification criteria.</t>
  </si>
  <si>
    <t>07/30/2020</t>
  </si>
  <si>
    <t>Serialize bearing assemblies and have each assembly with a hub, sleeve and protective cover.</t>
  </si>
  <si>
    <t>07/23/2020</t>
  </si>
  <si>
    <t>Hold a training session onboard or virtual with the supervisors addressing work assignments with an emphasis on assigning and authorizing a task leader that will be accountable for the successful outcome of the task. Include a discussion on using references and resources.</t>
  </si>
  <si>
    <t>11/30/2020</t>
  </si>
  <si>
    <t>Request engineering to review design for Atra-flex type coupling to allow for total axial movement greater than the travel of the pump bearing assembly.</t>
  </si>
  <si>
    <t>Carolina UWPS coupling failure</t>
  </si>
  <si>
    <t>Request engineering to review the coupling for replacement with a sliding coupling allowing axial adjustment greater than the total adjustment of the bearing foundation.</t>
  </si>
  <si>
    <t>Create a SJ for the installation of ladder pump bearing assembly including details for the impeller adjustment and coupling end play adjustment.</t>
  </si>
  <si>
    <t>07/10/2020</t>
  </si>
  <si>
    <t>Create a SJ for the set up / installation of the line shafts and couplings include details on; coupling assembly, end play, thrust buttons and plates and initial lubrication.</t>
  </si>
  <si>
    <t>Create a SJ for coupling maintenance.  Shall include details on checking end play, thrust components, gear teeth, and lubrication.</t>
  </si>
  <si>
    <t>Hold a training session with supervisors on the workflow of tasks and the need for detailed work orders.  Specifically addressing growth work and when a new "related work" work order is required.</t>
  </si>
  <si>
    <t>Carolina Plugged Service water line</t>
  </si>
  <si>
    <t>Retraining of company policy and procedures for all Engine-room crew on board Dredge Carolina, stressing on proper JSA, and LOTO procedures</t>
  </si>
  <si>
    <t>Thomas Christenson</t>
  </si>
  <si>
    <t>10/07/2020</t>
  </si>
  <si>
    <t>Install Check valve in service water line before hoses to the UWP</t>
  </si>
  <si>
    <t>Jose Martinez</t>
  </si>
  <si>
    <t>Replace pressure gauge on service water line with flow meter</t>
  </si>
  <si>
    <t>01/01/2021</t>
  </si>
  <si>
    <t>Replace pressure switch on service water line with flow meter. Standard job to be created to check all shut down permissive switches.</t>
  </si>
  <si>
    <t>Retrain employees on the JSA requirements,  Issue write up to task leader for not performing JSA prior to the task.</t>
  </si>
  <si>
    <t xml:space="preserve">Ohio Auxiliary Winch Damages </t>
  </si>
  <si>
    <t>Engineering and project Operation to review the vessel's limitations to weather conditions.</t>
  </si>
  <si>
    <t>Brian Bickford, Steven W  Becker, David Rappe, James C Gillespie</t>
  </si>
  <si>
    <t>10/10/2020</t>
  </si>
  <si>
    <t>Dredge captain and project manager to describe the operating conditions based on the wires broken and engineering to confirm possible upgrades.</t>
  </si>
  <si>
    <t>Possible option to add wire potentiometers so that the levermen can see the actual line pull on all anchors.</t>
  </si>
  <si>
    <t xml:space="preserve">Alaska M/P Thrust Bearing Failure </t>
  </si>
  <si>
    <t>Create SJ to inspect/clean the heat exchanger that will allow the crew to replace the Zinc anodes on a frequent basis.</t>
  </si>
  <si>
    <t>Stephen Bugnaski</t>
  </si>
  <si>
    <t>Brian Bickford, James C Gillespie</t>
  </si>
  <si>
    <t>07/04/2021</t>
  </si>
  <si>
    <t>Dredge Texas fuel tank vent plugs incident</t>
  </si>
  <si>
    <t>Develop a policy / procedure to record the installation and removal of any temporary plugs, blanks, etc.</t>
  </si>
  <si>
    <t>Steve Monson</t>
  </si>
  <si>
    <t>01/31/2021</t>
  </si>
  <si>
    <t>Develop a policy / procedure to address the closure of any tank top.  To include a checklist of items such as plugs, vents, debris, tools, etc.  The policy shall address the temporary closure of a tank and third party closures.</t>
  </si>
  <si>
    <t xml:space="preserve">Pass A'Loutre Survey </t>
  </si>
  <si>
    <t>Write a technote regarding proper survey boat calibration techniques</t>
  </si>
  <si>
    <t>Marlene Macron</t>
  </si>
  <si>
    <t>William Bradshaw</t>
  </si>
  <si>
    <t>David J Johanson, Christopher Gunsten, Garrett Gibson</t>
  </si>
  <si>
    <t>07/01/2021</t>
  </si>
  <si>
    <t>Distribute technote to the engineering division.</t>
  </si>
  <si>
    <t>Develop a Standard Operating Procedure that requires the presence of a salaried manager on night shift on the evening prior to any critical operation of channel closure magnitude.</t>
  </si>
  <si>
    <t>Mike Huebsch</t>
  </si>
  <si>
    <t>Cutter Gear Box Input Shaft Bearing Failure</t>
  </si>
  <si>
    <t>Limit the Cutter Motor RPM not to exceed the design specifications of the equipment</t>
  </si>
  <si>
    <t>Jose Gracia, Brian Bickford, Steven W  Becker</t>
  </si>
  <si>
    <t>GL10 Idler Barge</t>
  </si>
  <si>
    <t>Write a standard job for proper bearing replacement.</t>
  </si>
  <si>
    <t>Jose Gracia, Brian Bickford</t>
  </si>
  <si>
    <t>06/30/2021</t>
  </si>
  <si>
    <t>Write a standard job for proper bearing replacement. Make sure standard job for bearing replacement has been QC and provide final report.</t>
  </si>
  <si>
    <t>Currently the maintenance on these type of winches is not tracked.</t>
  </si>
  <si>
    <t>The history of the winch is not known.</t>
  </si>
  <si>
    <t>High priority up grades considered necessary to operate in the work environment.</t>
  </si>
  <si>
    <t>Request for upgraded winches denied. (W.O. 0085909)</t>
  </si>
  <si>
    <t>Outside Influences</t>
  </si>
  <si>
    <t>Off-site Off-property</t>
  </si>
  <si>
    <t>Internal components can not be inspected.</t>
  </si>
  <si>
    <t>Internal mechanisms can not be inspected in the field.</t>
  </si>
  <si>
    <t>The life expectancy is unknown.</t>
  </si>
  <si>
    <t>There is no current policy to rotate / replace the winches.</t>
  </si>
  <si>
    <t>both tug boat and derrick had recently arrived on project</t>
  </si>
  <si>
    <t>Tug Captain first time towing to the heavy lift area</t>
  </si>
  <si>
    <t>complacency</t>
  </si>
  <si>
    <t>Navigation charts on Chart Plotter were not acknowledged prior to or during task</t>
  </si>
  <si>
    <t>confusion of when to do JSA</t>
  </si>
  <si>
    <t>No JSA discussion conducted prior to starting task of moving equipment to yard</t>
  </si>
  <si>
    <t>Deck Capt felt more comfortable using tugs already on site on other demanding tasks in Cape Fear</t>
  </si>
  <si>
    <t>Tug wasn't primary selected vessel chosen by the Dredge Captain</t>
  </si>
  <si>
    <t>It is standard practice to drop spud if vessels become out of shape or encounter other hazards</t>
  </si>
  <si>
    <t>Boom not in the cradle during transit</t>
  </si>
  <si>
    <t>limited comprehension during discussion = no one asking questions</t>
  </si>
  <si>
    <t>Crew not focused or present during pre-shift meeting when everyone was reminded of the power line</t>
  </si>
  <si>
    <t>First time use of the blue type coated rebuilt liner resulted in failure. Note that Previously used Black rubber coated liners did well</t>
  </si>
  <si>
    <t>Substandard back door liner coating</t>
  </si>
  <si>
    <t>Chemical/Biological Substances/Physical Agents</t>
  </si>
  <si>
    <t>Magotteaux did not have a proper thread gauge</t>
  </si>
  <si>
    <t>Substandard impeller</t>
  </si>
  <si>
    <t>Did not single out this lift and the hazards on the barge</t>
  </si>
  <si>
    <t>JSA did not identify risk</t>
  </si>
  <si>
    <t>Need to know estimated weight in order to have a proper pre-lift plan</t>
  </si>
  <si>
    <t>Estimated load not known prior to lift</t>
  </si>
  <si>
    <t>Saddle pin holes are not approved lifting pad eye for tanks</t>
  </si>
  <si>
    <t>Alternative lifting method</t>
  </si>
  <si>
    <t>Water adds to total weigh and possible shifting of load</t>
  </si>
  <si>
    <t>Condition of barge</t>
  </si>
  <si>
    <t>Assembled as per drawings, missing torque specs, proper washers, and rack lubrication.</t>
  </si>
  <si>
    <t>No SOP for installing gearboxes</t>
  </si>
  <si>
    <t>Assembly could be made better / fail safe with the addition of chocks to lock the gearboxes in</t>
  </si>
  <si>
    <t>Could the part / assembly / component be re-engineered or modified in a way to prevent the failure being investigated</t>
  </si>
  <si>
    <t>Jacking procedure is old and needs updating and should be accompanied with a JSA</t>
  </si>
  <si>
    <t>1.	Was the incident caused by incorrect operation / operator error?</t>
  </si>
  <si>
    <t>Run til failure works for some components but there are scheduled checks that can be made and periodic maintenance e.g. lube oil analysis, greasing of rack and pinions, brake inspections, etc.</t>
  </si>
  <si>
    <t>Is the failed assembly / part / component included in some sort of scheduled maintenance procedure or inspection? (In other words do we just run it until it quits?)</t>
  </si>
  <si>
    <t>change out interval is potentially too long</t>
  </si>
  <si>
    <t>3.	If there is a maintenance procedure &amp;ndash; could it be modified to prevent the incident being investigated?</t>
  </si>
  <si>
    <t>create additional condition based monitoring check list</t>
  </si>
  <si>
    <t>Insufficient condition based monitoring.</t>
  </si>
  <si>
    <t>2.	Is the failed assembly / part / component included in some sort of scheduled maintenance procedure or inspection? (In other words do we just run it until it quits?)</t>
  </si>
  <si>
    <t>The crew did not recognize all of their available options only the options that were directly in front of them</t>
  </si>
  <si>
    <t>Picking up the pontoon tank from the bitt</t>
  </si>
  <si>
    <t>When they began picking up the tank the load was not a straight pick.</t>
  </si>
  <si>
    <t>Dragging the tank using the crane</t>
  </si>
  <si>
    <t>No reviewed and approved standard procedure exists for tow rigging for rafted subline.</t>
  </si>
  <si>
    <t>Standard operating procedure to tow a barge and pipe raft in series.</t>
  </si>
  <si>
    <t>There is not a standard procedure for minimum rigging required for subine tows.</t>
  </si>
  <si>
    <t>Characteristics of rigging components between AB and pipe - only cable was used.</t>
  </si>
  <si>
    <t>Poor Communication between tug operations and Multi Beam boat operator</t>
  </si>
  <si>
    <t>Multi Beam boat was not positioned in the safest way during non-routine dredging operations.</t>
  </si>
  <si>
    <t>Tug Operator Mis-estimated where the stern would land or was just not paying attention</t>
  </si>
  <si>
    <t>Captain on the Gulf Dawn was not attentive to where his stern was</t>
  </si>
  <si>
    <t>No JSA for working without a Spreader</t>
  </si>
  <si>
    <t>Gap in JSA for working without a Spreader</t>
  </si>
  <si>
    <t>No Spreader available onsite</t>
  </si>
  <si>
    <t>No Spreader utilized at discharge</t>
  </si>
  <si>
    <t>On the job training has been the standard practice for new operators.</t>
  </si>
  <si>
    <t>Lack of Standardized Training Procedures for new Fill Site Operators</t>
  </si>
  <si>
    <t>Organization Framework</t>
  </si>
  <si>
    <t>Ladder Dragging in material slows swing speed and requires more swing tonnage</t>
  </si>
  <si>
    <t>Pulling 70 to 90 tons on the swing winches</t>
  </si>
  <si>
    <t>Winch is under rated for the weight and swing power of the Texas offshore</t>
  </si>
  <si>
    <t>Strain on winch exceeded design limit</t>
  </si>
  <si>
    <t>Poor QC on Keystone's part</t>
  </si>
  <si>
    <t>The gear box was disassembled and assembled in the field with no apparent problems issues found.</t>
  </si>
  <si>
    <t>The motor inspections during normal PM and troubleshooting did not reveal the missing bolts</t>
  </si>
  <si>
    <t>Lack of trouble shooting procedure.</t>
  </si>
  <si>
    <t>Fuses were replaced more the one time without finding probable cause.</t>
  </si>
  <si>
    <t>No PM in place</t>
  </si>
  <si>
    <t>Run to failure was accepted practice.</t>
  </si>
  <si>
    <t>No policy in place for trouble shooting or communicating the problem for direction.</t>
  </si>
  <si>
    <t>Did not start trouble shooting problem until 0700 when Maintenance arrived on site.</t>
  </si>
  <si>
    <t>No proactive method in place to address to be written PM jobs</t>
  </si>
  <si>
    <t>No WO was made at the time of the repair which would have included QC checks.</t>
  </si>
  <si>
    <t>The crew did not follow through with generator and motor checks/complete repair after swing drive was fixed. when drive first failed 10/16</t>
  </si>
  <si>
    <t>Policy for inventory up keep, WO usage &amp;amp; recalculation were not being followed in the past.</t>
  </si>
  <si>
    <t>Despite brushes showing on hand in NS5 inventory the crew assured Maintenance Manger that had looked and that there were none on hand.</t>
  </si>
  <si>
    <t>Socket was loose but broke when assistant chief was attempting to change the chip per Bill English</t>
  </si>
  <si>
    <t>Broken/loose socket on DC ARM amp isolator board</t>
  </si>
  <si>
    <t>A. Low insulation resistance due to excess moisture</t>
  </si>
  <si>
    <t>Low Insulation Resistance</t>
  </si>
  <si>
    <t>B. Low insulation resistance due to excess carbon dust</t>
  </si>
  <si>
    <t>Brush neutral was set at factory zero and not adjusted for the actual cutter motors.</t>
  </si>
  <si>
    <t>Cutter motor receiving continuous current</t>
  </si>
  <si>
    <t>Create a silicone film between the brush and the commutator not allowing proper contact</t>
  </si>
  <si>
    <t>Use of silicone to seal access covers.</t>
  </si>
  <si>
    <t>Standard job for the inspection of the motor does not exist including the requirement of recording findings and work completed on the motor</t>
  </si>
  <si>
    <t>Lack of maintenance documentation</t>
  </si>
  <si>
    <t>QC failure on reassembly of the motor</t>
  </si>
  <si>
    <t>The power cable not properly secured in the motor at last overhaul</t>
  </si>
  <si>
    <t>It is not part of the current standard job to mag particle or dye test the couplings prior to fitting on shaft.</t>
  </si>
  <si>
    <t>Coupling is old, actual age unknown, metal fatigue.</t>
  </si>
  <si>
    <t>No instructions were given or available in the for tailshaft installation.</t>
  </si>
  <si>
    <t>Coupling has signs of pad-eyes welded near the keyway causing stress / hard spots.</t>
  </si>
  <si>
    <t>System was not in place to track individual parts especially those shared between vessels.</t>
  </si>
  <si>
    <t>.Results of reverse engineering</t>
  </si>
  <si>
    <t>Gears loading on both sides</t>
  </si>
  <si>
    <t>Design flaw with output sealing.</t>
  </si>
  <si>
    <t>Water in oil</t>
  </si>
  <si>
    <t>Deviated from gearbox OEM brg type due to cost and availability</t>
  </si>
  <si>
    <t>Brg specifications not meeting requirements</t>
  </si>
  <si>
    <t>Input shafts assembled in machine to expedite reassembly of gearbox which make it not able to reconfirm fits.</t>
  </si>
  <si>
    <t>Input bearing incorrectly retained with spacer and flange spigot</t>
  </si>
  <si>
    <t>Never designed with concerns of overheating under water.</t>
  </si>
  <si>
    <t>Oil over heating</t>
  </si>
  <si>
    <t>Box was assumed to operated fully submerged at all times and the sea water would provide sufficient cooling so the box was not fitted with sensors as it is a difficult installation.</t>
  </si>
  <si>
    <t>Operating temperature of gearbox / oil has been noted to be high but no sensors are installed</t>
  </si>
  <si>
    <t>Industry standard is not to use packing in this application and mechanical seals are normally used.</t>
  </si>
  <si>
    <t>Water intrusion into gearbox</t>
  </si>
  <si>
    <t>Lack of direction / clear expectations for following job steps and providing feedback on the standard jobs.  What we can't do, what else we need to do, what should be different, etc.</t>
  </si>
  <si>
    <t>Standard jobs completed without following details of job</t>
  </si>
  <si>
    <t>No cooling system is installed on the gearbox</t>
  </si>
  <si>
    <t>No formal audit program to audit standard jobs has been developed.</t>
  </si>
  <si>
    <t>No audits on the PM plan to ensure the work is being done, and can be accomplished as prescribed</t>
  </si>
  <si>
    <t>There is no audit program to circle back and check the accuracy and quality of the completed standard jobs</t>
  </si>
  <si>
    <t>There is no feedback or check on what samples are due / overdue. from Total and the missing reports were not noticed.</t>
  </si>
  <si>
    <t>Oil samples were not received / reported by Total for the cutter gearbox.</t>
  </si>
  <si>
    <t>Due to project requirements of digging rock it was estimated as the Carolina needed to be digging on the carriage</t>
  </si>
  <si>
    <t>GL-10 was needed for project requirements digging hard material</t>
  </si>
  <si>
    <t>During the beam on conditions the end cap of the Port side pin connection fell off. Dredge continued to operate normally with this situation and would be reviewed on next down time opprotunity</t>
  </si>
  <si>
    <t>GL-10 Pin Connection had a loose connection on the port side and also the end cap had broken free during the project</t>
  </si>
  <si>
    <t>Inventory in Norfolk yard needs to have an assigned Min/Max so that a pin is always in stock and/or on order</t>
  </si>
  <si>
    <t>GLDD Technical group had made the decision to move the inventory from under the Carolina/GL-10 to Norfolk yard and cancel the req without placing a new req in Norfolk yard to order causing further downtime in the delay</t>
  </si>
  <si>
    <t>The dredge Alaska Leverman was under a time constraint to move the Alaska out of the channel before the ship arrived.</t>
  </si>
  <si>
    <t>Late notice on traffic</t>
  </si>
  <si>
    <t>The shackle failed while the anchor was hanging on the bit causing the anchor to fall to the seabed, while the hanger cable remained on the bit.</t>
  </si>
  <si>
    <t>Failure of the 1 1/4&amp;quot; shackle connecting the anchor to the hanger cable</t>
  </si>
  <si>
    <t>lack of specific Hazard recognition discussed.</t>
  </si>
  <si>
    <t>Boats were not aware of the hose position until the spud deployment was in the middle of the operation.</t>
  </si>
  <si>
    <t>Poor planning / lack of JSA for new task</t>
  </si>
  <si>
    <t>Chief Engineer was focused on operation of deploying spuds and did not have a view of the hose.</t>
  </si>
  <si>
    <t>Two issues identified in the above scenarios. the First being that when the crew on the Booster discussed lowering the spuds and raising the Booster, the position of the hose was not discussed or noticed as a hazard for additional work by the Bullgang. Secondly, as it was good that an all stop was called, the change of conditions was not addressed and discussed with regards of how to proceed step by step (second JSA) with potential risk factors identified or discussed. Reactionary procedures ensued with out identification of potential consequences.</t>
  </si>
  <si>
    <t>Engineers watching the feet during deployment did not did not recognize the need to remove the hose.</t>
  </si>
  <si>
    <t>Previously just 'managed' by Captain and not incorporated into a standard job</t>
  </si>
  <si>
    <t>Premature failure of hose and 9ft steel pipe underwater</t>
  </si>
  <si>
    <t>Standard job not completed when dredge was in the Middle East. Captain had this on his list of tasks to write and was in the middle of completing this task</t>
  </si>
  <si>
    <t>Prolonged delay making hull connection at vitalic coupling</t>
  </si>
  <si>
    <t>Crew expected the barges to be tied up without fendering for a short period of time in calm water so no temporary fenders were added</t>
  </si>
  <si>
    <t>Barges were tied up with no fendering in between.</t>
  </si>
  <si>
    <t>The DB 186 arrived at the Big Bend project with no fendering on either side</t>
  </si>
  <si>
    <t>The DB 186 arrived on site with no fendering</t>
  </si>
  <si>
    <t>Supervisor was not following procedures on JSA and participate in job task.</t>
  </si>
  <si>
    <t>The Supervisor was not at his post</t>
  </si>
  <si>
    <t>motors are dated and has not had an armature rewind recently</t>
  </si>
  <si>
    <t>motor shorted out under commutator</t>
  </si>
  <si>
    <t>Welding procedure was not followed IAW drawing 101-07-2960 REV 1 as directed in the Service REQ/PO # 1720973.</t>
  </si>
  <si>
    <t>Lower pivot sheave pin had improper weld.</t>
  </si>
  <si>
    <t>routine job was not routine due to new filter installation where there were no filters before.  The valve in question had not been closed before.</t>
  </si>
  <si>
    <t>Did not follow the standard job steps to double check that all valves closed to start the job were reopened at the completion of the job.</t>
  </si>
  <si>
    <t>Blue fit was not checked at install since the TPC was not used</t>
  </si>
  <si>
    <t>SOP in &amp;quot;Technical Procedure Card&amp;quot; format was not followed as written.</t>
  </si>
  <si>
    <t>The TPC was never transferred to a Standard Job for the task</t>
  </si>
  <si>
    <t>There is no set policy or provision to make sure only the latest drawing is used or worked from or that all ref drawings are updated in accordance with any changes.</t>
  </si>
  <si>
    <t>Drawing used was the most recent drawing but it had the wrong specs on it</t>
  </si>
  <si>
    <t>to save time from moving the dredge</t>
  </si>
  <si>
    <t>possible overload of mandated swing radius</t>
  </si>
  <si>
    <t>Lack of Training and Orientations for Operators regarding maintenance policies, SOPs, and responsibilities.</t>
  </si>
  <si>
    <t>SOP was not followed and accelerant was sprayed into engines during startup</t>
  </si>
  <si>
    <t>Different drawings exist in our system with conflicting pin / slot / hole sizes.</t>
  </si>
  <si>
    <t>Pins from the installed assembly were 0.200&amp;quot; too long for the new bearing in the existing housing.</t>
  </si>
  <si>
    <t>Different manufacturers and even the same manufacturer of the roller bearings supply them with various anti rotation methods.  e.g. slots, drilled holes, various depths and widths.</t>
  </si>
  <si>
    <t>No SJ was written taking into account the issues found during previous failures and repairs.</t>
  </si>
  <si>
    <t>Procedure used did not have enough details for the task at hand</t>
  </si>
  <si>
    <t>Spherical seats of bearings are not functional at the assembled set up.
Alignment of the assembly is made difficult because of no radial shaft to housing alignment.
There should be radial bearings at each end of the assembly
Straight roller bearing is poorly suited as there is always some sliding of the rollers to make the circle.  Tapered roller bearings would be a much better choice.
Grease filled assembly and poor seal design has led to water intrusion and other damage.</t>
  </si>
  <si>
    <t>Bearing design does not match the application requirements.</t>
  </si>
  <si>
    <t>There is no commissioning procedure with protocols and checklists to be done before turning over to OPS.</t>
  </si>
  <si>
    <t>Bearing was never properly tested prior to operations</t>
  </si>
  <si>
    <t>We did not use the continuous improvement of our processes through experience and feedback..</t>
  </si>
  <si>
    <t>We have made modifications to the housings for various improvements.  As these are made we have captured the changes on drawings but with six assemblies not all get modified at once.</t>
  </si>
  <si>
    <t>We have six assemblies and there are subtle differences between them.</t>
  </si>
  <si>
    <t>Best practice would be to keep a designated sleeve with each hub on the pump bearing assemblies.</t>
  </si>
  <si>
    <t>Coupling sleeve was used with all thrust bearing hubs on the three pump bearing assemblies.</t>
  </si>
  <si>
    <t>Chief engineer's didn't assign a task owner that was qualified and authorized to do the task.</t>
  </si>
  <si>
    <t>Stuffing box damaged during disassembly.</t>
  </si>
  <si>
    <t>Coupling did not have it's own standard job</t>
  </si>
  <si>
    <t>No conformation of type and quantity of grease used during installation and maintenance.</t>
  </si>
  <si>
    <t>No standard job for thrust bearing overhaul.</t>
  </si>
  <si>
    <t>Hub appeared to have moved on the shaft.</t>
  </si>
  <si>
    <t>Original design of pump shaft and couplings doesn't accommodate for total travel of thrust bearing assembly.</t>
  </si>
  <si>
    <t>Coupling doesn't have enough travel to accommodate the total travel of the thrust bearing assembly.</t>
  </si>
  <si>
    <t>References or instructions weren't provided</t>
  </si>
  <si>
    <t>There was no standard job for the overhaul</t>
  </si>
  <si>
    <t>Coupling hub and sleeve were in an unknown condition at installation.</t>
  </si>
  <si>
    <t>With no requalification criteria it is unknown if the shop was qualified to assess the coupling condition.</t>
  </si>
  <si>
    <t>No Standard job or SOP developed for coupling maintenance and installation</t>
  </si>
  <si>
    <t>There were never any checks to verify the the coupling end play</t>
  </si>
  <si>
    <t>The PIC of the task didn't recognize the need to create a related work work order or look up the details for the coupling installation and set up.</t>
  </si>
  <si>
    <t>The thrust plate for the lower coupling was not installed when the bearing assembly was installed in Dec 2018</t>
  </si>
  <si>
    <t>There was no standard job or SOP to install the bearing assembly or coupling</t>
  </si>
  <si>
    <t>Wrong coupling selection for the application.</t>
  </si>
  <si>
    <t>The couplings used in the system do not allow full adjustment of the pump impeller via the sliding bearing assembly.</t>
  </si>
  <si>
    <t>Complacency?</t>
  </si>
  <si>
    <t>Did service water get turned on prior to start up of the dredge? if not how long after dredge started before it was turned on</t>
  </si>
  <si>
    <t>No JSA or WO was completed for the task of changing the gasket</t>
  </si>
  <si>
    <t>Job Steps were not laid out prior to the task taking place</t>
  </si>
  <si>
    <t>pressure switch installed and not flow</t>
  </si>
  <si>
    <t>Is the pressure switch functioning properly</t>
  </si>
  <si>
    <t>The UWP is not like any other UWP and has two service water lines , the one on the stuffing side has a check valve, but the nose ring does not.</t>
  </si>
  <si>
    <t>No check valve installed on service water lines from UWP to limit the back flow of sand into the system</t>
  </si>
  <si>
    <t>With plugged or jumped out pressure switches, UWP is allowed to start without service water, bypassing safety controls.</t>
  </si>
  <si>
    <t>It was mentioned that the vessel was operating in rough weather conditions higher than the recommendations from engineering.</t>
  </si>
  <si>
    <t>The weather condition was a limiting fact.</t>
  </si>
  <si>
    <t>The winches are not equipment with actual load indicators while the winch while the brakes are engaged.</t>
  </si>
  <si>
    <t>The vessel is not equipped with actual line pull indicators</t>
  </si>
  <si>
    <t>We were not expected such high loads on the winches. Per engineering calculation, the winches are created to the wire break strength limit.</t>
  </si>
  <si>
    <t>Equipment was running at maximum limit based on hydraulic pressure.</t>
  </si>
  <si>
    <t>Tube failure due to erosion of caused by seawater.</t>
  </si>
  <si>
    <t>Heat exchangers failure</t>
  </si>
  <si>
    <t>There is no policy for closing a tank after entry</t>
  </si>
  <si>
    <t>Vent plugs were not removed prior to fueling the dredge</t>
  </si>
  <si>
    <t>There is no procedure or guidance for recording the installation of plugs / blanks.</t>
  </si>
  <si>
    <t>Dredge Texas internal fuel leak incident</t>
  </si>
  <si>
    <t>USCG was notified prior to the development of a comprehensive plan for preparation of the vessel and how we will liaison with the authorities.</t>
  </si>
  <si>
    <t>USCG was notified before maintenance department</t>
  </si>
  <si>
    <t>PLS was onboard to witness calibrations and did not object to any settings</t>
  </si>
  <si>
    <t>Site team felt the boat was calibrated properly and ready to perform pay surveys</t>
  </si>
  <si>
    <t>The night leverman was not 100% clear on the plan as communicated by dredge leadership</t>
  </si>
  <si>
    <t>Ladder not calibrated to depth</t>
  </si>
  <si>
    <t>There was confusion as to which tide value within HyPack the vertical offset should be accounted for</t>
  </si>
  <si>
    <t>Site Engineer adjusts vertical offset day of channel digging</t>
  </si>
  <si>
    <t>The individuals in charge of making the design decisions failed to obtain appropriate equipment limitation specifications from the Subject Matter Experts of each of the associated parts.</t>
  </si>
  <si>
    <t>During the design phase, the speed of the cutter input shafts was discussed and it was determined that both the oil seals and the cutter gearbox could operate safely at 1300 RPMs.</t>
  </si>
  <si>
    <t>Possible manufacturing defect was not detected.</t>
  </si>
  <si>
    <t>Manufacturing defect.</t>
  </si>
  <si>
    <t>The bearings or clutch assembly was installed incorrectly.</t>
  </si>
  <si>
    <t>Incorrect installation or orientation of the bearing.</t>
  </si>
  <si>
    <t>Hydraulic Dredging</t>
  </si>
  <si>
    <t xml:space="preserve">Savannah Harbor Expansion Project </t>
  </si>
  <si>
    <t>08/20/2016</t>
  </si>
  <si>
    <t>W912HN-15-C-0005</t>
  </si>
  <si>
    <t>08/16/2016</t>
  </si>
  <si>
    <t>Operator, mate and two deck hands.   The operator was up stairs in the control tower.  The mate and one deck hand were on deck.</t>
  </si>
  <si>
    <t xml:space="preserve">The spider barge was 600' behind the Dredge Illinois with the GL 66 scow on the port side.  The tug Miss Emily was tided to the outside of the tug and the tug Allie B was connected by their tow bridal and tided off to the outside of the scow. </t>
  </si>
  <si>
    <t xml:space="preserve">The discharge arm was connected to spider arm winch with an eight parted 3/4" wire.  The 1 1/4" stay wires are connected to the arm with 1 1/2" shackles. </t>
  </si>
  <si>
    <t>72464 Wilm Harbor Inner Bar</t>
  </si>
  <si>
    <t>09/09/2016</t>
  </si>
  <si>
    <t>W912PM-15-C-0002</t>
  </si>
  <si>
    <t>01/03/2015</t>
  </si>
  <si>
    <t>Derrick</t>
  </si>
  <si>
    <t>Fog, Rain</t>
  </si>
  <si>
    <t>Brian Bohanan</t>
  </si>
  <si>
    <t>derrick operator - craig cordice, deckhands - quantus brown and J. lewis - all on derrick in break room</t>
  </si>
  <si>
    <t>Derrick 66 being pushed by Tug Bayou Dawn. Derrick was boomed up</t>
  </si>
  <si>
    <t>PFD - Personal Flotation Device</t>
  </si>
  <si>
    <t>The Sandusky Bay (outboard motor survey boat) was dispatched to secure area and warn mariners of hazards and to stay clear of the area until USCG arrived and assumed duties and took control of situation.</t>
  </si>
  <si>
    <t>84379 Shell Island West</t>
  </si>
  <si>
    <t>10/21/2016</t>
  </si>
  <si>
    <t>09/29/2016</t>
  </si>
  <si>
    <t>Dredge Pump and thrust bearing in normal configuration.</t>
  </si>
  <si>
    <t>Pump and thrust configured for normal dredging operations</t>
  </si>
  <si>
    <t>Mechanical - QA/QC, Other</t>
  </si>
  <si>
    <t>GL 84379 - Shell West,  LA</t>
  </si>
  <si>
    <t>12/08/2016</t>
  </si>
  <si>
    <t>BA-111</t>
  </si>
  <si>
    <t>10/07/2016</t>
  </si>
  <si>
    <t>LV Breithaupt</t>
  </si>
  <si>
    <t>Derrick operator in crane, Mate &amp; boat operator as riggers</t>
  </si>
  <si>
    <t>The Derrick was tied up alongside the Megga Yard Dock.</t>
  </si>
  <si>
    <t>SALT - Save A Life Today Rule, Life Saving Absolutes</t>
  </si>
  <si>
    <t xml:space="preserve">Barriers that worked was to keep clear of suspended loads.
Barriers that failed
         1) JSA did not identify potential risk in using the pin holes to make lift
         2) Ensure load is secure prior to lift
         3) access weight, size &amp; lifting characteristics 
</t>
  </si>
  <si>
    <t>Cape May</t>
  </si>
  <si>
    <t>01/15/2017</t>
  </si>
  <si>
    <t>Booster</t>
  </si>
  <si>
    <t>Hosiah Thompson</t>
  </si>
  <si>
    <t>0211</t>
  </si>
  <si>
    <t xml:space="preserve">Booster was on location in the ocean 37' water depth. stern connection was hooked up (1 float hose and two sink hoses.
Port spud had 10 gearboxes, stbd and stern spud had 11 each.  full compliment is 12.  </t>
  </si>
  <si>
    <t>None involved</t>
  </si>
  <si>
    <t>JSA - Job Safety Analysis, Mechanical - SOP, Mechanical - QA/QC, Mechanical - Material Specs</t>
  </si>
  <si>
    <t xml:space="preserve">Cape May </t>
  </si>
  <si>
    <t>02/04/2017</t>
  </si>
  <si>
    <t>engine room accomplishing normal activities</t>
  </si>
  <si>
    <t>Brian C Puckett</t>
  </si>
  <si>
    <t>84379 Shell West</t>
  </si>
  <si>
    <t>02/21/2017</t>
  </si>
  <si>
    <t>02/14/2017</t>
  </si>
  <si>
    <t>Charles Kelly</t>
  </si>
  <si>
    <t>Charles Kelly was on shore with Robert Pullins rigging the tank and David Snead was in the crane.</t>
  </si>
  <si>
    <t>Derrick was 10' off shore, eastern end of Shell East. Pontoon tank was 10' shore side. Approximately 30' from center pin.</t>
  </si>
  <si>
    <t>See attached drawing.</t>
  </si>
  <si>
    <t>PPE - Personal Protection Equipment</t>
  </si>
  <si>
    <t>JSA - Job Safety Analysis, SALT - Save A Life Today Rule, Company Policy, Life Saving Absolutes</t>
  </si>
  <si>
    <t>No individuals were in the line of fire which had there been this equipment damage could have been an injury at minimum and fatality at worse.</t>
  </si>
  <si>
    <t>SHEP</t>
  </si>
  <si>
    <t>Pipe Raft</t>
  </si>
  <si>
    <t xml:space="preserve">see attached pdf. </t>
  </si>
  <si>
    <t>see attached pdf.</t>
  </si>
  <si>
    <t>Company Policy, Mechanical - SOP</t>
  </si>
  <si>
    <t>Philly ot the Sea - Wilmington Harbor</t>
  </si>
  <si>
    <t>02/25/2017</t>
  </si>
  <si>
    <t>ABC123</t>
  </si>
  <si>
    <t>02/06/2017</t>
  </si>
  <si>
    <t>Captain Raeford Mills Jr - Columbia River
Captain Mike Sanzon - Gulf Dawn</t>
  </si>
  <si>
    <t>The Gulf Dawn was nosed up to the strbd bow of the TX. He was being used to assist in swinging into the dock face.
The Columbia river was tied up alongside the North Star Tug which was tied up around midship strbd side of the dredge TX</t>
  </si>
  <si>
    <t>Tug Boat and Crew/Survey Boat</t>
  </si>
  <si>
    <t>PTP - Pre-Task Planning, Safety Rules</t>
  </si>
  <si>
    <t>72561 Morehead</t>
  </si>
  <si>
    <t>03/28/2017</t>
  </si>
  <si>
    <t>W912PM-17-C-0002</t>
  </si>
  <si>
    <t>Fill Site</t>
  </si>
  <si>
    <t>Project - Land/Disposal Area</t>
  </si>
  <si>
    <t>Dozer #1 Op: Pushing material in front of Berm Discharge ~30-40' away from discharge pipe.
Dozer #2 Op: Grading operations ~300' from Discharge
Loader Op: Lay Down Area ~500' from Discharge
Shoreman #1 and #2: Supply Shack ~300' from discharge
Fill Foreman: Stage Area ~5,000' from Discharge</t>
  </si>
  <si>
    <t>Dozer #1: Pushing material in front of Berm Discharge ~30-40' away from discharge pipe
Dozer #2: Grading operations ~300' from Discharge
Loader: Lay Down Area ~500' from Discharge</t>
  </si>
  <si>
    <t>Wye-Valve located ~700' from discharge.</t>
  </si>
  <si>
    <t xml:space="preserve">Operator of sunken Dozer was able to free himself quickly.
Dredge able to shutdown in sufficient time.
Dozer #2 was able to construct a relief trench to release water buildup around sunken dozer.
Axiom treatment initiated.
</t>
  </si>
  <si>
    <t>Avalon</t>
  </si>
  <si>
    <t>04/20/2017</t>
  </si>
  <si>
    <t>Normal Dredging operations in the BA</t>
  </si>
  <si>
    <t>0118</t>
  </si>
  <si>
    <t>Dredge Texas</t>
  </si>
  <si>
    <t>Spud Winches</t>
  </si>
  <si>
    <t>Morehead</t>
  </si>
  <si>
    <t>05/23/2017</t>
  </si>
  <si>
    <t>0105</t>
  </si>
  <si>
    <t xml:space="preserve">Whiskey Island </t>
  </si>
  <si>
    <t>08/02/2017</t>
  </si>
  <si>
    <t>0101</t>
  </si>
  <si>
    <t xml:space="preserve">Dredge was preforming dredging operation </t>
  </si>
  <si>
    <t>Philly to the Sea</t>
  </si>
  <si>
    <t>08/18/2017</t>
  </si>
  <si>
    <t>Cameron R Whitmore</t>
  </si>
  <si>
    <t>08/17/2017</t>
  </si>
  <si>
    <t>Richard Alexander</t>
  </si>
  <si>
    <t xml:space="preserve">Dredge IL with idler barge GL 177 digging in the DE River.  Dredge was positioned on the green side of the channel, facing down stream.  </t>
  </si>
  <si>
    <t>Swing winch, custom made DCR ARM amp isolator board</t>
  </si>
  <si>
    <t xml:space="preserve">There are several factors that prevented this from having a longer delay time. Chris Slimmer answering his phone while on vacation, the combination of Bill English and the Assistant Chief trouble shooting the system over the phone to locate the main issue, and the availability of Bill English to be able to get on a plane and head immediately to the dredge once the issue was identified. </t>
  </si>
  <si>
    <t>James P Arias</t>
  </si>
  <si>
    <t>Al Naseem Phase II</t>
  </si>
  <si>
    <t>11/15/2017</t>
  </si>
  <si>
    <t>10/28/2017</t>
  </si>
  <si>
    <t>Barry Ashton</t>
  </si>
  <si>
    <t>Not Applicable</t>
  </si>
  <si>
    <t>0110</t>
  </si>
  <si>
    <t xml:space="preserve">Vessel was located at Western Channel - Sand Mining Barrow Area CAR CUT 3 Al Naseem Dredging Area </t>
  </si>
  <si>
    <t>After shutdown for inspection, it was found that the Port cutter motor sustained severe burnt on the electrical components. 
The cutter motor was removed in the morning and was replaced with Cutter Motor #2.</t>
  </si>
  <si>
    <t>Whiskey Island Project</t>
  </si>
  <si>
    <t>12/21/2017</t>
  </si>
  <si>
    <t>Dredge was digging on the Whiskey Island Project</t>
  </si>
  <si>
    <t>Port and stbd cutter motors were in operation</t>
  </si>
  <si>
    <t>Vigilant watchstanding. Watchstanders visually noticed the problem with the motors and notified the Captain and the Chief of the issue.</t>
  </si>
  <si>
    <t>Whiskey Island</t>
  </si>
  <si>
    <t>02/10/2018</t>
  </si>
  <si>
    <t xml:space="preserve">Dredge was digging on the Whiskey Island project </t>
  </si>
  <si>
    <t>Dredge was digging with 2 main engines running 1 main generator and 2 cutter motors running</t>
  </si>
  <si>
    <t xml:space="preserve">2 cutter motors </t>
  </si>
  <si>
    <t>Whiskey Island Project 84414</t>
  </si>
  <si>
    <t>02/01/2018</t>
  </si>
  <si>
    <t>The Dredge Alaska was digging offshore in the Borrow Area. During routine ladder inspection, the crack was found</t>
  </si>
  <si>
    <t xml:space="preserve">Shaft was not in operation when the crack was found. </t>
  </si>
  <si>
    <t xml:space="preserve">Due to routine ladder maintenance / inspections, the crack was caught early before a worse outcome. </t>
  </si>
  <si>
    <t>Holgate</t>
  </si>
  <si>
    <t>04/01/2018</t>
  </si>
  <si>
    <t>Cutter Gearbox</t>
  </si>
  <si>
    <t>Bearing Failure</t>
  </si>
  <si>
    <t>Mechanical - PM Plan, Mechanical - SOP, Mechanical - QA/QC, Mechanical - Material Specs</t>
  </si>
  <si>
    <t>Charleston deepening</t>
  </si>
  <si>
    <t>05/02/2018</t>
  </si>
  <si>
    <t>Charleston Harbor Deeping II</t>
  </si>
  <si>
    <t>07/03/2018</t>
  </si>
  <si>
    <t>Idler/Power Barge</t>
  </si>
  <si>
    <t>Dark, High Winds, Severe Storms</t>
  </si>
  <si>
    <t>Dredge was in normal operation dredging within Acceptance Section 3 when pin failure occurred on Port connection</t>
  </si>
  <si>
    <t>0595</t>
  </si>
  <si>
    <t>Dredge Carolina &amp; Idler Barge GL-10</t>
  </si>
  <si>
    <t>Pin connection of GL-10 came free from housing while in normal operation.</t>
  </si>
  <si>
    <t>Mechanical - SOP, Mechanical - Material Specs</t>
  </si>
  <si>
    <t>Charleston Entrance Channel Deepening</t>
  </si>
  <si>
    <t>08/11/2018</t>
  </si>
  <si>
    <t>Normal Dredge ops in Dig Area</t>
  </si>
  <si>
    <t>Port Spud Winch</t>
  </si>
  <si>
    <t>Tampa Harbor Bid Bend Channel</t>
  </si>
  <si>
    <t>11/27/2018</t>
  </si>
  <si>
    <t>Leverman in Alaska leverroom
Captain of the Evergreen State in wheelhouse
Captain of the KJ in wheelhouse</t>
  </si>
  <si>
    <t>See attached sketch of vessel configuration.
See anchor and hanger cable picture</t>
  </si>
  <si>
    <t xml:space="preserve">1 1/4" hanger cable
1 1/4" shackle
</t>
  </si>
  <si>
    <t>Mechanical - PM Plan, Other</t>
  </si>
  <si>
    <t>Bilge alarms working correctly identified the problem before too much water was taken on board or water rose to a level that damaged other equipment.</t>
  </si>
  <si>
    <t>Fire Island Inlet Maintenance Dredging 2018</t>
  </si>
  <si>
    <t>12/08/2018</t>
  </si>
  <si>
    <t>Caught in</t>
  </si>
  <si>
    <t>One engineer port side watching the spud go down The other engineer on stnd side
Chief engineer at the controls</t>
  </si>
  <si>
    <t>Jacking the spuds down it was notice the float hose was caught between the spud and the barge.Signal was given to raise spud to get the hose out. Couldn't see the flange which was caught under the barge on top of the foot</t>
  </si>
  <si>
    <t>Hose assembly consisting of a Float hose, a sink hose, and a riser pipe attached to both the suction and discharge side of the booster while under tow.</t>
  </si>
  <si>
    <t>JSA - Job Safety Analysis, PTP - Pre-Task Planning</t>
  </si>
  <si>
    <t>72606 - Tampa Big Bend Channel</t>
  </si>
  <si>
    <t>12/19/2018</t>
  </si>
  <si>
    <t>Gudalupe Benevides</t>
  </si>
  <si>
    <t xml:space="preserve">Dredge was in normal operations during time of failure. </t>
  </si>
  <si>
    <t>Dredge Carolina was in normal operations during time of failure</t>
  </si>
  <si>
    <t>Big Bend Channel</t>
  </si>
  <si>
    <t>12/21/2018</t>
  </si>
  <si>
    <t>Deck or Ramp Barge</t>
  </si>
  <si>
    <t>Struck against</t>
  </si>
  <si>
    <t>Cloudy, High Winds, Rain, Severe Storms</t>
  </si>
  <si>
    <t>Armando Rios</t>
  </si>
  <si>
    <t>The dredge Alaska and Carolina were digging in the Big Bend channel.  The deck barges were located in the nearby staging area.  Both the bullgang and dredge deck crews were assigned to oversee the staging area operations.  Bullgang crews were pulled from the project several times to assist with Egmont Mob/demob.</t>
  </si>
  <si>
    <t>The starboard side of the DB 186 was tied to the port side of the 172.  No fendering between the barges.  PDF of the layout attached</t>
  </si>
  <si>
    <t>Stbd Cutter Motors Overheating</t>
  </si>
  <si>
    <t>04/26/2019</t>
  </si>
  <si>
    <t>Bill Baumann, Armand F Riehl, James C Gillespie</t>
  </si>
  <si>
    <t>Milton Garcia (watch engineer) &amp; Roger Hancock (oiler) on watch during failure.</t>
  </si>
  <si>
    <t xml:space="preserve">Rock chopping </t>
  </si>
  <si>
    <t>Milling cutter</t>
  </si>
  <si>
    <t>Stop Work, Mechanical - PM Plan, Mechanical - SOP, Mechanical - QA/QC, Mechanical - Material Specs, Other</t>
  </si>
  <si>
    <t>Check and address all possible cause for failure. Monitor closer during run conditions for symptoms that indicates any warning sign/s.</t>
  </si>
  <si>
    <t xml:space="preserve">Great Egg Inlet to Peck Beach </t>
  </si>
  <si>
    <t>11/28/2019</t>
  </si>
  <si>
    <t>David Blackmon</t>
  </si>
  <si>
    <t>David  Blackmon - Oiler : at the valves to open
Crew Boat Deckhand: On crew boat waiting to fuel up
Watch Engineer: Restroom</t>
  </si>
  <si>
    <t xml:space="preserve">Crew boat Muskegon River was sterned up against the starboard side of the dredge near the fueling station preparing to be fueled.  </t>
  </si>
  <si>
    <t>Emergency fuel shut off was engaged; valve was turned off and clean-up quickly began.  All authorities were notified by Leverman while Engine Room crew cleaned the spill.  Dredge was tilted to the port side most of the fuel stayed on the deck.</t>
  </si>
  <si>
    <t>Corpus Christi</t>
  </si>
  <si>
    <t>12/07/2019</t>
  </si>
  <si>
    <t>Leverman was digging at night, deck crew were performing housekeeping and Engine room crew were in Engine room control room</t>
  </si>
  <si>
    <t>12/10/2019</t>
  </si>
  <si>
    <t>Timothy Fleming</t>
  </si>
  <si>
    <t>Ocean City South</t>
  </si>
  <si>
    <t>12/18/2019</t>
  </si>
  <si>
    <t>015860</t>
  </si>
  <si>
    <t>JSA - Job Safety Analysis, Safety Rules, Mechanical - PM Plan</t>
  </si>
  <si>
    <t xml:space="preserve">Corpus Christi entrance channel </t>
  </si>
  <si>
    <t>01/28/2020</t>
  </si>
  <si>
    <t>084608</t>
  </si>
  <si>
    <t>Carolina was dredging</t>
  </si>
  <si>
    <t>Great Egg - Peck Beach</t>
  </si>
  <si>
    <t xml:space="preserve">84608 Corpus Christi Shipping Channel </t>
  </si>
  <si>
    <t>05/15/2020</t>
  </si>
  <si>
    <t>04/27/2020</t>
  </si>
  <si>
    <t>Michael Brown</t>
  </si>
  <si>
    <t>Rafael Estrada</t>
  </si>
  <si>
    <t>0378</t>
  </si>
  <si>
    <t>Columbia River, 40ft Crew/Survey Vessel. 
Main Engines - 2 Detroit Diesel 8V71</t>
  </si>
  <si>
    <t>Starter Fluid</t>
  </si>
  <si>
    <t>Charleston Deepening</t>
  </si>
  <si>
    <t>05/13/2020</t>
  </si>
  <si>
    <t xml:space="preserve">Dredge was working dredging hard material in Charleston entrance channel. </t>
  </si>
  <si>
    <t>When the ladder was raised for cutter motor troubleshooting, the deck department noticed the thrust bearing was hot (steaming) and reported it to the Chief engineer.  This prompted the inspection and discovery of the failure before further damage could occur.  Past failures have resulted in much more damage to the housing and shaft.</t>
  </si>
  <si>
    <t>Charleston deepening (season 3)</t>
  </si>
  <si>
    <t>06/19/2020</t>
  </si>
  <si>
    <t>Dredge working on anchors in the Charleston entrance channel</t>
  </si>
  <si>
    <t>Company Policy, Mechanical - PM Plan, Mechanical - QA/QC, Mechanical - Material Specs</t>
  </si>
  <si>
    <t>06/03/2020</t>
  </si>
  <si>
    <t xml:space="preserve">Dredge working on anchors in the Charleston entrance channel. </t>
  </si>
  <si>
    <t>Coupling failed on the ladder pump shaft.</t>
  </si>
  <si>
    <t>A complete spare shaft with a new flex coupling half installed was on site and ready for installation. This expedited the repair.</t>
  </si>
  <si>
    <t>08/23/2020</t>
  </si>
  <si>
    <t xml:space="preserve">2 Watch Engineers  and Oiler working on the replacement of the gasket after oil leak found </t>
  </si>
  <si>
    <t>Stop Work, Mechanical - QA/QC</t>
  </si>
  <si>
    <t>JSA - Job Safety Analysis, Mechanical - SOP, Mechanical - Material Specs</t>
  </si>
  <si>
    <t xml:space="preserve">Ohio Cutter Gearbox Contamination </t>
  </si>
  <si>
    <t xml:space="preserve">New Jersey </t>
  </si>
  <si>
    <t>08/26/2020</t>
  </si>
  <si>
    <t>Clean Up</t>
  </si>
  <si>
    <t xml:space="preserve">The crew involved was the watch engineer and oiler. </t>
  </si>
  <si>
    <t>0103</t>
  </si>
  <si>
    <t xml:space="preserve">Standard dredging </t>
  </si>
  <si>
    <t xml:space="preserve">No tools were used. </t>
  </si>
  <si>
    <t>09/07/2020</t>
  </si>
  <si>
    <t>0700</t>
  </si>
  <si>
    <t>High Winds</t>
  </si>
  <si>
    <t xml:space="preserve">Dredge Captain
Levermen
</t>
  </si>
  <si>
    <t>Dredge was operating on wires with the new xmas tree arrangement for the first time. Standard vessel configuration for dredging.</t>
  </si>
  <si>
    <t xml:space="preserve">Two breast winches / one sten winch / 2 swing winches and installed wire rope and anchors. Did any of th anchors have chain or directly attached by cable?  </t>
  </si>
  <si>
    <t>Vessel equipment performance to be reviewed and equipment to be upgraded to achieve required parameters for dredging</t>
  </si>
  <si>
    <t xml:space="preserve">Sabine Pass LNG 3rd Berth Project </t>
  </si>
  <si>
    <t>09/26/2020</t>
  </si>
  <si>
    <t xml:space="preserve">Dredge captain </t>
  </si>
  <si>
    <t xml:space="preserve">Dredge pump thrust bearing failure. </t>
  </si>
  <si>
    <t>Impact gun
Wrenches
Measurement tools 
Cleaning consumables</t>
  </si>
  <si>
    <t>Booster Jessie Starboard Gearbox Bearing Failure</t>
  </si>
  <si>
    <t>Nicholas D Williams</t>
  </si>
  <si>
    <t>84727 MsCIP Phase 3&amp;4</t>
  </si>
  <si>
    <t>10/22/2020</t>
  </si>
  <si>
    <t>084727</t>
  </si>
  <si>
    <t>Steven W  Becker, David Rappe, James C Gillespie</t>
  </si>
  <si>
    <t>none</t>
  </si>
  <si>
    <t>0212</t>
  </si>
  <si>
    <t>Stbd main pump gear box and shafting</t>
  </si>
  <si>
    <t xml:space="preserve">With the new set up on the Jessie there are couplings that are suppose to let shaft slide . The coupling is not suppose to corrode or rust but it had become so rusted that it did not slide. There was to much load placed on the thrust bearing for gear box so it failed. A line has been added into the work order to take coupling apart and inspect them every time the thrust bearing is moved. </t>
  </si>
  <si>
    <t>Absecon Inlet</t>
  </si>
  <si>
    <t>12/07/2020</t>
  </si>
  <si>
    <t>10/13/2020</t>
  </si>
  <si>
    <t>Dredge on project</t>
  </si>
  <si>
    <t>Regulations</t>
  </si>
  <si>
    <t>84756 - Pass A'Loutre Head of Passes</t>
  </si>
  <si>
    <t>01/15/2021</t>
  </si>
  <si>
    <t>Dane Nelson</t>
  </si>
  <si>
    <t>Cloudy, Dark</t>
  </si>
  <si>
    <t>Surveyors on survey boat Hollie Belle conduction channel surveys.  PE, PM, SM onboard Dredge Illinois observing dredging operations</t>
  </si>
  <si>
    <t xml:space="preserve">Hypack 2018.  Hi and Lo frequency transducers.  </t>
  </si>
  <si>
    <t>tape measure, RTK, lead line</t>
  </si>
  <si>
    <t>PTP - Pre-Task Planning, Mechanical - SOP, Mechanical - QA/QC</t>
  </si>
  <si>
    <t>Pass A' Loutre</t>
  </si>
  <si>
    <t>084756</t>
  </si>
  <si>
    <t>02/24/2021</t>
  </si>
  <si>
    <t>Dredge IL Cutter Gearbox Input Shaft Bearing Failure- Port Side</t>
  </si>
  <si>
    <t>Dredge was digging in normal operation</t>
  </si>
  <si>
    <t>freeport Reach #3</t>
  </si>
  <si>
    <t>05/11/2021</t>
  </si>
  <si>
    <t>084815</t>
  </si>
  <si>
    <t>Meliton Sarmiento</t>
  </si>
  <si>
    <t>05/05/2021</t>
  </si>
  <si>
    <t>Dredge and GL10 normal dredging operations</t>
  </si>
  <si>
    <t>Bearing failure normal Dredging operation</t>
  </si>
  <si>
    <t>Mechanical - QA/QC, Mechanical - Material Specs</t>
  </si>
  <si>
    <t>REPLACE FAILED BRAKE PADS ON PORT SWING WINCH</t>
  </si>
  <si>
    <t xml:space="preserve">brake pads had come apart during night shift, replaced 4 pads with new and tighten the old ones that were still good. will install all new pads when there is down time. </t>
  </si>
  <si>
    <t>Swing drum guard installation</t>
  </si>
  <si>
    <t>Reinstall port swing drum guard.</t>
  </si>
  <si>
    <t>Replace Pin on Stbd Swing Brake Band</t>
  </si>
  <si>
    <t xml:space="preserve">Pin keeper broke, pin popped out.  was reinserted and keeper will be welded back on </t>
  </si>
  <si>
    <t>Reinstall port breast wire back on drum</t>
  </si>
  <si>
    <t>Reinstall port breast on drum after it came off.</t>
  </si>
  <si>
    <t>Adjust Port Swing Helper Spring</t>
  </si>
  <si>
    <t>arm needed lubrication, but because of position of swing anchors the brake is under a bind and dragging in corners. a jacking bolt will be installed to help hold the bands in place</t>
  </si>
  <si>
    <t>Install Jacking Bolt to Port Swing Brake Band</t>
  </si>
  <si>
    <t>installed jacking bolt to fwd barke band to keep from moving when going into corners of swing. band was moving and getting tight on aft band and binding , not allowing leverman to pay off drum. jacking bolt installed and is holding brakes in place</t>
  </si>
  <si>
    <t>Adjust friction band on Stbd Swing</t>
  </si>
  <si>
    <t xml:space="preserve">Adjustment bolt lock nuts had worked loose, adjusted band and tightened lock nuts. </t>
  </si>
  <si>
    <t>SWING MOTOR INSTALLATION</t>
  </si>
  <si>
    <t>No Findings Entered</t>
  </si>
  <si>
    <t>Replace Swing Friction Ram &amp; Quick Release</t>
  </si>
  <si>
    <t>friction was hanging up, not releasing properly. changed Ram and Air controls for friction/clutch side of PORT swing.</t>
  </si>
  <si>
    <t>w</t>
  </si>
  <si>
    <t>Cylinder, Swing Clutch/ Friction</t>
  </si>
  <si>
    <t>Valve, Quick Release, 1/2"</t>
  </si>
  <si>
    <t>Relay Valve "S" (Swing Winch)</t>
  </si>
  <si>
    <t>P55161</t>
  </si>
  <si>
    <t>MP1-3A-CC-5.00-9.00-FSM1G</t>
  </si>
  <si>
    <t>BRAKE BLOCK REPLACEMENT - STBD SWING</t>
  </si>
  <si>
    <t>Found 4 brake blocks cracked, bolts loose</t>
  </si>
  <si>
    <t>GF100</t>
  </si>
  <si>
    <t>Main 2400v generator troubleshooting</t>
  </si>
  <si>
    <t>Problem was the termination strip inside the 2400v cabinet, corrected the problem by re-terminating all RTD wires.</t>
  </si>
  <si>
    <t>Port swing clutch air ram replacement</t>
  </si>
  <si>
    <t>Replace frozen air ram on port swing winch clutch.</t>
  </si>
  <si>
    <t>Adjust port swing clutch from slipping</t>
  </si>
  <si>
    <t>Clean and adjust the port swing clutch, apply powder rosin to clutch drum surface.</t>
  </si>
  <si>
    <t>Replacement of lever room stern hoist clutch port air control</t>
  </si>
  <si>
    <t>Replace the lever room air control for the stern hoist clutch</t>
  </si>
  <si>
    <t>Replace water jumper on generator engine cylinder # 13</t>
  </si>
  <si>
    <t>Replace alternator and fan assembly</t>
  </si>
  <si>
    <t>Found the idler pulley and fan that attaches to the front of the alternator loose.
Replaced complete alternator with spare.</t>
  </si>
  <si>
    <t>Repair / Install Brake pads Stbd Swing</t>
  </si>
  <si>
    <t>Brake Block, with GF100 overlay</t>
  </si>
  <si>
    <t>Brake block, with GF100 overlay</t>
  </si>
  <si>
    <t>Change Ram on Stbd Swing Winch</t>
  </si>
  <si>
    <t>ram failed, replacement ram rod sticks out approx 2" higher so adjustments had to be made. also when the ram failed whole brake shoes shifted, assembly had to be taken apart at spring and shoes adjusted with jacking bolts to even out and spring reassembled. new spring and clevis ordered</t>
  </si>
  <si>
    <t>`</t>
  </si>
  <si>
    <t>Rod, Spring (238)</t>
  </si>
  <si>
    <t>Cylinder, Air Brake</t>
  </si>
  <si>
    <t>A-3953</t>
  </si>
  <si>
    <t>D-2468</t>
  </si>
  <si>
    <t>Replace fuel crossover assembly and gaskets on main EMD generator engine</t>
  </si>
  <si>
    <t>Gasket, Manifold</t>
  </si>
  <si>
    <t>Manifold Assembly, Fuel Supply</t>
  </si>
  <si>
    <t>Swing clutch adjustment / repair</t>
  </si>
  <si>
    <t>The clutch arm return are spring needed adjustment, and reinstall the threaded rod hex nut</t>
  </si>
  <si>
    <t>Replace Stbd swing brake air cylinder.</t>
  </si>
  <si>
    <t>Air cylinder piston / rod starting to stick.</t>
  </si>
  <si>
    <t>Starboard swing drum brake adjustment</t>
  </si>
  <si>
    <t>Made adjustments to brake arm to cylinder linkage</t>
  </si>
  <si>
    <t>Generator engine Spectrum monitoring module replacement</t>
  </si>
  <si>
    <t>Reset main generator and carriage motors</t>
  </si>
  <si>
    <t>generator lost power RTD alarm for stator. reset alarms and bring back online. carriage on 177 was not operational after start up. all fuses and shutdowns where checked, alarms reset. it ended up being the shore (AKA-jacking motor) was not coming online. motor was reset and fixed problems. generator tripped again later and fans were added to try to keep gen stator cooler. RTD wire to be changed next shutdown</t>
  </si>
  <si>
    <t>Starboard swing brake repair</t>
  </si>
  <si>
    <t>Ladder joystick replacement</t>
  </si>
  <si>
    <t>The ladder joystick control was having intermittent operation and finally stopped altogether.
Replaced with spare.</t>
  </si>
  <si>
    <t>Repair Generator RTD wire for oil temperature out.</t>
  </si>
  <si>
    <t>Tighten friction on port swing</t>
  </si>
  <si>
    <t>Swing Winch Wire Change</t>
  </si>
  <si>
    <t>SHIP_NAME</t>
  </si>
  <si>
    <t>SHIP_CODE</t>
  </si>
  <si>
    <t>JOB_TITLE</t>
  </si>
  <si>
    <t>EQUIPMENT_NAME</t>
  </si>
  <si>
    <t>JOB_TYPE</t>
  </si>
  <si>
    <t>CRITICALITY</t>
  </si>
  <si>
    <t>PRIORITY</t>
  </si>
  <si>
    <t>JOB_CATEGORY</t>
  </si>
  <si>
    <t>SHIP_TYPE</t>
  </si>
  <si>
    <t>EQUIPMENT_NAME2</t>
  </si>
  <si>
    <t>EQUIP_NAME_FWD</t>
  </si>
  <si>
    <t>SUBSTRING_INDEX(`rpt_equipment`.`EQUIP_NAME_FWD`, "*", 1)</t>
  </si>
  <si>
    <t>IF(`rpt_standard_job`.`JOB_CATEGORY` IN ("To Be Written","To Be Captured") ,"Identified" ,"Complete" )</t>
  </si>
  <si>
    <t>Auxiliary Generator Engine (CAT C9) 12000 HR PM (Overhaul)</t>
  </si>
  <si>
    <t>Auxiliary Generator Engine (CAT C9)</t>
  </si>
  <si>
    <t>EQUIPMENT</t>
  </si>
  <si>
    <t>A</t>
  </si>
  <si>
    <t>D</t>
  </si>
  <si>
    <t>Downtime Opportunity</t>
  </si>
  <si>
    <t>Hydraulic Dredge</t>
  </si>
  <si>
    <t>Generators*Auxiliary Genset*Auxiliary Generator Engine (CAT C9)</t>
  </si>
  <si>
    <t>Main Generator Removal</t>
  </si>
  <si>
    <t>B</t>
  </si>
  <si>
    <t>Generators*Main Generator Set*Main Generator</t>
  </si>
  <si>
    <t>Main Generator 60000 HR (Overhaul)</t>
  </si>
  <si>
    <t>Spares Rebuild</t>
  </si>
  <si>
    <t>Main Generator Alignment</t>
  </si>
  <si>
    <t>Idle/Inactive Period</t>
  </si>
  <si>
    <t>Main Generator Installation and Alignment</t>
  </si>
  <si>
    <t>Auxiliary Generator Engine (CAT C9) 250 HR PM</t>
  </si>
  <si>
    <t>Running Work List</t>
  </si>
  <si>
    <t>M/G Engine 1000 HR PM</t>
  </si>
  <si>
    <t>Main Generator Engine (EMD 645)</t>
  </si>
  <si>
    <t>Generators*Main Generator Set*Main Generator Engine (EMD 645)</t>
  </si>
  <si>
    <t>M/G Engine 8000 HR PM (Job # 1)</t>
  </si>
  <si>
    <t>M/G Engine Oil Filter Change</t>
  </si>
  <si>
    <t>M/G Engine 4000 HR PM/Inspection</t>
  </si>
  <si>
    <t>M/G Engine 8000 HR PM (Job # 2)</t>
  </si>
  <si>
    <t>M/G Engine 30000 HR PM (Overhaul)</t>
  </si>
  <si>
    <t>M/G Engine Inspection</t>
  </si>
  <si>
    <t>MACHINERY_PART_ID</t>
  </si>
  <si>
    <t>PART_HIEARCHICAL_NAME_FW</t>
  </si>
  <si>
    <t>SUBSTRING_INDEX(rpt_part.part_hiearchical_name_fw, "*", 1)</t>
  </si>
  <si>
    <t>CRITICAL</t>
  </si>
  <si>
    <t>MIN_LEVEL</t>
  </si>
  <si>
    <t>PART_NAME</t>
  </si>
  <si>
    <t>PART_HIEARCHICAL_NAME_FW2</t>
  </si>
  <si>
    <t>QTY_ON_HAND</t>
  </si>
  <si>
    <t>PART_NUMBER</t>
  </si>
  <si>
    <t>PARTNUMBER_REFERENCE</t>
  </si>
  <si>
    <t>COUNT(`OWNER_EQUIPMENT_ID`)</t>
  </si>
  <si>
    <t>Generators*Main Generator Set*Main Generator Engine (EMD 645)*Soak Back Pump*Soak Back Pump &amp; Motor</t>
  </si>
  <si>
    <t>Y</t>
  </si>
  <si>
    <t>Soak Back Pump &amp; Motor</t>
  </si>
  <si>
    <t>8455818</t>
  </si>
  <si>
    <t>LINCOLN</t>
  </si>
  <si>
    <t>Generators*Main Generator Set*Main Generator Engine (EMD 645)*PGA Acuator*PGA Actuator</t>
  </si>
  <si>
    <t>PGA Actuator</t>
  </si>
  <si>
    <t>8250-983</t>
  </si>
  <si>
    <t>Woodward</t>
  </si>
  <si>
    <t>Generators*Main Generator Set*Main Generator Engine (EMD 645)*Heat Exchanger*Joint, Flex - Oil Oulet</t>
  </si>
  <si>
    <t>Joint, Flex - Oil Oulet</t>
  </si>
  <si>
    <t>Swing Motor (300 KW) 1000 HR Inspection</t>
  </si>
  <si>
    <t>Swing Motor (300 KW)</t>
  </si>
  <si>
    <t>Swing*Swing Winch*Swing Motor (300 KW)</t>
  </si>
  <si>
    <t>Swing</t>
  </si>
  <si>
    <t>Swing Sheave (Port) Swing Sheave Overhaul</t>
  </si>
  <si>
    <t>Swing Sheave (Port)</t>
  </si>
  <si>
    <t>Swing*Swing Sheave (Port)</t>
  </si>
  <si>
    <t>Swing Sheave (Stbd) Swing Sheave Overhaul</t>
  </si>
  <si>
    <t>Swing Sheave (Stbd)</t>
  </si>
  <si>
    <t>Swing*Swing Sheave (Stbd)</t>
  </si>
  <si>
    <t>Swing Sheave (Port) Installation</t>
  </si>
  <si>
    <t>Swing Sheave (Stbd) Installation</t>
  </si>
  <si>
    <t>Swing Sheave (Port) Removal</t>
  </si>
  <si>
    <t>Swing Sheave (Stbd) Removal</t>
  </si>
  <si>
    <t>Reduction Gear Annual Inspection</t>
  </si>
  <si>
    <t>Reduction Gear</t>
  </si>
  <si>
    <t>Swing*Swing Winch*Reduction Gear</t>
  </si>
  <si>
    <t>Jacking Gear Annual Test &amp; Inspection</t>
  </si>
  <si>
    <t>Jacking Gear</t>
  </si>
  <si>
    <t>Swing*Swing Winch*Jacking Gear</t>
  </si>
  <si>
    <t>Swing Winch</t>
  </si>
  <si>
    <t>Swing*Swing Winch</t>
  </si>
  <si>
    <t>Fleeting Sheaves Quarterly Inspection</t>
  </si>
  <si>
    <t>Fleeting Sheaves</t>
  </si>
  <si>
    <t>Swing*Fleeting Sheaves</t>
  </si>
  <si>
    <t>Swing*Swing Winch*Coupling*Gasket (T10)</t>
  </si>
  <si>
    <t>Gasket (T10)</t>
  </si>
  <si>
    <t>Swing*Swing Winch*Coupling*Grid</t>
  </si>
  <si>
    <t>Grid</t>
  </si>
  <si>
    <t>Swing*Swing Winch*Coupling*Cover (T10)</t>
  </si>
  <si>
    <t>Cover (T10)</t>
  </si>
  <si>
    <t>Dredge Pump Inspection</t>
  </si>
  <si>
    <t>Dredge Pump</t>
  </si>
  <si>
    <t>Pump, Dredge*Dredge Pump</t>
  </si>
  <si>
    <t>Pump, Dredge</t>
  </si>
  <si>
    <t>Lifting Hook, Engine Side Liner (ILMPESL) Annual Inspection</t>
  </si>
  <si>
    <t>Lifting Hook, Impeller (ILMPIMP) Annual Inspection</t>
  </si>
  <si>
    <t>Lifting Hook, Inner Shell (ILMPISL) Annual Inspection</t>
  </si>
  <si>
    <t>Dredge Pump Engine (Stbd) 1000 HR PM</t>
  </si>
  <si>
    <t>Dredge Pump Engine (Stbd) (EMD 645)</t>
  </si>
  <si>
    <t>Pump, Dredge*Dredge Pump Engine (Stbd) (EMD 645)</t>
  </si>
  <si>
    <t>(D/P) Engine (Port) (EMD 645) 1000 HR PM</t>
  </si>
  <si>
    <t>Dredge Pump Engine (Port) (EMD 645)</t>
  </si>
  <si>
    <t>Pump, Dredge*Dredge Pump Engine (Port) (EMD 645)</t>
  </si>
  <si>
    <t>Dredge Pump Suction Liner Replacement</t>
  </si>
  <si>
    <t>Dredge Pump Engine (Stbd) 4000 HR PM/Inspection</t>
  </si>
  <si>
    <t>(D/P) Engine (Port) (EMD 645) 4000 HR PM/Inspection</t>
  </si>
  <si>
    <t>Coupling (FALK) (270CS) Annual Inspection</t>
  </si>
  <si>
    <t>Coupling (FALK) (270CS)</t>
  </si>
  <si>
    <t>Pump, Dredge*Shafting*Impeller / Thrust Shaft*Coupling (FALK) (270CS)</t>
  </si>
  <si>
    <t>Stuffing Box (D/P) Change Out</t>
  </si>
  <si>
    <t>Stuffing Box (D/P)</t>
  </si>
  <si>
    <t>Pump, Dredge*Dredge Pump*Stuffing Box (D/P)</t>
  </si>
  <si>
    <t>(D/P) Engine (Port) (EMD 645) 8000 HR PM (Job # 2)</t>
  </si>
  <si>
    <t>Dredge Pump Engine (Stbd) 8000 HR PM (Job # 2)</t>
  </si>
  <si>
    <t>Dredge Pump Engine (Stbd) Inspection</t>
  </si>
  <si>
    <t>(D/P) Engine (Port) (EMD 645) Inspection</t>
  </si>
  <si>
    <t>Stuffing Box (D/P) Pump Gland Re-Pack</t>
  </si>
  <si>
    <t>Dredge Pump Engine (Stbd) 30000 HR PM (Overhaul)</t>
  </si>
  <si>
    <t>(D/P) Engine (Port) (EMD 645) 30000 HR PM (Overhaul)</t>
  </si>
  <si>
    <t>Dredge Pump Gearbox Annual PM/Inspection</t>
  </si>
  <si>
    <t>Dredge Pump Gearbox</t>
  </si>
  <si>
    <t>Draft</t>
  </si>
  <si>
    <t>Pump, Dredge*Dredge Pump Gearbox</t>
  </si>
  <si>
    <t>Dredge Pump Rebuild</t>
  </si>
  <si>
    <t>Clutch (Stbd) (35CM500) Monthly Inspection</t>
  </si>
  <si>
    <t>Clutch (Stbd) (35CM500)</t>
  </si>
  <si>
    <t>Pump, Dredge*Dredge Pump Gearbox*Clutch (Stbd) (35CM500)</t>
  </si>
  <si>
    <t>Clutch (Port) (35CM500) Monthly Inspection</t>
  </si>
  <si>
    <t>Clutch (Port) (35CM500)</t>
  </si>
  <si>
    <t>Pump, Dredge*Dredge Pump Gearbox*Clutch (Port) (35CM500)</t>
  </si>
  <si>
    <t>Clutch (Stbd) (35CM500) Annual Inspection</t>
  </si>
  <si>
    <t>Clutch (Port) (35CM500) Annual Inspection</t>
  </si>
  <si>
    <t>Thrust Bearing (LG-25) Quarterly PM/Inspection</t>
  </si>
  <si>
    <t>Thrust Bearing (LG-25)</t>
  </si>
  <si>
    <t>Pump, Dredge*Shafting*Thrust Bearing (LG-25)</t>
  </si>
  <si>
    <t>Dredge Pump Pressure/Flow Test</t>
  </si>
  <si>
    <t>(D/P) Engine (Port) (EMD 645) 8000 HR PM (Job # 1)</t>
  </si>
  <si>
    <t>Spring Bearing (L-27) 1000 HR PM</t>
  </si>
  <si>
    <t>Spring Bearing (L-27)</t>
  </si>
  <si>
    <t>Pump, Dredge*Shafting*Spring Bearing (L-27)</t>
  </si>
  <si>
    <t>Spring Bearing (L-27) 4000 HR PM/Inspection</t>
  </si>
  <si>
    <t>Spring Bearing (L-27) 8000 HR PM (Job # 2)</t>
  </si>
  <si>
    <t>Dredge Pump Engine (Stbd) 8000 HR PM (Job # 1)</t>
  </si>
  <si>
    <t>Dredge Pump Engine (Stbd) Oil Filter Change</t>
  </si>
  <si>
    <t>(D/P) Engine (Port) (EMD 645) Oil Filter Change</t>
  </si>
  <si>
    <t>Pump, Dredge*Dredge Pump Engine (Port) (EMD 645)*Pre-Lube Pump*Pre-Lube Pump &amp; Motor</t>
  </si>
  <si>
    <t>Pre-Lube Pump &amp; Motor</t>
  </si>
  <si>
    <t>A3DH-118</t>
  </si>
  <si>
    <t>IMO PUMPS</t>
  </si>
  <si>
    <t>Pump, Dredge*Dredge Pump*Pump Shell, Inner (D/P)</t>
  </si>
  <si>
    <t>Pump Shell, Inner (D/P)</t>
  </si>
  <si>
    <t>1A-5603</t>
  </si>
  <si>
    <t>SPI/MPMW</t>
  </si>
  <si>
    <t>Pump, Dredge*Dredge Pump*Wet End Parts*Liner, Engine Side</t>
  </si>
  <si>
    <t>Liner, Engine Side</t>
  </si>
  <si>
    <t>A-6739</t>
  </si>
  <si>
    <t>Pump, Dredge*Dredge Pump*Wet End Parts*Liner, Suction Side</t>
  </si>
  <si>
    <t>Liner, Suction Side</t>
  </si>
  <si>
    <t>A-6738</t>
  </si>
  <si>
    <t>Pump, Dredge*Dredge Pump Gearbox*Seal, H/S Input Split Oil</t>
  </si>
  <si>
    <t>Seal, H/S Input Split Oil</t>
  </si>
  <si>
    <t>3581RUP</t>
  </si>
  <si>
    <t>TRICO</t>
  </si>
  <si>
    <t>Pump, Dredge*Dredge Pump Gearbox*Clutch (Port) (35CM500)*Seal, Rotary Air</t>
  </si>
  <si>
    <t>Seal, Rotary Air</t>
  </si>
  <si>
    <t>1115-130-002</t>
  </si>
  <si>
    <t>DEUBLIN COMPANY</t>
  </si>
  <si>
    <t>Pump, Dredge*Dredge Pump Gearbox*Clutch (Port) (35CM500)*Clutch, 35CM500</t>
  </si>
  <si>
    <t>Clutch, 35CM500</t>
  </si>
  <si>
    <t>35CM500</t>
  </si>
  <si>
    <t>Eaton</t>
  </si>
  <si>
    <t>Pump, Dredge*Dredge Pump*Washer, Copper, Impeller</t>
  </si>
  <si>
    <t>Washer, Copper, Impeller</t>
  </si>
  <si>
    <t>B-5176</t>
  </si>
  <si>
    <t>Grand Total</t>
  </si>
  <si>
    <t>Pump, Dredge Port (New)</t>
  </si>
  <si>
    <t>Pump, Dredge Stbd (New)</t>
  </si>
  <si>
    <t>Pump, Dredge (Port)- OLD</t>
  </si>
  <si>
    <t>Pump, Dredge (Stbd)-OLD</t>
  </si>
  <si>
    <t>Spud System</t>
  </si>
  <si>
    <t>Sanitation System</t>
  </si>
  <si>
    <t>Safety Lifesaving</t>
  </si>
  <si>
    <t>Safety Firefighting</t>
  </si>
  <si>
    <t>Raw Water</t>
  </si>
  <si>
    <t>Pump, Ladder</t>
  </si>
  <si>
    <t>Pump, Dredge (Stbd)</t>
  </si>
  <si>
    <t>Pump, Dredge (Port)</t>
  </si>
  <si>
    <t>Production Instrumentation/Monitoring</t>
  </si>
  <si>
    <t>Potable Water</t>
  </si>
  <si>
    <t>Piping (Dredge)</t>
  </si>
  <si>
    <t>Navigation/Communication</t>
  </si>
  <si>
    <t>MG Set (Cutter/Swing)</t>
  </si>
  <si>
    <t>Lube Oil Transfer</t>
  </si>
  <si>
    <t>Ladder System</t>
  </si>
  <si>
    <t>Hydraulic Systems</t>
  </si>
  <si>
    <t>Hull/Structure</t>
  </si>
  <si>
    <t>Galley Equipment</t>
  </si>
  <si>
    <t>Fleet Avg</t>
  </si>
  <si>
    <t>Fuel Oil Transfer</t>
  </si>
  <si>
    <t>Texas</t>
  </si>
  <si>
    <t>Cutterheads</t>
  </si>
  <si>
    <t>Ohio</t>
  </si>
  <si>
    <t>Cutter Machinery</t>
  </si>
  <si>
    <t>Crane/Hoists</t>
  </si>
  <si>
    <t>Carolina</t>
  </si>
  <si>
    <t>Alaska</t>
  </si>
  <si>
    <t>Bilge/Ballast</t>
  </si>
  <si>
    <t>% Complete</t>
  </si>
  <si>
    <t>Ident</t>
  </si>
  <si>
    <t>Cmplt</t>
  </si>
  <si>
    <t>VSL</t>
  </si>
  <si>
    <t>Identified</t>
  </si>
  <si>
    <t>Test</t>
  </si>
  <si>
    <t>Vessel Consumables</t>
  </si>
  <si>
    <t>Illinos</t>
  </si>
  <si>
    <t>Avg Critical</t>
  </si>
  <si>
    <t>Total Critical</t>
  </si>
  <si>
    <t>Total Parts</t>
  </si>
  <si>
    <t>Column Labels</t>
  </si>
  <si>
    <t>Count of MACHINERY_PART_ID</t>
  </si>
  <si>
    <t>M/G Engine Inspection Step   2. Inspect all lube oil pumps and water pumps???</t>
  </si>
  <si>
    <t xml:space="preserve">M/G Engine 1000 HR PM Step 2.  Perform visual top deck inspection (cam lobes, lash adjusters, fuel leaks, valve keepers &amp; springs, rack linkage keepers &amp; pins, pop check injectors etc.) </t>
  </si>
  <si>
    <t>Swing Winch Wire Change Steps 10 10. Attach new wire to drum. Step 11. Install first layer on swing drum.</t>
  </si>
  <si>
    <t>MIN 1 MAX 1 NOT CRITICAL</t>
  </si>
  <si>
    <t>NO MIN/MAX Part is CRITICAL NEDD a MIN MAX SET</t>
  </si>
  <si>
    <t>0 of the 2 parts have a MIN/MAX/Criticality assigned."</t>
  </si>
  <si>
    <t>1 of the 7 parts have a MIN/MAX/Criticality assigned."</t>
  </si>
  <si>
    <t xml:space="preserve">0 of the 0  parts have a MIN/MAX/Criticality assigned.   </t>
  </si>
  <si>
    <t>1) 2X Replaced RTD wires</t>
  </si>
  <si>
    <t>2) 1 X Delays: Reterminated RTD Wires, Replace water jumer on cylinder, repance alternator and fan, repalce fuel crossover assy, module replacment</t>
  </si>
  <si>
    <t>3) 4X NO WO enetred</t>
  </si>
  <si>
    <t>1) 27X Brakes issues</t>
  </si>
  <si>
    <t>3) 2X Reinstall Breat Wire</t>
  </si>
  <si>
    <t>2) 3X Swing Clutch</t>
  </si>
  <si>
    <t>4) 1X Delays: Swing Guard, 800 AMP issue, Air Control, Swing Break Air CYL, Ladder Joystick,over heating</t>
  </si>
  <si>
    <t>5) 11X No W/O entered</t>
  </si>
  <si>
    <t>1) 2 Delays No W/O enetred</t>
  </si>
  <si>
    <t>1) NO Brake type SJ on IL; confirmed w/ Chief. This is a Watch ENG on watch routine INSP. Recommend looking at other HYD dredge SJ: Alaska has 11 Brake type SJ's speciifically 2 for Swing winch Brake for INSP/Adjustment and Replacement. Carolina has 1 Brake SJ for Brake ASSY INSP/Adjustment</t>
  </si>
  <si>
    <t>Delays had consumed parts equaling  Line items of which only had a MIN MAX set. 3 of 9 parts consumed had a MIN/MAX/Critcality set</t>
  </si>
  <si>
    <t xml:space="preserve"> Delays had possible applicable SJ. Only 3 SJ had a possible applicability</t>
  </si>
  <si>
    <t>2 Parts Consumed had a Criticality assigned no MIN/MAX: PT# A-3953, D-2468</t>
  </si>
  <si>
    <t>Action Tab</t>
  </si>
  <si>
    <t xml:space="preserve">Actions </t>
  </si>
  <si>
    <t>Operating</t>
  </si>
  <si>
    <t>Engineering</t>
  </si>
  <si>
    <t>Maint. Procedure</t>
  </si>
  <si>
    <t>Parts Issue</t>
  </si>
  <si>
    <t>a.Generators</t>
  </si>
  <si>
    <t>b.Swing</t>
  </si>
  <si>
    <t>c.Main Pump</t>
  </si>
  <si>
    <t>d.</t>
  </si>
  <si>
    <t>e.</t>
  </si>
  <si>
    <t>Incidents</t>
  </si>
  <si>
    <t>Delay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</si>
</sst>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409]d\-mmm;@"/>
    <numFmt numFmtId="165" formatCode="0.0%"/>
    <numFmt numFmtId="166" formatCode="0.0"/>
    <numFmt numFmtId="167" formatCode="yy/mm/dd;@"/>
  </numFmts>
  <fonts count="20" x14ac:knownFonts="1">
    <font>
      <sz val="11"/>
      <color theme="1"/>
      <name val="Calibri"/>
      <family val="2"/>
      <scheme val="minor"/>
    </font>
    <font>
      <b/>
      <sz val="11"/>
      <color theme="1"/>
      <name val="Calibri"/>
      <family val="2"/>
      <scheme val="minor"/>
    </font>
    <font>
      <sz val="10"/>
      <name val="Arial"/>
      <family val="2"/>
    </font>
    <font>
      <u/>
      <sz val="11"/>
      <color theme="10"/>
      <name val="Calibri"/>
      <family val="2"/>
      <scheme val="minor"/>
    </font>
    <font>
      <b/>
      <sz val="10"/>
      <name val="Arial"/>
      <family val="2"/>
    </font>
    <font>
      <sz val="11"/>
      <name val="Calibri"/>
      <family val="2"/>
      <scheme val="minor"/>
    </font>
    <font>
      <b/>
      <u/>
      <sz val="11"/>
      <color theme="1"/>
      <name val="Calibri"/>
      <family val="2"/>
      <scheme val="minor"/>
    </font>
    <font>
      <u/>
      <sz val="11"/>
      <color theme="1"/>
      <name val="Calibri"/>
      <family val="2"/>
      <scheme val="minor"/>
    </font>
    <font>
      <sz val="11"/>
      <color theme="1"/>
      <name val="Calibri"/>
      <family val="2"/>
      <scheme val="minor"/>
    </font>
    <font>
      <b/>
      <sz val="11"/>
      <color rgb="FF000000"/>
      <name val="Calibri"/>
      <family val="2"/>
    </font>
    <font>
      <b/>
      <sz val="11"/>
      <color rgb="FFFF0000"/>
      <name val="Calibri"/>
      <family val="2"/>
      <scheme val="minor"/>
    </font>
    <font>
      <sz val="11"/>
      <color rgb="FFC00000"/>
      <name val="Calibri"/>
      <family val="2"/>
      <scheme val="minor"/>
    </font>
    <font>
      <sz val="7"/>
      <color rgb="FFC00000"/>
      <name val="Times New Roman"/>
      <family val="1"/>
    </font>
    <font>
      <sz val="11"/>
      <color theme="0"/>
      <name val="Calibri"/>
      <family val="2"/>
      <scheme val="minor"/>
    </font>
    <font>
      <b/>
      <sz val="16"/>
      <color theme="1"/>
      <name val="Calibri"/>
      <family val="2"/>
      <scheme val="minor"/>
    </font>
    <font>
      <b/>
      <sz val="14"/>
      <color theme="1"/>
      <name val="Calibri"/>
      <family val="2"/>
      <scheme val="minor"/>
    </font>
    <font>
      <b/>
      <sz val="14"/>
      <color theme="3" tint="0.39997558519241921"/>
      <name val="Calibri"/>
      <family val="2"/>
      <scheme val="minor"/>
    </font>
    <font>
      <b/>
      <sz val="11"/>
      <color theme="3" tint="0.39997558519241921"/>
      <name val="Calibri"/>
      <family val="2"/>
      <scheme val="minor"/>
    </font>
    <font>
      <sz val="11"/>
      <color rgb="FFFF0000"/>
      <name val="Calibri"/>
      <family val="2"/>
      <scheme val="minor"/>
    </font>
    <font>
      <b/>
      <sz val="14"/>
      <name val="Calibri"/>
      <family val="2"/>
      <scheme val="minor"/>
    </font>
  </fonts>
  <fills count="23">
    <fill>
      <patternFill patternType="none"/>
    </fill>
    <fill>
      <patternFill patternType="gray125"/>
    </fill>
    <fill>
      <patternFill patternType="solid">
        <fgColor theme="4"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7" tint="0.39997558519241921"/>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2" tint="-0.249977111117893"/>
        <bgColor indexed="64"/>
      </patternFill>
    </fill>
    <fill>
      <patternFill patternType="solid">
        <fgColor theme="4" tint="0.79998168889431442"/>
        <bgColor indexed="64"/>
      </patternFill>
    </fill>
  </fills>
  <borders count="3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8" fillId="0" borderId="0" applyFont="0" applyFill="0" applyBorder="0" applyAlignment="0" applyProtection="0"/>
  </cellStyleXfs>
  <cellXfs count="245">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0" fillId="0" borderId="0" xfId="0" applyAlignment="1">
      <alignment horizontal="right"/>
    </xf>
    <xf numFmtId="0" fontId="3" fillId="0" borderId="0" xfId="2"/>
    <xf numFmtId="0" fontId="6" fillId="0" borderId="0" xfId="0" applyFont="1" applyAlignment="1">
      <alignment wrapText="1"/>
    </xf>
    <xf numFmtId="0" fontId="7" fillId="0" borderId="0" xfId="0" applyFont="1" applyAlignment="1">
      <alignment wrapText="1"/>
    </xf>
    <xf numFmtId="165" fontId="0" fillId="0" borderId="0" xfId="3" applyNumberFormat="1" applyFont="1" applyBorder="1" applyAlignment="1">
      <alignment horizontal="center" vertical="center"/>
    </xf>
    <xf numFmtId="0" fontId="0" fillId="0" borderId="0" xfId="0" applyBorder="1"/>
    <xf numFmtId="0" fontId="4" fillId="0" borderId="5" xfId="0" applyFont="1" applyBorder="1" applyProtection="1"/>
    <xf numFmtId="0" fontId="4" fillId="0" borderId="6" xfId="0" applyFont="1" applyBorder="1" applyAlignment="1" applyProtection="1">
      <alignment horizontal="center" vertical="center"/>
    </xf>
    <xf numFmtId="0" fontId="4" fillId="0" borderId="7" xfId="0" applyFont="1" applyBorder="1" applyAlignment="1" applyProtection="1">
      <alignment horizontal="center" vertical="center"/>
    </xf>
    <xf numFmtId="165" fontId="4" fillId="0" borderId="8" xfId="3" applyNumberFormat="1" applyFont="1" applyBorder="1" applyAlignment="1" applyProtection="1">
      <alignment horizontal="center" vertical="center"/>
    </xf>
    <xf numFmtId="165" fontId="2" fillId="0" borderId="9" xfId="3" applyNumberFormat="1" applyFont="1" applyBorder="1" applyAlignment="1" applyProtection="1">
      <alignment horizontal="center" vertical="center"/>
    </xf>
    <xf numFmtId="0" fontId="2" fillId="0" borderId="10" xfId="0" applyFont="1" applyBorder="1" applyAlignment="1" applyProtection="1">
      <alignment horizontal="center" vertical="center"/>
    </xf>
    <xf numFmtId="0" fontId="2" fillId="0" borderId="11" xfId="0" applyFont="1" applyBorder="1" applyAlignment="1" applyProtection="1">
      <alignment horizontal="center" vertical="center"/>
    </xf>
    <xf numFmtId="165" fontId="2" fillId="0" borderId="12" xfId="3" applyNumberFormat="1" applyFont="1" applyBorder="1" applyAlignment="1" applyProtection="1">
      <alignment horizontal="center" vertical="center"/>
    </xf>
    <xf numFmtId="0" fontId="2" fillId="3" borderId="10" xfId="0" applyFont="1" applyFill="1" applyBorder="1" applyAlignment="1" applyProtection="1">
      <alignment horizontal="center" vertical="center"/>
    </xf>
    <xf numFmtId="165" fontId="2" fillId="3" borderId="9" xfId="3" applyNumberFormat="1" applyFont="1" applyFill="1" applyBorder="1" applyAlignment="1" applyProtection="1">
      <alignment horizontal="center" vertical="center"/>
    </xf>
    <xf numFmtId="0" fontId="2" fillId="4" borderId="10" xfId="0" applyFont="1" applyFill="1" applyBorder="1" applyAlignment="1" applyProtection="1">
      <alignment horizontal="center" vertical="center"/>
    </xf>
    <xf numFmtId="0" fontId="0" fillId="3" borderId="0" xfId="0" applyFill="1" applyBorder="1"/>
    <xf numFmtId="165" fontId="2" fillId="7" borderId="9" xfId="3" applyNumberFormat="1" applyFont="1" applyFill="1" applyBorder="1" applyAlignment="1" applyProtection="1">
      <alignment horizontal="center" vertical="center"/>
    </xf>
    <xf numFmtId="0" fontId="0" fillId="0" borderId="0" xfId="0" applyFont="1" applyAlignment="1">
      <alignment wrapText="1"/>
    </xf>
    <xf numFmtId="166" fontId="2" fillId="0" borderId="0" xfId="0" applyNumberFormat="1" applyFont="1" applyBorder="1" applyAlignment="1" applyProtection="1">
      <alignment horizontal="center" vertical="center"/>
    </xf>
    <xf numFmtId="166" fontId="2" fillId="0" borderId="4" xfId="0" applyNumberFormat="1" applyFont="1" applyBorder="1" applyAlignment="1" applyProtection="1">
      <alignment horizontal="center" vertical="center"/>
    </xf>
    <xf numFmtId="166" fontId="2" fillId="3" borderId="0" xfId="0" applyNumberFormat="1" applyFont="1" applyFill="1" applyBorder="1" applyAlignment="1" applyProtection="1">
      <alignment horizontal="center" vertical="center"/>
    </xf>
    <xf numFmtId="166" fontId="0" fillId="3" borderId="0" xfId="0" applyNumberFormat="1" applyFill="1" applyBorder="1"/>
    <xf numFmtId="165" fontId="2" fillId="7" borderId="15" xfId="3" applyNumberFormat="1" applyFont="1" applyFill="1" applyBorder="1" applyAlignment="1" applyProtection="1">
      <alignment horizontal="center" vertical="center"/>
    </xf>
    <xf numFmtId="166" fontId="2" fillId="4" borderId="0" xfId="0" applyNumberFormat="1" applyFont="1" applyFill="1" applyBorder="1" applyAlignment="1" applyProtection="1">
      <alignment horizontal="center" vertical="center"/>
    </xf>
    <xf numFmtId="0" fontId="0" fillId="9" borderId="0" xfId="0" applyFill="1" applyAlignment="1">
      <alignment horizontal="center" vertical="center" wrapText="1"/>
    </xf>
    <xf numFmtId="166" fontId="0" fillId="9" borderId="0" xfId="0" applyNumberFormat="1" applyFill="1" applyAlignment="1">
      <alignment horizontal="center" vertical="center" wrapText="1"/>
    </xf>
    <xf numFmtId="166" fontId="0" fillId="0" borderId="0" xfId="0" applyNumberFormat="1" applyAlignment="1">
      <alignment horizontal="center" vertical="center" wrapText="1"/>
    </xf>
    <xf numFmtId="164" fontId="0" fillId="9" borderId="0" xfId="0" applyNumberFormat="1" applyFill="1" applyAlignment="1">
      <alignment horizontal="center" vertical="center" wrapText="1"/>
    </xf>
    <xf numFmtId="164" fontId="0" fillId="0" borderId="0" xfId="0" applyNumberFormat="1" applyAlignment="1">
      <alignment horizontal="center" vertical="center" wrapText="1"/>
    </xf>
    <xf numFmtId="167" fontId="0" fillId="0" borderId="0" xfId="0" applyNumberFormat="1"/>
    <xf numFmtId="0" fontId="0" fillId="0" borderId="0" xfId="0" applyFill="1"/>
    <xf numFmtId="0" fontId="5" fillId="0" borderId="0" xfId="0" applyFont="1" applyAlignment="1">
      <alignment wrapText="1"/>
    </xf>
    <xf numFmtId="0" fontId="11" fillId="0" borderId="0" xfId="0" applyFont="1"/>
    <xf numFmtId="0" fontId="11" fillId="0" borderId="0" xfId="0" applyFont="1" applyAlignment="1">
      <alignment horizontal="left" vertical="center" indent="5"/>
    </xf>
    <xf numFmtId="0" fontId="0" fillId="3" borderId="10" xfId="0" applyFill="1" applyBorder="1"/>
    <xf numFmtId="0" fontId="0" fillId="0" borderId="0" xfId="0" applyAlignment="1">
      <alignment horizontal="center" vertical="center" wrapText="1"/>
    </xf>
    <xf numFmtId="0" fontId="0" fillId="0" borderId="0" xfId="0" applyFill="1" applyAlignment="1">
      <alignment horizontal="center" vertical="center" wrapText="1"/>
    </xf>
    <xf numFmtId="164" fontId="0" fillId="0" borderId="0" xfId="0" applyNumberFormat="1" applyAlignment="1">
      <alignment horizontal="center" vertical="center" wrapText="1"/>
    </xf>
    <xf numFmtId="166" fontId="0" fillId="0" borderId="0" xfId="0" applyNumberFormat="1" applyAlignment="1">
      <alignment horizontal="center" vertical="center" wrapText="1"/>
    </xf>
    <xf numFmtId="165" fontId="2" fillId="4" borderId="9" xfId="3" applyNumberFormat="1" applyFont="1" applyFill="1" applyBorder="1" applyAlignment="1" applyProtection="1">
      <alignment horizontal="center" vertical="center"/>
    </xf>
    <xf numFmtId="0" fontId="9" fillId="13" borderId="0" xfId="0" applyFont="1" applyFill="1" applyAlignment="1">
      <alignment wrapText="1"/>
    </xf>
    <xf numFmtId="167" fontId="9" fillId="13" borderId="0" xfId="0" applyNumberFormat="1" applyFont="1" applyFill="1" applyAlignment="1">
      <alignment wrapText="1"/>
    </xf>
    <xf numFmtId="0" fontId="1" fillId="0" borderId="4" xfId="0" applyFont="1" applyFill="1" applyBorder="1"/>
    <xf numFmtId="0" fontId="5" fillId="15" borderId="0" xfId="0" applyFont="1" applyFill="1" applyAlignment="1">
      <alignment wrapText="1"/>
    </xf>
    <xf numFmtId="0" fontId="0" fillId="15" borderId="0" xfId="0" applyFill="1" applyAlignment="1">
      <alignment wrapText="1"/>
    </xf>
    <xf numFmtId="0" fontId="0" fillId="0" borderId="0" xfId="0" applyFill="1" applyAlignment="1">
      <alignment wrapText="1"/>
    </xf>
    <xf numFmtId="0" fontId="11" fillId="0" borderId="0" xfId="0" applyFont="1" applyFill="1"/>
    <xf numFmtId="0" fontId="0" fillId="0" borderId="1" xfId="0" applyBorder="1" applyAlignment="1">
      <alignment horizontal="center" vertical="center" wrapText="1"/>
    </xf>
    <xf numFmtId="0" fontId="0" fillId="0" borderId="3"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2" fontId="0" fillId="0" borderId="2" xfId="0" applyNumberFormat="1" applyBorder="1" applyAlignment="1">
      <alignment horizontal="center" vertical="center" wrapText="1"/>
    </xf>
    <xf numFmtId="2" fontId="0" fillId="0" borderId="0" xfId="0" applyNumberFormat="1" applyBorder="1" applyAlignment="1">
      <alignment horizontal="center" vertical="center" wrapText="1"/>
    </xf>
    <xf numFmtId="1" fontId="0" fillId="0" borderId="1" xfId="0" applyNumberFormat="1" applyBorder="1" applyAlignment="1">
      <alignment horizontal="center" vertical="center" wrapText="1"/>
    </xf>
    <xf numFmtId="1" fontId="0" fillId="0" borderId="16" xfId="0" applyNumberFormat="1" applyBorder="1" applyAlignment="1">
      <alignment horizontal="center" vertical="center" wrapText="1"/>
    </xf>
    <xf numFmtId="0" fontId="0" fillId="0" borderId="0" xfId="0" applyFont="1" applyAlignment="1"/>
    <xf numFmtId="0" fontId="0" fillId="15" borderId="0" xfId="0" applyFill="1" applyAlignment="1">
      <alignment horizontal="center" vertical="center" wrapText="1"/>
    </xf>
    <xf numFmtId="0" fontId="0" fillId="15" borderId="0" xfId="0" applyFill="1"/>
    <xf numFmtId="1" fontId="0" fillId="12" borderId="18" xfId="0" applyNumberFormat="1" applyFill="1" applyBorder="1" applyAlignment="1">
      <alignment horizontal="center" vertical="center" wrapText="1"/>
    </xf>
    <xf numFmtId="2" fontId="0" fillId="12" borderId="19" xfId="0" applyNumberFormat="1" applyFill="1" applyBorder="1" applyAlignment="1">
      <alignment horizontal="center" vertical="center" wrapText="1"/>
    </xf>
    <xf numFmtId="0" fontId="0" fillId="12" borderId="20" xfId="0" applyFill="1" applyBorder="1" applyAlignment="1">
      <alignment horizontal="center" vertical="center" wrapText="1"/>
    </xf>
    <xf numFmtId="0" fontId="0" fillId="12" borderId="18" xfId="0" applyFill="1" applyBorder="1" applyAlignment="1">
      <alignment horizontal="center" vertical="center" wrapText="1"/>
    </xf>
    <xf numFmtId="0" fontId="0" fillId="5" borderId="0" xfId="0" applyFill="1" applyAlignment="1">
      <alignment horizontal="center" vertical="center" wrapText="1"/>
    </xf>
    <xf numFmtId="0" fontId="0" fillId="18" borderId="0" xfId="0" applyFill="1" applyAlignment="1">
      <alignment horizontal="center" vertical="center" wrapText="1"/>
    </xf>
    <xf numFmtId="14" fontId="0" fillId="0" borderId="0" xfId="0" applyNumberFormat="1" applyAlignment="1">
      <alignment horizontal="center" vertical="center"/>
    </xf>
    <xf numFmtId="0" fontId="2" fillId="0" borderId="21" xfId="0" applyFont="1" applyBorder="1" applyAlignment="1" applyProtection="1">
      <alignment horizontal="center" vertical="center"/>
    </xf>
    <xf numFmtId="0" fontId="0" fillId="0" borderId="0" xfId="0" applyFill="1" applyAlignment="1">
      <alignment horizontal="center" vertical="center"/>
    </xf>
    <xf numFmtId="0" fontId="2" fillId="0" borderId="9" xfId="0" applyFont="1" applyBorder="1" applyProtection="1"/>
    <xf numFmtId="0" fontId="2" fillId="4" borderId="0" xfId="0" applyFont="1" applyFill="1" applyBorder="1" applyAlignment="1" applyProtection="1">
      <alignment horizontal="center" vertical="center"/>
    </xf>
    <xf numFmtId="0" fontId="0" fillId="20" borderId="3" xfId="0" applyFill="1" applyBorder="1" applyAlignment="1">
      <alignment horizontal="center" vertical="center" wrapText="1"/>
    </xf>
    <xf numFmtId="0" fontId="0" fillId="20" borderId="17" xfId="0" applyFill="1" applyBorder="1" applyAlignment="1">
      <alignment horizontal="center" vertical="center" wrapText="1"/>
    </xf>
    <xf numFmtId="164" fontId="0" fillId="0" borderId="0" xfId="0" applyNumberFormat="1" applyFill="1" applyAlignment="1">
      <alignment horizontal="center" vertical="center" wrapText="1"/>
    </xf>
    <xf numFmtId="166" fontId="0" fillId="0" borderId="0" xfId="0" applyNumberFormat="1" applyFill="1" applyAlignment="1">
      <alignment horizontal="center" vertical="center" wrapText="1"/>
    </xf>
    <xf numFmtId="164" fontId="0" fillId="18" borderId="0" xfId="0" applyNumberFormat="1" applyFill="1" applyAlignment="1">
      <alignment horizontal="center" vertical="center" wrapText="1"/>
    </xf>
    <xf numFmtId="166" fontId="0" fillId="18" borderId="0" xfId="0" applyNumberFormat="1" applyFill="1" applyAlignment="1">
      <alignment horizontal="center" vertical="center" wrapText="1"/>
    </xf>
    <xf numFmtId="0" fontId="0" fillId="18" borderId="0" xfId="0" applyFill="1"/>
    <xf numFmtId="0" fontId="7" fillId="0" borderId="0" xfId="2" applyFont="1"/>
    <xf numFmtId="0" fontId="0" fillId="0" borderId="0" xfId="0" applyFont="1"/>
    <xf numFmtId="0" fontId="7" fillId="0" borderId="0" xfId="2" applyFont="1" applyAlignment="1">
      <alignment horizontal="left"/>
    </xf>
    <xf numFmtId="0" fontId="7" fillId="0" borderId="0" xfId="2" applyFont="1" applyAlignment="1">
      <alignment horizontal="left" wrapText="1"/>
    </xf>
    <xf numFmtId="0" fontId="7" fillId="13" borderId="0" xfId="2" applyFont="1" applyFill="1" applyBorder="1"/>
    <xf numFmtId="0" fontId="7" fillId="11" borderId="0" xfId="2" applyFont="1" applyFill="1" applyBorder="1"/>
    <xf numFmtId="0" fontId="7" fillId="11" borderId="0" xfId="2" applyFont="1" applyFill="1" applyAlignment="1">
      <alignment horizontal="center" vertical="center" wrapText="1"/>
    </xf>
    <xf numFmtId="0" fontId="7" fillId="13" borderId="0" xfId="2" applyFont="1" applyFill="1"/>
    <xf numFmtId="0" fontId="0" fillId="0" borderId="0" xfId="0" applyFont="1" applyFill="1"/>
    <xf numFmtId="0" fontId="7" fillId="14" borderId="0" xfId="2" applyFont="1" applyFill="1" applyAlignment="1">
      <alignment wrapText="1"/>
    </xf>
    <xf numFmtId="0" fontId="7" fillId="7" borderId="0" xfId="2" applyFont="1" applyFill="1" applyAlignment="1">
      <alignment wrapText="1"/>
    </xf>
    <xf numFmtId="0" fontId="0" fillId="15" borderId="0" xfId="0" applyFont="1" applyFill="1" applyAlignment="1">
      <alignment wrapText="1"/>
    </xf>
    <xf numFmtId="0" fontId="7" fillId="7" borderId="0" xfId="2" applyFont="1" applyFill="1"/>
    <xf numFmtId="0" fontId="7" fillId="14" borderId="0" xfId="2" applyFont="1" applyFill="1"/>
    <xf numFmtId="0" fontId="7" fillId="0" borderId="0" xfId="2" applyFont="1" applyFill="1"/>
    <xf numFmtId="0" fontId="7" fillId="3" borderId="0" xfId="2" applyFont="1" applyFill="1"/>
    <xf numFmtId="0" fontId="8" fillId="0" borderId="0" xfId="0" applyFont="1"/>
    <xf numFmtId="0" fontId="0" fillId="21" borderId="4" xfId="0" applyFill="1" applyBorder="1" applyAlignment="1">
      <alignment horizontal="center" vertical="center"/>
    </xf>
    <xf numFmtId="0" fontId="0" fillId="10" borderId="0" xfId="0" applyFill="1" applyAlignment="1">
      <alignment horizontal="center" vertical="center"/>
    </xf>
    <xf numFmtId="0" fontId="0" fillId="7" borderId="0" xfId="0" applyFill="1" applyAlignment="1">
      <alignment horizontal="center" vertical="center"/>
    </xf>
    <xf numFmtId="0" fontId="0" fillId="14" borderId="0" xfId="0" applyFill="1" applyAlignment="1">
      <alignment horizontal="center" vertical="center"/>
    </xf>
    <xf numFmtId="0" fontId="13" fillId="16" borderId="0" xfId="0" applyFont="1" applyFill="1" applyAlignment="1">
      <alignment horizontal="center" vertical="center"/>
    </xf>
    <xf numFmtId="0" fontId="13" fillId="17" borderId="0" xfId="0" applyFont="1" applyFill="1" applyAlignment="1">
      <alignment horizontal="center" vertical="center"/>
    </xf>
    <xf numFmtId="0" fontId="0" fillId="6" borderId="0" xfId="0" applyFill="1" applyAlignment="1">
      <alignment horizontal="center" vertical="center"/>
    </xf>
    <xf numFmtId="0" fontId="0" fillId="3" borderId="0" xfId="0" applyFill="1" applyAlignment="1">
      <alignment horizontal="center" vertical="center"/>
    </xf>
    <xf numFmtId="0" fontId="7" fillId="21" borderId="0" xfId="2" applyFont="1" applyFill="1" applyBorder="1"/>
    <xf numFmtId="0" fontId="8" fillId="0" borderId="0" xfId="0" applyFont="1" applyBorder="1"/>
    <xf numFmtId="0" fontId="7" fillId="21" borderId="0" xfId="2" applyFont="1" applyFill="1" applyBorder="1" applyAlignment="1">
      <alignment horizontal="center" vertical="center"/>
    </xf>
    <xf numFmtId="1" fontId="0" fillId="0" borderId="0" xfId="0" applyNumberFormat="1" applyFill="1" applyBorder="1" applyAlignment="1">
      <alignment horizontal="center" vertical="center" wrapText="1"/>
    </xf>
    <xf numFmtId="2" fontId="0" fillId="0" borderId="0" xfId="0" applyNumberFormat="1" applyFill="1" applyBorder="1" applyAlignment="1">
      <alignment horizontal="center" vertical="center" wrapText="1"/>
    </xf>
    <xf numFmtId="0" fontId="0" fillId="0" borderId="0" xfId="0" applyFill="1" applyBorder="1" applyAlignment="1">
      <alignment horizontal="center" vertical="center" wrapText="1"/>
    </xf>
    <xf numFmtId="0" fontId="1" fillId="0" borderId="0" xfId="0" applyFont="1" applyAlignment="1">
      <alignment horizontal="center"/>
    </xf>
    <xf numFmtId="0" fontId="14" fillId="0" borderId="0" xfId="0" applyFont="1" applyAlignment="1">
      <alignment horizontal="center" vertical="center"/>
    </xf>
    <xf numFmtId="0" fontId="15" fillId="0" borderId="22" xfId="0" applyFont="1" applyBorder="1" applyAlignment="1">
      <alignment horizontal="center"/>
    </xf>
    <xf numFmtId="0" fontId="16" fillId="0" borderId="22" xfId="0" applyFont="1" applyBorder="1" applyAlignment="1">
      <alignment horizontal="center"/>
    </xf>
    <xf numFmtId="10" fontId="15" fillId="0" borderId="22" xfId="0" applyNumberFormat="1" applyFont="1" applyBorder="1" applyAlignment="1">
      <alignment horizontal="center"/>
    </xf>
    <xf numFmtId="0" fontId="15" fillId="0" borderId="11" xfId="0" applyFont="1" applyBorder="1" applyAlignment="1">
      <alignment horizontal="center"/>
    </xf>
    <xf numFmtId="10" fontId="15" fillId="0" borderId="12" xfId="0" applyNumberFormat="1" applyFont="1" applyBorder="1" applyAlignment="1">
      <alignment horizontal="center"/>
    </xf>
    <xf numFmtId="10" fontId="10" fillId="0" borderId="0" xfId="0" applyNumberFormat="1" applyFont="1"/>
    <xf numFmtId="0" fontId="10" fillId="0" borderId="22" xfId="0" applyFont="1" applyBorder="1"/>
    <xf numFmtId="0" fontId="10" fillId="0" borderId="22" xfId="0" applyFont="1" applyBorder="1" applyAlignment="1">
      <alignment horizontal="center"/>
    </xf>
    <xf numFmtId="0" fontId="10" fillId="0" borderId="0" xfId="0" applyFont="1" applyAlignment="1">
      <alignment horizontal="center"/>
    </xf>
    <xf numFmtId="0" fontId="0" fillId="0" borderId="0" xfId="0" pivotButton="1"/>
    <xf numFmtId="165" fontId="0" fillId="0" borderId="0" xfId="3" applyNumberFormat="1" applyFont="1" applyBorder="1"/>
    <xf numFmtId="0" fontId="4" fillId="0" borderId="4" xfId="0" applyFont="1" applyBorder="1" applyProtection="1"/>
    <xf numFmtId="0" fontId="2" fillId="0" borderId="0" xfId="0" applyFont="1" applyProtection="1"/>
    <xf numFmtId="0" fontId="2" fillId="0" borderId="0" xfId="0" applyFont="1" applyBorder="1" applyProtection="1"/>
    <xf numFmtId="165" fontId="2" fillId="0" borderId="0" xfId="3" applyNumberFormat="1" applyFont="1" applyBorder="1" applyAlignment="1" applyProtection="1">
      <alignment horizontal="center" vertical="center"/>
    </xf>
    <xf numFmtId="0" fontId="2" fillId="0" borderId="4" xfId="0" applyFont="1" applyBorder="1" applyProtection="1"/>
    <xf numFmtId="0" fontId="2" fillId="3" borderId="0" xfId="0" applyFont="1" applyFill="1" applyBorder="1" applyProtection="1"/>
    <xf numFmtId="0" fontId="2" fillId="4" borderId="0" xfId="0" applyFont="1" applyFill="1" applyBorder="1" applyProtection="1"/>
    <xf numFmtId="165" fontId="0" fillId="7" borderId="0" xfId="3" applyNumberFormat="1" applyFont="1" applyFill="1" applyBorder="1" applyAlignment="1">
      <alignment horizontal="center" vertical="center"/>
    </xf>
    <xf numFmtId="0" fontId="0" fillId="8" borderId="0" xfId="0" applyFill="1" applyAlignment="1">
      <alignment horizontal="center" vertical="center"/>
    </xf>
    <xf numFmtId="165" fontId="0" fillId="8" borderId="0" xfId="3" applyNumberFormat="1" applyFont="1" applyFill="1" applyBorder="1" applyAlignment="1">
      <alignment horizontal="center" vertical="center"/>
    </xf>
    <xf numFmtId="165" fontId="0" fillId="6" borderId="0" xfId="3" applyNumberFormat="1" applyFont="1" applyFill="1" applyBorder="1" applyAlignment="1">
      <alignment horizontal="center" vertical="center"/>
    </xf>
    <xf numFmtId="0" fontId="0" fillId="11" borderId="0" xfId="0" applyFill="1" applyAlignment="1">
      <alignment horizontal="center" vertical="center"/>
    </xf>
    <xf numFmtId="165" fontId="0" fillId="11" borderId="0" xfId="3" applyNumberFormat="1" applyFont="1" applyFill="1" applyBorder="1" applyAlignment="1">
      <alignment horizontal="center" vertical="center"/>
    </xf>
    <xf numFmtId="0" fontId="0" fillId="19" borderId="0" xfId="0" applyFill="1" applyAlignment="1">
      <alignment horizontal="center" vertical="center"/>
    </xf>
    <xf numFmtId="165" fontId="0" fillId="19" borderId="0" xfId="3" applyNumberFormat="1" applyFont="1" applyFill="1" applyBorder="1" applyAlignment="1">
      <alignment horizontal="center" vertical="center"/>
    </xf>
    <xf numFmtId="0" fontId="0" fillId="0" borderId="0" xfId="0" applyFill="1" applyBorder="1" applyAlignment="1">
      <alignment horizontal="center" vertical="center"/>
    </xf>
    <xf numFmtId="165" fontId="2" fillId="0" borderId="0" xfId="3" applyNumberFormat="1" applyFont="1" applyFill="1" applyBorder="1" applyAlignment="1" applyProtection="1">
      <alignment horizontal="center" vertical="center"/>
    </xf>
    <xf numFmtId="165" fontId="2" fillId="0" borderId="0" xfId="3" applyNumberFormat="1" applyFont="1" applyBorder="1" applyProtection="1"/>
    <xf numFmtId="0" fontId="2" fillId="0" borderId="0" xfId="0" applyFont="1" applyBorder="1"/>
    <xf numFmtId="0" fontId="2" fillId="2" borderId="10" xfId="0" applyFont="1" applyFill="1" applyBorder="1" applyAlignment="1" applyProtection="1">
      <alignment horizontal="center" vertical="center"/>
    </xf>
    <xf numFmtId="166" fontId="2" fillId="2" borderId="0" xfId="0" applyNumberFormat="1" applyFont="1" applyFill="1" applyBorder="1" applyAlignment="1" applyProtection="1">
      <alignment horizontal="center" vertical="center"/>
    </xf>
    <xf numFmtId="165" fontId="2" fillId="2" borderId="9" xfId="3" applyNumberFormat="1" applyFont="1" applyFill="1" applyBorder="1" applyAlignment="1" applyProtection="1">
      <alignment horizontal="center" vertical="center"/>
    </xf>
    <xf numFmtId="0" fontId="2" fillId="2" borderId="14" xfId="0" applyFont="1" applyFill="1" applyBorder="1" applyAlignment="1" applyProtection="1">
      <alignment horizontal="center" vertical="center"/>
    </xf>
    <xf numFmtId="166" fontId="2" fillId="2" borderId="13" xfId="0" applyNumberFormat="1" applyFont="1" applyFill="1" applyBorder="1" applyAlignment="1" applyProtection="1">
      <alignment horizontal="center" vertical="center"/>
    </xf>
    <xf numFmtId="165" fontId="2" fillId="2" borderId="15" xfId="3" applyNumberFormat="1"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0" fillId="0" borderId="0" xfId="0" applyAlignment="1">
      <alignment horizontal="center"/>
    </xf>
    <xf numFmtId="14" fontId="0" fillId="0" borderId="0" xfId="0" applyNumberFormat="1" applyAlignment="1">
      <alignment horizontal="center"/>
    </xf>
    <xf numFmtId="0" fontId="2" fillId="0" borderId="0" xfId="0" applyFont="1" applyBorder="1" applyAlignment="1" applyProtection="1">
      <alignment horizontal="center" vertical="center"/>
    </xf>
    <xf numFmtId="165" fontId="0" fillId="0" borderId="9" xfId="0" applyNumberFormat="1" applyBorder="1" applyAlignment="1">
      <alignment horizontal="center" vertical="center"/>
    </xf>
    <xf numFmtId="0" fontId="2" fillId="0" borderId="4" xfId="0" applyFont="1" applyBorder="1" applyAlignment="1" applyProtection="1">
      <alignment horizontal="center" vertical="center"/>
    </xf>
    <xf numFmtId="0" fontId="2" fillId="3" borderId="0" xfId="0" applyFont="1" applyFill="1" applyBorder="1" applyAlignment="1" applyProtection="1">
      <alignment horizontal="center" vertical="center"/>
    </xf>
    <xf numFmtId="0" fontId="2" fillId="22" borderId="10" xfId="0" applyFont="1" applyFill="1" applyBorder="1" applyAlignment="1" applyProtection="1">
      <alignment horizontal="center" vertical="center"/>
    </xf>
    <xf numFmtId="166" fontId="2" fillId="22" borderId="0" xfId="0" applyNumberFormat="1" applyFont="1" applyFill="1" applyBorder="1" applyAlignment="1" applyProtection="1">
      <alignment horizontal="center" vertical="center"/>
    </xf>
    <xf numFmtId="165" fontId="2" fillId="8" borderId="9" xfId="3" applyNumberFormat="1" applyFont="1" applyFill="1" applyBorder="1" applyAlignment="1" applyProtection="1">
      <alignment horizontal="center" vertical="center"/>
    </xf>
    <xf numFmtId="0" fontId="2" fillId="22" borderId="0" xfId="0" applyFont="1" applyFill="1" applyBorder="1" applyAlignment="1" applyProtection="1">
      <alignment horizontal="center" vertical="center"/>
    </xf>
    <xf numFmtId="0" fontId="2" fillId="4" borderId="4" xfId="0" applyFont="1" applyFill="1" applyBorder="1" applyProtection="1"/>
    <xf numFmtId="0" fontId="2" fillId="4" borderId="11" xfId="0" applyFont="1" applyFill="1" applyBorder="1" applyAlignment="1" applyProtection="1">
      <alignment horizontal="center" vertical="center"/>
    </xf>
    <xf numFmtId="166" fontId="2" fillId="4" borderId="4" xfId="0" applyNumberFormat="1" applyFont="1" applyFill="1" applyBorder="1" applyAlignment="1" applyProtection="1">
      <alignment horizontal="center" vertical="center"/>
    </xf>
    <xf numFmtId="165" fontId="2" fillId="4" borderId="12" xfId="3" applyNumberFormat="1" applyFont="1" applyFill="1" applyBorder="1" applyAlignment="1" applyProtection="1">
      <alignment horizontal="center" vertical="center"/>
    </xf>
    <xf numFmtId="0" fontId="2" fillId="4" borderId="4" xfId="0" applyFont="1" applyFill="1" applyBorder="1" applyAlignment="1" applyProtection="1">
      <alignment horizontal="center" vertical="center"/>
    </xf>
    <xf numFmtId="0" fontId="2" fillId="0" borderId="12" xfId="0" applyFont="1" applyBorder="1" applyProtection="1"/>
    <xf numFmtId="0" fontId="2" fillId="4" borderId="12" xfId="0" applyFont="1" applyFill="1" applyBorder="1" applyProtection="1"/>
    <xf numFmtId="0" fontId="4" fillId="0" borderId="0" xfId="0" applyFont="1" applyBorder="1" applyAlignment="1">
      <alignment horizontal="right"/>
    </xf>
    <xf numFmtId="0" fontId="0" fillId="6" borderId="10" xfId="0" applyFill="1" applyBorder="1" applyAlignment="1">
      <alignment horizontal="center" vertical="center"/>
    </xf>
    <xf numFmtId="166" fontId="0" fillId="6" borderId="0" xfId="0" applyNumberFormat="1" applyFill="1" applyBorder="1" applyAlignment="1">
      <alignment horizontal="center" vertical="center"/>
    </xf>
    <xf numFmtId="0" fontId="0" fillId="6" borderId="0" xfId="0" applyFill="1" applyBorder="1" applyAlignment="1">
      <alignment horizontal="center" vertical="center"/>
    </xf>
    <xf numFmtId="166" fontId="0" fillId="0" borderId="0" xfId="0" applyNumberFormat="1" applyFill="1" applyBorder="1" applyAlignment="1">
      <alignment horizontal="center" vertical="center"/>
    </xf>
    <xf numFmtId="0" fontId="2" fillId="2" borderId="0" xfId="0" applyFont="1" applyFill="1" applyBorder="1" applyProtection="1"/>
    <xf numFmtId="0" fontId="2" fillId="2" borderId="13" xfId="0" applyFont="1" applyFill="1" applyBorder="1" applyAlignment="1" applyProtection="1">
      <alignment horizontal="center" vertical="center"/>
    </xf>
    <xf numFmtId="0" fontId="0" fillId="2" borderId="0" xfId="0" applyFill="1"/>
    <xf numFmtId="0" fontId="0" fillId="20" borderId="0" xfId="0" applyFill="1" applyBorder="1" applyAlignment="1">
      <alignment horizontal="center" vertical="center" wrapText="1"/>
    </xf>
    <xf numFmtId="0" fontId="0" fillId="12" borderId="0" xfId="0" applyFill="1" applyBorder="1" applyAlignment="1">
      <alignment horizontal="center" vertical="center" wrapText="1"/>
    </xf>
    <xf numFmtId="164" fontId="0" fillId="15" borderId="0" xfId="0" applyNumberFormat="1" applyFill="1" applyAlignment="1">
      <alignment horizontal="center" vertical="center" wrapText="1"/>
    </xf>
    <xf numFmtId="166" fontId="0" fillId="15" borderId="0" xfId="0" applyNumberFormat="1" applyFill="1" applyAlignment="1">
      <alignment horizontal="center" vertical="center" wrapText="1"/>
    </xf>
    <xf numFmtId="9" fontId="0" fillId="0" borderId="0" xfId="0" applyNumberFormat="1"/>
    <xf numFmtId="9" fontId="0" fillId="0" borderId="0" xfId="0" applyNumberFormat="1" applyAlignment="1">
      <alignment horizontal="center"/>
    </xf>
    <xf numFmtId="0" fontId="0" fillId="0" borderId="0" xfId="0" applyNumberFormat="1" applyAlignment="1">
      <alignment horizontal="center"/>
    </xf>
    <xf numFmtId="0" fontId="0" fillId="0" borderId="22" xfId="0" applyNumberFormat="1" applyBorder="1" applyAlignment="1">
      <alignment horizontal="center"/>
    </xf>
    <xf numFmtId="10" fontId="1" fillId="0" borderId="0" xfId="0" applyNumberFormat="1" applyFont="1" applyAlignment="1">
      <alignment horizontal="center"/>
    </xf>
    <xf numFmtId="10" fontId="0" fillId="0" borderId="0" xfId="0" applyNumberFormat="1" applyAlignment="1">
      <alignment horizontal="center"/>
    </xf>
    <xf numFmtId="0" fontId="1" fillId="0" borderId="15" xfId="0" applyFont="1" applyBorder="1" applyAlignment="1">
      <alignment horizontal="center"/>
    </xf>
    <xf numFmtId="0" fontId="1" fillId="0" borderId="14" xfId="0" applyFont="1" applyBorder="1" applyAlignment="1">
      <alignment horizontal="center"/>
    </xf>
    <xf numFmtId="1" fontId="15" fillId="0" borderId="22" xfId="0" applyNumberFormat="1" applyFont="1" applyBorder="1" applyAlignment="1">
      <alignment horizontal="center"/>
    </xf>
    <xf numFmtId="0" fontId="15" fillId="0" borderId="22" xfId="0" applyFont="1" applyBorder="1" applyAlignment="1">
      <alignment horizontal="center" wrapText="1"/>
    </xf>
    <xf numFmtId="0" fontId="19" fillId="0" borderId="22" xfId="0" applyFont="1" applyBorder="1" applyAlignment="1">
      <alignment horizontal="center"/>
    </xf>
    <xf numFmtId="0" fontId="0" fillId="0" borderId="0" xfId="0" pivotButton="1" applyAlignment="1">
      <alignment horizontal="center"/>
    </xf>
    <xf numFmtId="0" fontId="18" fillId="0" borderId="23" xfId="0" applyNumberFormat="1" applyFont="1" applyBorder="1" applyAlignment="1">
      <alignment horizontal="center"/>
    </xf>
    <xf numFmtId="0" fontId="18" fillId="0" borderId="0" xfId="0" applyFont="1" applyAlignment="1">
      <alignment horizontal="left"/>
    </xf>
    <xf numFmtId="0" fontId="0" fillId="0" borderId="0" xfId="0" applyAlignment="1">
      <alignment horizontal="left"/>
    </xf>
    <xf numFmtId="0" fontId="0" fillId="0" borderId="12" xfId="0" applyNumberFormat="1" applyBorder="1" applyAlignment="1">
      <alignment horizontal="center"/>
    </xf>
    <xf numFmtId="0" fontId="0" fillId="0" borderId="4" xfId="0" applyNumberFormat="1" applyBorder="1" applyAlignment="1">
      <alignment horizontal="center"/>
    </xf>
    <xf numFmtId="0" fontId="0" fillId="0" borderId="11" xfId="0" applyNumberFormat="1" applyBorder="1" applyAlignment="1">
      <alignment horizontal="center"/>
    </xf>
    <xf numFmtId="0" fontId="0" fillId="0" borderId="9" xfId="0" applyNumberFormat="1" applyBorder="1" applyAlignment="1">
      <alignment horizontal="center"/>
    </xf>
    <xf numFmtId="0" fontId="0" fillId="0" borderId="0" xfId="0" applyNumberFormat="1" applyBorder="1" applyAlignment="1">
      <alignment horizontal="center"/>
    </xf>
    <xf numFmtId="0" fontId="0" fillId="0" borderId="10" xfId="0" applyNumberFormat="1" applyBorder="1" applyAlignment="1">
      <alignment horizontal="center"/>
    </xf>
    <xf numFmtId="10" fontId="1" fillId="0" borderId="12" xfId="0" applyNumberFormat="1" applyFont="1" applyBorder="1" applyAlignment="1">
      <alignment horizontal="center"/>
    </xf>
    <xf numFmtId="0" fontId="1" fillId="0" borderId="11" xfId="0" applyFont="1" applyBorder="1" applyAlignment="1">
      <alignment horizontal="center"/>
    </xf>
    <xf numFmtId="10" fontId="1" fillId="0" borderId="15" xfId="0" applyNumberFormat="1" applyFont="1" applyBorder="1" applyAlignment="1">
      <alignment horizontal="center"/>
    </xf>
    <xf numFmtId="10" fontId="1" fillId="0" borderId="22" xfId="0" applyNumberFormat="1" applyFont="1" applyBorder="1" applyAlignment="1">
      <alignment horizontal="center"/>
    </xf>
    <xf numFmtId="1" fontId="1" fillId="0" borderId="22" xfId="0" applyNumberFormat="1" applyFont="1" applyBorder="1" applyAlignment="1">
      <alignment horizontal="center"/>
    </xf>
    <xf numFmtId="0" fontId="17" fillId="0" borderId="22" xfId="0" applyFont="1" applyBorder="1" applyAlignment="1">
      <alignment horizontal="center"/>
    </xf>
    <xf numFmtId="0" fontId="1" fillId="0" borderId="22" xfId="0" applyFont="1" applyBorder="1" applyAlignment="1">
      <alignment horizontal="center"/>
    </xf>
    <xf numFmtId="0" fontId="7" fillId="0" borderId="0" xfId="0" applyFont="1" applyAlignment="1">
      <alignment horizontal="left"/>
    </xf>
    <xf numFmtId="0" fontId="0" fillId="0" borderId="1" xfId="0" applyBorder="1"/>
    <xf numFmtId="0" fontId="0" fillId="0" borderId="2" xfId="0" applyBorder="1"/>
    <xf numFmtId="0" fontId="0" fillId="0" borderId="16" xfId="0" applyBorder="1"/>
    <xf numFmtId="0" fontId="7" fillId="0" borderId="0" xfId="0" applyFont="1" applyFill="1" applyBorder="1" applyAlignment="1">
      <alignment horizontal="center" vertical="center"/>
    </xf>
    <xf numFmtId="0" fontId="7" fillId="0" borderId="17" xfId="0" applyFont="1" applyFill="1" applyBorder="1" applyAlignment="1">
      <alignment horizontal="center" vertical="center"/>
    </xf>
    <xf numFmtId="0" fontId="7" fillId="0" borderId="15" xfId="0" applyFont="1" applyBorder="1" applyAlignment="1">
      <alignment horizontal="center"/>
    </xf>
    <xf numFmtId="0" fontId="0" fillId="0" borderId="25" xfId="0" applyBorder="1"/>
    <xf numFmtId="0" fontId="0" fillId="0" borderId="26" xfId="0" applyBorder="1"/>
    <xf numFmtId="0" fontId="0" fillId="0" borderId="9" xfId="0" applyBorder="1"/>
    <xf numFmtId="0" fontId="0" fillId="0" borderId="27" xfId="0" applyBorder="1"/>
    <xf numFmtId="0" fontId="0" fillId="0" borderId="28" xfId="0" applyBorder="1"/>
    <xf numFmtId="0" fontId="0" fillId="0" borderId="6" xfId="0" applyBorder="1"/>
    <xf numFmtId="0" fontId="0" fillId="0" borderId="7" xfId="0" applyBorder="1"/>
    <xf numFmtId="0" fontId="0" fillId="0" borderId="29" xfId="0" applyBorder="1"/>
    <xf numFmtId="0" fontId="0" fillId="0" borderId="30" xfId="0" applyBorder="1"/>
    <xf numFmtId="0" fontId="0" fillId="0" borderId="31" xfId="0" applyBorder="1"/>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2" borderId="13" xfId="0" applyFont="1" applyFill="1" applyBorder="1" applyAlignment="1" applyProtection="1">
      <alignment horizontal="right"/>
    </xf>
    <xf numFmtId="0" fontId="4" fillId="2" borderId="0" xfId="0" applyFont="1" applyFill="1" applyBorder="1" applyAlignment="1" applyProtection="1">
      <alignment horizontal="right"/>
    </xf>
    <xf numFmtId="0" fontId="4" fillId="0" borderId="0" xfId="0" applyFont="1" applyBorder="1" applyAlignment="1" applyProtection="1">
      <alignment horizontal="right"/>
    </xf>
    <xf numFmtId="0" fontId="4" fillId="0" borderId="9" xfId="0" applyFont="1" applyBorder="1" applyAlignment="1" applyProtection="1">
      <alignment horizontal="right"/>
    </xf>
    <xf numFmtId="0" fontId="4" fillId="2" borderId="9" xfId="0" applyFont="1" applyFill="1" applyBorder="1" applyAlignment="1" applyProtection="1">
      <alignment horizontal="right"/>
    </xf>
    <xf numFmtId="0" fontId="0" fillId="2" borderId="0" xfId="0" applyFill="1" applyAlignment="1">
      <alignment horizontal="center"/>
    </xf>
    <xf numFmtId="0" fontId="0" fillId="0" borderId="0" xfId="0" applyAlignment="1">
      <alignment horizontal="center"/>
    </xf>
    <xf numFmtId="0" fontId="15" fillId="0" borderId="2" xfId="0" applyFont="1" applyFill="1" applyBorder="1" applyAlignment="1">
      <alignment horizontal="center" vertical="center"/>
    </xf>
    <xf numFmtId="0" fontId="15" fillId="0" borderId="3" xfId="0" applyFont="1" applyFill="1" applyBorder="1" applyAlignment="1">
      <alignment horizontal="center" vertical="center"/>
    </xf>
    <xf numFmtId="0" fontId="7" fillId="0" borderId="24" xfId="0" applyFont="1" applyBorder="1" applyAlignment="1">
      <alignment horizontal="center"/>
    </xf>
    <xf numFmtId="0" fontId="7" fillId="0" borderId="13" xfId="0" applyFont="1" applyBorder="1" applyAlignment="1">
      <alignment horizontal="center"/>
    </xf>
    <xf numFmtId="0" fontId="7" fillId="0" borderId="15" xfId="0" applyFont="1" applyBorder="1" applyAlignment="1">
      <alignment horizontal="center"/>
    </xf>
    <xf numFmtId="0" fontId="0" fillId="0" borderId="15" xfId="0" applyFont="1" applyBorder="1" applyAlignment="1">
      <alignment horizontal="center"/>
    </xf>
    <xf numFmtId="0" fontId="0" fillId="0" borderId="9" xfId="0" applyFont="1" applyBorder="1"/>
  </cellXfs>
  <cellStyles count="4">
    <cellStyle name="Hyperlink" xfId="2" builtinId="8"/>
    <cellStyle name="Normal" xfId="0" builtinId="0"/>
    <cellStyle name="Normal 2" xfId="1"/>
    <cellStyle name="Percent" xfId="3" builtinId="5"/>
  </cellStyles>
  <dxfs count="43">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rgb="FFFF0000"/>
      </font>
    </dxf>
    <dxf>
      <font>
        <color rgb="FFFF0000"/>
      </font>
    </dxf>
    <dxf>
      <border>
        <vertical style="thin">
          <color indexed="64"/>
        </vertical>
        <horizontal style="thin">
          <color indexed="64"/>
        </horizontal>
      </border>
    </dxf>
    <dxf>
      <border>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88900</xdr:rowOff>
        </xdr:from>
        <xdr:to>
          <xdr:col>1</xdr:col>
          <xdr:colOff>914400</xdr:colOff>
          <xdr:row>9</xdr:row>
          <xdr:rowOff>76200</xdr:rowOff>
        </xdr:to>
        <xdr:sp macro="" textlink="">
          <xdr:nvSpPr>
            <xdr:cNvPr id="20493" name="Object 13" hidden="1">
              <a:extLst>
                <a:ext uri="{63B3BB69-23CF-44E3-9099-C40C66FF867C}">
                  <a14:compatExt spid="_x0000_s20493"/>
                </a:ext>
                <a:ext uri="{FF2B5EF4-FFF2-40B4-BE49-F238E27FC236}">
                  <a16:creationId xmlns:a16="http://schemas.microsoft.com/office/drawing/2014/main" id="{F147DC38-D563-429A-A9A0-AD9582B1B34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641350</xdr:colOff>
          <xdr:row>0</xdr:row>
          <xdr:rowOff>69850</xdr:rowOff>
        </xdr:from>
        <xdr:to>
          <xdr:col>1</xdr:col>
          <xdr:colOff>469900</xdr:colOff>
          <xdr:row>4</xdr:row>
          <xdr:rowOff>76200</xdr:rowOff>
        </xdr:to>
        <xdr:sp macro="" textlink="">
          <xdr:nvSpPr>
            <xdr:cNvPr id="3077" name="Object 5" hidden="1">
              <a:extLst>
                <a:ext uri="{63B3BB69-23CF-44E3-9099-C40C66FF867C}">
                  <a14:compatExt spid="_x0000_s3077"/>
                </a:ext>
                <a:ext uri="{FF2B5EF4-FFF2-40B4-BE49-F238E27FC236}">
                  <a16:creationId xmlns:a16="http://schemas.microsoft.com/office/drawing/2014/main" id="{CB58940B-AA5D-48F9-863E-693E366B110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IGLewis/Desktop/14JUNE21_Fleet%20SJ%20revie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5"/>
      <sheetName val="Sheet1"/>
      <sheetName val="Sheet7"/>
      <sheetName val="MEC-SJ"/>
      <sheetName val="Sheet2"/>
      <sheetName val="BSTR-SJ"/>
      <sheetName val="Sheet8"/>
      <sheetName val="HOP-SJ"/>
      <sheetName val="Sheet3"/>
      <sheetName val="Sheet4"/>
      <sheetName val="MECP"/>
      <sheetName val="HOPP"/>
      <sheetName val="BSTRP"/>
      <sheetName val="YardsP"/>
      <sheetName val="ABCD WO Counts"/>
      <sheetName val="Sheet5"/>
      <sheetName val="Critical Part Status"/>
      <sheetName val="Sheet6"/>
      <sheetName val="Sheet9"/>
      <sheetName val="Sheet10"/>
      <sheetName val="Sheet11"/>
      <sheetName val="Sheet13"/>
      <sheetName val="Sheet12"/>
      <sheetName val="Sheet14"/>
      <sheetName val="Sheet17"/>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3">
          <cell r="B3">
            <v>8000</v>
          </cell>
          <cell r="D3">
            <v>10212</v>
          </cell>
          <cell r="F3">
            <v>7223</v>
          </cell>
          <cell r="H3">
            <v>12190</v>
          </cell>
          <cell r="J3">
            <v>9728</v>
          </cell>
        </row>
      </sheetData>
      <sheetData sheetId="21" refreshError="1"/>
      <sheetData sheetId="22" refreshError="1"/>
      <sheetData sheetId="23" refreshError="1"/>
      <sheetData sheetId="24"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IGLewis/Desktop/14JUNE21_Fleet%20SJ%20review.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IGLewis/Desktop/14JUNE21_Fleet%20SJ%20review.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Lewis, Irvin G" refreshedDate="44361.57218703704" createdVersion="4" refreshedVersion="6" minRefreshableVersion="3" recordCount="1194">
  <cacheSource type="worksheet">
    <worksheetSource name="Table_Query_from_NS5_ODR" r:id="rId2"/>
  </cacheSource>
  <cacheFields count="13">
    <cacheField name="SHIP_NAME" numFmtId="0">
      <sharedItems count="5">
        <s v="Illinois"/>
        <s v="Alaska"/>
        <s v="Carolina"/>
        <s v="Texas"/>
        <s v="Ohio"/>
      </sharedItems>
    </cacheField>
    <cacheField name="SHIP_CODE" numFmtId="0">
      <sharedItems/>
    </cacheField>
    <cacheField name="JOB_TITLE" numFmtId="0">
      <sharedItems/>
    </cacheField>
    <cacheField name="EQUIPMENT_NAME" numFmtId="0">
      <sharedItems/>
    </cacheField>
    <cacheField name="JOB_TYPE" numFmtId="0">
      <sharedItems/>
    </cacheField>
    <cacheField name="CRITICALITY" numFmtId="0">
      <sharedItems/>
    </cacheField>
    <cacheField name="PRIORITY" numFmtId="0">
      <sharedItems/>
    </cacheField>
    <cacheField name="JOB_CATEGORY" numFmtId="0">
      <sharedItems containsBlank="1"/>
    </cacheField>
    <cacheField name="SHIP_TYPE" numFmtId="0">
      <sharedItems/>
    </cacheField>
    <cacheField name="EQUIPMENT_NAME2" numFmtId="0">
      <sharedItems/>
    </cacheField>
    <cacheField name="EQUIP_NAME_FWD" numFmtId="0">
      <sharedItems/>
    </cacheField>
    <cacheField name="SUBSTRING_INDEX(`rpt_equipment`.`EQUIP_NAME_FWD`, &quot;*&quot;, 1)" numFmtId="0">
      <sharedItems count="34">
        <s v="Safety Firefighting"/>
        <s v="Safety Lifesaving"/>
        <s v="Potable Water"/>
        <s v="Pump, Dredge"/>
        <s v="Generators"/>
        <s v="Ladder System"/>
        <s v="Cutter Machinery"/>
        <s v="Crane/Hoists"/>
        <s v="Gland Seal"/>
        <s v="Electrical"/>
        <s v="Compressed Air"/>
        <s v="Pump, Ladder"/>
        <s v="Fuel Oil Transfer"/>
        <s v="HVAC"/>
        <s v="Hydraulic Systems"/>
        <s v="Lube Oil Transfer"/>
        <s v="Raw Water"/>
        <s v="Sanitation System"/>
        <s v="Spud System"/>
        <s v="Swing"/>
        <s v="Cutterheads"/>
        <s v="Bilge/Ballast"/>
        <s v="Galley Equipment"/>
        <s v="Hull/Structure"/>
        <s v="MG Set (Cutter/Swing)"/>
        <s v="Piping (Dredge)"/>
        <s v="Production Instrumentation/Monitoring"/>
        <s v="Navigation/Communication"/>
        <s v="Pump, Dredge (Stbd)"/>
        <s v="Pump, Dredge (Port)"/>
        <s v="Pump, Dredge (Stbd)-OLD"/>
        <s v="Pump, Dredge (Port)- OLD"/>
        <s v="Pump, Dredge Stbd (New)"/>
        <s v="Pump, Dredge Port (New)"/>
      </sharedItems>
    </cacheField>
    <cacheField name="IF(`rpt_standard_job`.`JOB_CATEGORY` IN (&quot;To Be Written&quot;,&quot;To Be Captured&quot;) ,&quot;Identified&quot; ,&quot;Complete&quot; )" numFmtId="0">
      <sharedItems count="2">
        <s v="Complete"/>
        <s v="Identified"/>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Lewis, Irvin G" refreshedDate="44361.572184837962" createdVersion="4" refreshedVersion="6" minRefreshableVersion="3" recordCount="3697">
  <cacheSource type="worksheet">
    <worksheetSource name="Table_Query_from_NS5_ODR6" r:id="rId2"/>
  </cacheSource>
  <cacheFields count="13">
    <cacheField name="SHIP_CODE" numFmtId="0">
      <sharedItems/>
    </cacheField>
    <cacheField name="SHIP_NAME" numFmtId="0">
      <sharedItems count="39">
        <s v="Mobile Yard"/>
        <s v="Norfolk Yard"/>
        <s v="Alaska"/>
        <s v="Ohio"/>
        <s v="Illinois"/>
        <s v="Carolina"/>
        <s v="Texas"/>
        <s v="New York"/>
        <s v="Dredge 55"/>
        <s v="Dredge 53"/>
        <s v="Dredge 54"/>
        <s v="Dredge 58"/>
        <s v="Sugar Island"/>
        <s v="Dodge Island"/>
        <s v="Padre Island"/>
        <s v="Liberty Island"/>
        <s v="Terrapin Island"/>
        <s v="Ellis Island"/>
        <s v="Unloader # 2"/>
        <s v="Jack"/>
        <s v="Jessie"/>
        <s v="Reggie"/>
        <s v="Erin"/>
        <s v="Buster"/>
        <s v="Texas JR"/>
        <s v="Captain Barney Patnaude"/>
        <s v="Booster 9"/>
        <s v="Apache"/>
        <s v="Douglas B. Mackie"/>
        <s v="Lake Tahoe"/>
        <s v="GL 175 Spider Barge"/>
        <s v="GL 141 Idler Barge"/>
        <s v="Cape Girardeau Yard"/>
        <s v="Iowa" u="1"/>
        <s v="Bahrain Yard" u="1"/>
        <s v="Florida" u="1"/>
        <s v="ME Vessel Inventory" u="1"/>
        <s v="Noon Island" u="1"/>
        <s v="California" u="1"/>
      </sharedItems>
    </cacheField>
    <cacheField name="MACHINERY_PART_ID" numFmtId="0">
      <sharedItems containsSemiMixedTypes="0" containsString="0" containsNumber="1" containsInteger="1" minValue="11" maxValue="71100000642"/>
    </cacheField>
    <cacheField name="PART_HIEARCHICAL_NAME_FW" numFmtId="0">
      <sharedItems/>
    </cacheField>
    <cacheField name="SUBSTRING_INDEX(rpt_part.part_hiearchical_name_fw, &quot;*&quot;, 1)" numFmtId="0">
      <sharedItems count="134">
        <s v="Pipe (Castings)"/>
        <s v="Hoppers"/>
        <s v="Pump Parts (Ladder Pumps)"/>
        <s v="Engine Parts (Diesel)"/>
        <s v="Generators"/>
        <s v="Pipe &amp; Hose (Jet Water)"/>
        <s v="Gearbox Parts (Cutter)"/>
        <s v="Ladder Parts"/>
        <s v="Excavator (Liebherr 996)"/>
        <s v="Pump Parts (Unloader)"/>
        <s v="Pump Parts (Dredge Pumps)"/>
        <s v="Pump Parts (Submersible)"/>
        <s v="Heat Exchangers"/>
        <s v="Piping (Liberty)"/>
        <s v="Motors, Electric (&gt;100 HP)"/>
        <s v="Vessel Specific"/>
        <s v="Shafts &amp; Bearings (Dredge Pump Drive)"/>
        <s v="Dragheads"/>
        <s v="Pipe &amp; Hose (Service Water)"/>
        <s v="Propellers"/>
        <s v="Pipe &amp; Hose (Dredge Slurry)"/>
        <s v="Dragarms"/>
        <s v="Gearbox Parts (Clamshell Cranes)"/>
        <s v="Shafts &amp; Bearings (Cutter Drive)"/>
        <s v="Piping (Terrapin)"/>
        <s v="Clutches"/>
        <s v="Sheaves"/>
        <s v="Spuds"/>
        <s v="Swing Parts (Clamshell)"/>
        <s v="Hydraulic Cylinders"/>
        <s v="Skimmer Tubes"/>
        <s v="Valves (Slurry)"/>
        <s v="Gearbox Parts (Ladder Pump)"/>
        <s v="Buckets"/>
        <s v="Winches"/>
        <s v="Gearbox Parts (Dredge Pump)"/>
        <s v="Couplings"/>
        <s v="Bowthrusters"/>
        <s v="HVAC"/>
        <s v="Pump Parts (Jet Pumps)"/>
        <s v="Shafts &amp; Bearings (Jet Pump)"/>
        <s v="Motors, Electric (&lt;100 HP)"/>
        <s v="Gearbox Parts (Propulsion)"/>
        <s v="Hopper Systems"/>
        <s v="Liebherr"/>
        <s v="Derricks/Cranes/Overhead Hoists"/>
        <s v="Spuds (Jackup Boosters)"/>
        <s v="Cutterheads"/>
        <s v="Piping (MI Class Hoppers)"/>
        <s v="Shafts &amp; Bearings (Ladder Pump Drive)"/>
        <s v="Spuds (Idler Barges)"/>
        <s v="Gearbox Parts (Jet Pump)"/>
        <s v="Air Compressors"/>
        <s v="Hull"/>
        <s v="Davits"/>
        <s v="Fleet Consumables"/>
        <s v="Shafts &amp; Bearings (Propulsion)"/>
        <s v="Tug-Barge Connection System (EI-DM)"/>
        <s v="Hydraulic Systems"/>
        <s v="Rudders"/>
        <s v="Radiators"/>
        <s v="Electrical"/>
        <s v="Scows"/>
        <s v="Pump, Dredge"/>
        <s v="Pump, Ladder"/>
        <s v="Swing"/>
        <s v="Cutter Machinery"/>
        <s v="Gland Seal"/>
        <s v="Ladder System"/>
        <s v="Potable Water"/>
        <s v="Crane/Hoists"/>
        <s v="Raw Water"/>
        <s v="MG Set (Cutter/Swing)"/>
        <s v="Spud System"/>
        <s v="Pump, Dredge (Stbd)-OLD"/>
        <s v="Production Instrumentation/Monitoring"/>
        <s v="Pump, Dredge (Port)- OLD"/>
        <s v="Navigation/Communication"/>
        <s v="Vessel Consumables"/>
        <s v="Compressed Air"/>
        <s v="Piping (Dredge)"/>
        <s v="Fuel Oil Transfer"/>
        <s v="Pump, Dredge (Port)"/>
        <s v="Bilge/Ballast"/>
        <s v="Safety Firefighting"/>
        <s v="Hull/Structure"/>
        <s v="Lube Oil Transfer"/>
        <s v="Hydraulic System"/>
        <s v="Boom Assist System"/>
        <s v="Crane Boom"/>
        <s v="Crane Holding &amp; Closing"/>
        <s v="Crane Swing Machinery"/>
        <s v="Crane Tagline"/>
        <s v="Scow Fleeting"/>
        <s v="Crane Swing Circle"/>
        <s v="Survey Equipment"/>
        <s v="Bowthruster"/>
        <s v="Dragarm Hoisting"/>
        <s v="Hopper System"/>
        <s v="Pump, Dredge (Stbd)"/>
        <s v="Piping (Jet Water)"/>
        <s v="Propulsion"/>
        <s v="Loop Cooling"/>
        <s v="Steering"/>
        <s v="Hydraulic Service System"/>
        <s v="Pump, Jet (Port)"/>
        <s v="Mooring/Anchor Handling"/>
        <s v="Safety Lifesaving"/>
        <s v="Pump, Jet"/>
        <s v="Pump Drive, Dredge"/>
        <s v="Pump Drive, Jet"/>
        <s v="Pump, Slurry"/>
        <s v="Pump, Dilution"/>
        <s v="Products Instrumentation/Monitoring"/>
        <s v="Production/Instrumentation/Monitoring"/>
        <s v="Rawwater"/>
        <s v="Drill Equipment"/>
        <s v="Tug-Barge Connection System"/>
        <s v="Engines (Pump)"/>
        <s v="Shop Equipment" u="1"/>
        <s v="Piping (Hydraulics)" u="1"/>
        <s v="Engines" u="1"/>
        <s v="Booms (Clamshell)" u="1"/>
        <s v="Ladder" u="1"/>
        <s v="Main Hoist Winch" u="1"/>
        <s v="Dredge Crane (Page 828)" u="1"/>
        <s v="Revolving Frame &amp; Cab" u="1"/>
        <s v="Dredge Crane (Page 7-28ED)" u="1"/>
        <s v="Spud Walking" u="1"/>
        <s v="Service Crane/Hoists" u="1"/>
        <s v="Pumps, Ladder" u="1"/>
        <s v="Pipe (Slurry- MI Class Hoppers)" u="1"/>
        <s v="Pumps, Dredge" u="1"/>
        <s v="Sanitation System" u="1"/>
      </sharedItems>
    </cacheField>
    <cacheField name="CRITICAL" numFmtId="0">
      <sharedItems/>
    </cacheField>
    <cacheField name="MIN_LEVEL" numFmtId="0">
      <sharedItems containsSemiMixedTypes="0" containsString="0" containsNumber="1" containsInteger="1" minValue="1" maxValue="10000"/>
    </cacheField>
    <cacheField name="PART_NAME" numFmtId="0">
      <sharedItems/>
    </cacheField>
    <cacheField name="PART_HIEARCHICAL_NAME_FW2" numFmtId="0">
      <sharedItems/>
    </cacheField>
    <cacheField name="QTY_ON_HAND" numFmtId="0">
      <sharedItems containsString="0" containsBlank="1" containsNumber="1" containsInteger="1" minValue="0" maxValue="21522"/>
    </cacheField>
    <cacheField name="PART_NUMBER" numFmtId="0">
      <sharedItems containsBlank="1"/>
    </cacheField>
    <cacheField name="PARTNUMBER_REFERENCE" numFmtId="0">
      <sharedItems containsBlank="1"/>
    </cacheField>
    <cacheField name="COUNT(`OWNER_EQUIPMENT_ID`)" numFmtId="0">
      <sharedItems containsSemiMixedTypes="0" containsString="0" containsNumber="1" containsInteger="1" minValue="1" maxValue="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94">
  <r>
    <x v="0"/>
    <s v="0105"/>
    <s v="Fixed Fire System Annual Certification"/>
    <s v="Fixed Fire System"/>
    <s v="EQUIPMENT"/>
    <s v="A"/>
    <s v="A"/>
    <s v="Regulatory Requirement"/>
    <s v="Hydraulic Dredge"/>
    <s v="Fixed Fire System"/>
    <s v="Safety Firefighting*Fixed Fire System"/>
    <x v="0"/>
    <x v="0"/>
  </r>
  <r>
    <x v="0"/>
    <s v="0105"/>
    <s v="Life Raft, 20 Person (Port) Annual Exchange"/>
    <s v="Life Raft, 20 Person (Port)"/>
    <s v="EQUIPMENT"/>
    <s v="A"/>
    <s v="A"/>
    <s v="Regulatory Requirement"/>
    <s v="Hydraulic Dredge"/>
    <s v="Life Raft, 20 Person (Port)"/>
    <s v="Safety Lifesaving*Life Raft, 20 Person (Port)"/>
    <x v="1"/>
    <x v="0"/>
  </r>
  <r>
    <x v="0"/>
    <s v="0105"/>
    <s v="Life Raft, 25 Person (Stbd) Annual Exchange"/>
    <s v="Life Raft, 25 Person (Stbd)"/>
    <s v="EQUIPMENT"/>
    <s v="A"/>
    <s v="A"/>
    <s v="Regulatory Requirement"/>
    <s v="Hydraulic Dredge"/>
    <s v="Life Raft, 25 Person (Stbd)"/>
    <s v="Safety Lifesaving*Life Raft, 25 Person (Stbd)"/>
    <x v="1"/>
    <x v="0"/>
  </r>
  <r>
    <x v="0"/>
    <s v="0105"/>
    <s v="Desalinator Monthly PM/Inspection"/>
    <s v="Desalinator"/>
    <s v="EQUIPMENT"/>
    <s v="D"/>
    <s v="B"/>
    <s v="Running Work List"/>
    <s v="Hydraulic Dredge"/>
    <s v="Desalinator"/>
    <s v="Potable Water*Desalinator"/>
    <x v="2"/>
    <x v="0"/>
  </r>
  <r>
    <x v="0"/>
    <s v="0105"/>
    <s v="Dredge Pump Engine (Stbd) 1000 HR PM"/>
    <s v="Dredge Pump Engine (Stbd) (EMD 645)"/>
    <s v="EQUIPMENT"/>
    <s v="B"/>
    <s v="D"/>
    <s v="Downtime Opportunity"/>
    <s v="Hydraulic Dredge"/>
    <s v="Dredge Pump Engine (Stbd) (EMD 645)"/>
    <s v="Pump, Dredge*Dredge Pump Engine (Stbd) (EMD 645)"/>
    <x v="3"/>
    <x v="0"/>
  </r>
  <r>
    <x v="0"/>
    <s v="0105"/>
    <s v="(D/P) Engine (Port) (EMD 645) 1000 HR PM"/>
    <s v="Dredge Pump Engine (Port) (EMD 645)"/>
    <s v="EQUIPMENT"/>
    <s v="B"/>
    <s v="D"/>
    <s v="Downtime Opportunity"/>
    <s v="Hydraulic Dredge"/>
    <s v="Dredge Pump Engine (Port) (EMD 645)"/>
    <s v="Pump, Dredge*Dredge Pump Engine (Port) (EMD 645)"/>
    <x v="3"/>
    <x v="0"/>
  </r>
  <r>
    <x v="0"/>
    <s v="0105"/>
    <s v="M/G Engine 1000 HR PM"/>
    <s v="Main Generator Engine (EMD 645)"/>
    <s v="EQUIPMENT"/>
    <s v="B"/>
    <s v="D"/>
    <s v="Downtime Opportunity"/>
    <s v="Hydraulic Dredge"/>
    <s v="Main Generator Engine (EMD 645)"/>
    <s v="Generators*Main Generator Set*Main Generator Engine (EMD 645)"/>
    <x v="4"/>
    <x v="0"/>
  </r>
  <r>
    <x v="0"/>
    <s v="0105"/>
    <s v="Dredge Pump Engine (Stbd) 4000 HR PM/Inspection"/>
    <s v="Dredge Pump Engine (Stbd) (EMD 645)"/>
    <s v="EQUIPMENT"/>
    <s v="B"/>
    <s v="D"/>
    <s v="Downtime Opportunity"/>
    <s v="Hydraulic Dredge"/>
    <s v="Dredge Pump Engine (Stbd) (EMD 645)"/>
    <s v="Pump, Dredge*Dredge Pump Engine (Stbd) (EMD 645)"/>
    <x v="3"/>
    <x v="0"/>
  </r>
  <r>
    <x v="0"/>
    <s v="0105"/>
    <s v="(D/P) Engine (Port) (EMD 645) 4000 HR PM/Inspection"/>
    <s v="Dredge Pump Engine (Port) (EMD 645)"/>
    <s v="EQUIPMENT"/>
    <s v="B"/>
    <s v="D"/>
    <s v="Downtime Opportunity"/>
    <s v="Hydraulic Dredge"/>
    <s v="Dredge Pump Engine (Port) (EMD 645)"/>
    <s v="Pump, Dredge*Dredge Pump Engine (Port) (EMD 645)"/>
    <x v="3"/>
    <x v="0"/>
  </r>
  <r>
    <x v="0"/>
    <s v="0105"/>
    <s v="M/G Engine 4000 HR PM/Inspection"/>
    <s v="Main Generator Engine (EMD 645)"/>
    <s v="EQUIPMENT"/>
    <s v="B"/>
    <s v="D"/>
    <s v="Downtime Opportunity"/>
    <s v="Hydraulic Dredge"/>
    <s v="Main Generator Engine (EMD 645)"/>
    <s v="Generators*Main Generator Set*Main Generator Engine (EMD 645)"/>
    <x v="4"/>
    <x v="0"/>
  </r>
  <r>
    <x v="0"/>
    <s v="0105"/>
    <s v="M/G Engine 8000 HR PM (Job # 2)"/>
    <s v="Main Generator Engine (EMD 645)"/>
    <s v="EQUIPMENT"/>
    <s v="B"/>
    <s v="D"/>
    <s v="Downtime Opportunity"/>
    <s v="Hydraulic Dredge"/>
    <s v="Main Generator Engine (EMD 645)"/>
    <s v="Generators*Main Generator Set*Main Generator Engine (EMD 645)"/>
    <x v="4"/>
    <x v="0"/>
  </r>
  <r>
    <x v="0"/>
    <s v="0105"/>
    <s v="(D/P) Engine (Port) (EMD 645) 8000 HR PM (Job # 2)"/>
    <s v="Dredge Pump Engine (Port) (EMD 645)"/>
    <s v="EQUIPMENT"/>
    <s v="B"/>
    <s v="D"/>
    <s v="Downtime Opportunity"/>
    <s v="Hydraulic Dredge"/>
    <s v="Dredge Pump Engine (Port) (EMD 645)"/>
    <s v="Pump, Dredge*Dredge Pump Engine (Port) (EMD 645)"/>
    <x v="3"/>
    <x v="0"/>
  </r>
  <r>
    <x v="0"/>
    <s v="0105"/>
    <s v="Dredge Pump Engine (Stbd) 8000 HR PM (Job # 2)"/>
    <s v="Dredge Pump Engine (Stbd) (EMD 645)"/>
    <s v="EQUIPMENT"/>
    <s v="B"/>
    <s v="D"/>
    <s v="Downtime Opportunity"/>
    <s v="Hydraulic Dredge"/>
    <s v="Dredge Pump Engine (Stbd) (EMD 645)"/>
    <s v="Pump, Dredge*Dredge Pump Engine (Stbd) (EMD 645)"/>
    <x v="3"/>
    <x v="0"/>
  </r>
  <r>
    <x v="0"/>
    <s v="0105"/>
    <s v="Dredge Pump Engine (Stbd) Inspection"/>
    <s v="Dredge Pump Engine (Stbd) (EMD 645)"/>
    <s v="EQUIPMENT"/>
    <s v="B"/>
    <s v="D"/>
    <s v="Downtime Opportunity"/>
    <s v="Hydraulic Dredge"/>
    <s v="Dredge Pump Engine (Stbd) (EMD 645)"/>
    <s v="Pump, Dredge*Dredge Pump Engine (Stbd) (EMD 645)"/>
    <x v="3"/>
    <x v="0"/>
  </r>
  <r>
    <x v="0"/>
    <s v="0105"/>
    <s v="(D/P) Engine (Port) (EMD 645) Inspection"/>
    <s v="Dredge Pump Engine (Port) (EMD 645)"/>
    <s v="EQUIPMENT"/>
    <s v="B"/>
    <s v="D"/>
    <s v="Downtime Opportunity"/>
    <s v="Hydraulic Dredge"/>
    <s v="Dredge Pump Engine (Port) (EMD 645)"/>
    <s v="Pump, Dredge*Dredge Pump Engine (Port) (EMD 645)"/>
    <x v="3"/>
    <x v="0"/>
  </r>
  <r>
    <x v="0"/>
    <s v="0105"/>
    <s v="M/G Engine Inspection"/>
    <s v="Main Generator Engine (EMD 645)"/>
    <s v="EQUIPMENT"/>
    <s v="B"/>
    <s v="D"/>
    <s v="Downtime Opportunity"/>
    <s v="Hydraulic Dredge"/>
    <s v="Main Generator Engine (EMD 645)"/>
    <s v="Generators*Main Generator Set*Main Generator Engine (EMD 645)"/>
    <x v="4"/>
    <x v="0"/>
  </r>
  <r>
    <x v="0"/>
    <s v="0105"/>
    <s v="Dredge Pump Engine (Stbd) 30000 HR PM (Overhaul)"/>
    <s v="Dredge Pump Engine (Stbd) (EMD 645)"/>
    <s v="EQUIPMENT"/>
    <s v="B"/>
    <s v="D"/>
    <s v="Idle/Inactive Period"/>
    <s v="Hydraulic Dredge"/>
    <s v="Dredge Pump Engine (Stbd) (EMD 645)"/>
    <s v="Pump, Dredge*Dredge Pump Engine (Stbd) (EMD 645)"/>
    <x v="3"/>
    <x v="0"/>
  </r>
  <r>
    <x v="0"/>
    <s v="0105"/>
    <s v="(D/P) Engine (Port) (EMD 645) 30000 HR PM (Overhaul)"/>
    <s v="Dredge Pump Engine (Port) (EMD 645)"/>
    <s v="EQUIPMENT"/>
    <s v="B"/>
    <s v="D"/>
    <s v="Idle/Inactive Period"/>
    <s v="Hydraulic Dredge"/>
    <s v="Dredge Pump Engine (Port) (EMD 645)"/>
    <s v="Pump, Dredge*Dredge Pump Engine (Port) (EMD 645)"/>
    <x v="3"/>
    <x v="0"/>
  </r>
  <r>
    <x v="0"/>
    <s v="0105"/>
    <s v="M/G Engine 30000 HR PM (Overhaul)"/>
    <s v="Main Generator Engine (EMD 645)"/>
    <s v="EQUIPMENT"/>
    <s v="B"/>
    <s v="D"/>
    <s v="Idle/Inactive Period"/>
    <s v="Hydraulic Dredge"/>
    <s v="Main Generator Engine (EMD 645)"/>
    <s v="Generators*Main Generator Set*Main Generator Engine (EMD 645)"/>
    <x v="4"/>
    <x v="0"/>
  </r>
  <r>
    <x v="0"/>
    <s v="0105"/>
    <s v="Ladder Hoist Winch Brake Inspection/Adjust"/>
    <s v="Ladder Hoist Winch"/>
    <s v="EQUIPMENT"/>
    <s v="B"/>
    <s v="D"/>
    <s v="Downtime Opportunity"/>
    <s v="Hydraulic Dredge"/>
    <s v="Ladder Hoist Winch"/>
    <s v="Ladder System*Ladder Hoist Winch"/>
    <x v="5"/>
    <x v="0"/>
  </r>
  <r>
    <x v="0"/>
    <s v="0105"/>
    <s v="Clutch (Stbd) (35CM500) Monthly Inspection"/>
    <s v="Clutch (Stbd) (35CM500)"/>
    <s v="EQUIPMENT"/>
    <s v="B"/>
    <s v="D"/>
    <s v="Downtime Opportunity"/>
    <s v="Hydraulic Dredge"/>
    <s v="Clutch (Stbd) (35CM500)"/>
    <s v="Pump, Dredge*Dredge Pump Gearbox*Clutch (Stbd) (35CM500)"/>
    <x v="3"/>
    <x v="0"/>
  </r>
  <r>
    <x v="0"/>
    <s v="0105"/>
    <s v="Clutch (Port) (35CM500) Monthly Inspection"/>
    <s v="Clutch (Port) (35CM500)"/>
    <s v="EQUIPMENT"/>
    <s v="B"/>
    <s v="D"/>
    <s v="Downtime Opportunity"/>
    <s v="Hydraulic Dredge"/>
    <s v="Clutch (Port) (35CM500)"/>
    <s v="Pump, Dredge*Dredge Pump Gearbox*Clutch (Port) (35CM500)"/>
    <x v="3"/>
    <x v="0"/>
  </r>
  <r>
    <x v="0"/>
    <s v="0105"/>
    <s v="Clutch (Stbd) (35CM500) Annual Inspection"/>
    <s v="Clutch (Stbd) (35CM500)"/>
    <s v="EQUIPMENT"/>
    <s v="B"/>
    <s v="D"/>
    <s v="Downtime Opportunity"/>
    <s v="Hydraulic Dredge"/>
    <s v="Clutch (Stbd) (35CM500)"/>
    <s v="Pump, Dredge*Dredge Pump Gearbox*Clutch (Stbd) (35CM500)"/>
    <x v="3"/>
    <x v="0"/>
  </r>
  <r>
    <x v="0"/>
    <s v="0105"/>
    <s v="Clutch (Port) (35CM500) Annual Inspection"/>
    <s v="Clutch (Port) (35CM500)"/>
    <s v="EQUIPMENT"/>
    <s v="B"/>
    <s v="D"/>
    <s v="Downtime Opportunity"/>
    <s v="Hydraulic Dredge"/>
    <s v="Clutch (Port) (35CM500)"/>
    <s v="Pump, Dredge*Dredge Pump Gearbox*Clutch (Port) (35CM500)"/>
    <x v="3"/>
    <x v="0"/>
  </r>
  <r>
    <x v="0"/>
    <s v="0105"/>
    <s v="Thrust Bearing (LG-25) Quarterly PM/Inspection"/>
    <s v="Thrust Bearing (LG-25)"/>
    <s v="EQUIPMENT"/>
    <s v="B"/>
    <s v="D"/>
    <s v="Downtime Opportunity"/>
    <s v="Hydraulic Dredge"/>
    <s v="Thrust Bearing (LG-25)"/>
    <s v="Pump, Dredge*Shafting*Thrust Bearing (LG-25)"/>
    <x v="3"/>
    <x v="0"/>
  </r>
  <r>
    <x v="0"/>
    <s v="0105"/>
    <s v="Cutter Gearbox Monthly Inspection"/>
    <s v="Cutter Gearbox"/>
    <s v="EQUIPMENT"/>
    <s v="B"/>
    <s v="D"/>
    <s v="Downtime Opportunity"/>
    <s v="Hydraulic Dredge"/>
    <s v="Cutter Gearbox"/>
    <s v="Cutter Machinery*Cutter Gearbox"/>
    <x v="6"/>
    <x v="0"/>
  </r>
  <r>
    <x v="0"/>
    <s v="0105"/>
    <s v="Cutter Gearbox Annual Inspection"/>
    <s v="Cutter Gearbox"/>
    <s v="EQUIPMENT"/>
    <s v="B"/>
    <s v="D"/>
    <s v="Downtime Opportunity"/>
    <s v="Hydraulic Dredge"/>
    <s v="Cutter Gearbox"/>
    <s v="Cutter Machinery*Cutter Gearbox"/>
    <x v="6"/>
    <x v="0"/>
  </r>
  <r>
    <x v="0"/>
    <s v="0105"/>
    <s v="Spring Bearing (L-27) 1000 HR PM"/>
    <s v="Spring Bearing (L-27)"/>
    <s v="EQUIPMENT"/>
    <s v="B"/>
    <s v="D"/>
    <s v="Downtime Opportunity"/>
    <s v="Hydraulic Dredge"/>
    <s v="Spring Bearing (L-27)"/>
    <s v="Pump, Dredge*Shafting*Spring Bearing (L-27)"/>
    <x v="3"/>
    <x v="0"/>
  </r>
  <r>
    <x v="0"/>
    <s v="0105"/>
    <s v="Spring Bearing (L-27) 4000 HR PM/Inspection"/>
    <s v="Spring Bearing (L-27)"/>
    <s v="EQUIPMENT"/>
    <s v="B"/>
    <s v="D"/>
    <s v="Downtime Opportunity"/>
    <s v="Hydraulic Dredge"/>
    <s v="Spring Bearing (L-27)"/>
    <s v="Pump, Dredge*Shafting*Spring Bearing (L-27)"/>
    <x v="3"/>
    <x v="0"/>
  </r>
  <r>
    <x v="0"/>
    <s v="0105"/>
    <s v="Spring Bearing (L-27) 8000 HR PM (Job # 2)"/>
    <s v="Spring Bearing (L-27)"/>
    <s v="EQUIPMENT"/>
    <s v="B"/>
    <s v="D"/>
    <s v="Downtime Opportunity"/>
    <s v="Hydraulic Dredge"/>
    <s v="Spring Bearing (L-27)"/>
    <s v="Pump, Dredge*Shafting*Spring Bearing (L-27)"/>
    <x v="3"/>
    <x v="0"/>
  </r>
  <r>
    <x v="0"/>
    <s v="0105"/>
    <s v="P&amp;H Overhead Crane Monthly PM/Inspection"/>
    <s v="P&amp;H Overhead Crane"/>
    <s v="EQUIPMENT"/>
    <s v="D"/>
    <s v="A"/>
    <s v="Running Work List"/>
    <s v="Hydraulic Dredge"/>
    <s v="P&amp;H Overhead Crane"/>
    <s v="Crane/Hoists*P&amp;H Overhead Crane"/>
    <x v="7"/>
    <x v="0"/>
  </r>
  <r>
    <x v="0"/>
    <s v="0105"/>
    <s v="Dredge Pump Engine (Stbd) Oil Filter Change"/>
    <s v="Dredge Pump Engine (Stbd) (EMD 645)"/>
    <s v="EQUIPMENT"/>
    <s v="B"/>
    <s v="D"/>
    <s v="Downtime Opportunity"/>
    <s v="Hydraulic Dredge"/>
    <s v="Dredge Pump Engine (Stbd) (EMD 645)"/>
    <s v="Pump, Dredge*Dredge Pump Engine (Stbd) (EMD 645)"/>
    <x v="3"/>
    <x v="0"/>
  </r>
  <r>
    <x v="0"/>
    <s v="0105"/>
    <s v="(D/P) Engine (Port) (EMD 645) Oil Filter Change"/>
    <s v="Dredge Pump Engine (Port) (EMD 645)"/>
    <s v="EQUIPMENT"/>
    <s v="B"/>
    <s v="D"/>
    <s v="Downtime Opportunity"/>
    <s v="Hydraulic Dredge"/>
    <s v="Dredge Pump Engine (Port) (EMD 645)"/>
    <s v="Pump, Dredge*Dredge Pump Engine (Port) (EMD 645)"/>
    <x v="3"/>
    <x v="0"/>
  </r>
  <r>
    <x v="0"/>
    <s v="0105"/>
    <s v="M/G Engine Oil Filter Change"/>
    <s v="Main Generator Engine (EMD 645)"/>
    <s v="EQUIPMENT"/>
    <s v="B"/>
    <s v="D"/>
    <s v="Downtime Opportunity"/>
    <s v="Hydraulic Dredge"/>
    <s v="Main Generator Engine (EMD 645)"/>
    <s v="Generators*Main Generator Set*Main Generator Engine (EMD 645)"/>
    <x v="4"/>
    <x v="0"/>
  </r>
  <r>
    <x v="0"/>
    <s v="0105"/>
    <s v="Dredge Pump Engine (Stbd) 8000 HR PM (Job # 1)"/>
    <s v="Dredge Pump Engine (Stbd) (EMD 645)"/>
    <s v="EQUIPMENT"/>
    <s v="B"/>
    <s v="D"/>
    <s v="Downtime Opportunity"/>
    <s v="Hydraulic Dredge"/>
    <s v="Dredge Pump Engine (Stbd) (EMD 645)"/>
    <s v="Pump, Dredge*Dredge Pump Engine (Stbd) (EMD 645)"/>
    <x v="3"/>
    <x v="0"/>
  </r>
  <r>
    <x v="0"/>
    <s v="0105"/>
    <s v="(D/P) Engine (Port) (EMD 645) 8000 HR PM (Job # 1)"/>
    <s v="Dredge Pump Engine (Port) (EMD 645)"/>
    <s v="EQUIPMENT"/>
    <s v="B"/>
    <s v="D"/>
    <s v="Downtime Opportunity"/>
    <s v="Hydraulic Dredge"/>
    <s v="Dredge Pump Engine (Port) (EMD 645)"/>
    <s v="Pump, Dredge*Dredge Pump Engine (Port) (EMD 645)"/>
    <x v="3"/>
    <x v="0"/>
  </r>
  <r>
    <x v="0"/>
    <s v="0105"/>
    <s v="M/G Engine 8000 HR PM (Job # 1)"/>
    <s v="Main Generator Engine (EMD 645)"/>
    <s v="EQUIPMENT"/>
    <s v="B"/>
    <s v="D"/>
    <s v="Downtime Opportunity"/>
    <s v="Hydraulic Dredge"/>
    <s v="Main Generator Engine (EMD 645)"/>
    <s v="Generators*Main Generator Set*Main Generator Engine (EMD 645)"/>
    <x v="4"/>
    <x v="0"/>
  </r>
  <r>
    <x v="0"/>
    <s v="0105"/>
    <s v="Multi-Pak 2 CYL Air Cart Monthly Inspection"/>
    <s v="Multi-Pak 2 CYL Air Cart"/>
    <s v="EQUIPMENT"/>
    <s v="A"/>
    <s v="D"/>
    <s v="Regulatory Requirement"/>
    <s v="Hydraulic Dredge"/>
    <s v="Multi-Pak 2 CYL Air Cart"/>
    <s v="Safety Lifesaving*Multi-Pak 2 CYL Air Cart"/>
    <x v="1"/>
    <x v="0"/>
  </r>
  <r>
    <x v="0"/>
    <s v="0105"/>
    <s v="Multi-Pak 2 CYL Air Cart Annual Inspection"/>
    <s v="Multi-Pak 2 CYL Air Cart"/>
    <s v="EQUIPMENT"/>
    <s v="A"/>
    <s v="D"/>
    <s v="Regulatory Requirement"/>
    <s v="Hydraulic Dredge"/>
    <s v="Multi-Pak 2 CYL Air Cart"/>
    <s v="Safety Lifesaving*Multi-Pak 2 CYL Air Cart"/>
    <x v="1"/>
    <x v="0"/>
  </r>
  <r>
    <x v="0"/>
    <s v="0105"/>
    <s v="Multi-Pak 2 CYL Air Cart 4-Year Inspection"/>
    <s v="Multi-Pak 2 CYL Air Cart"/>
    <s v="EQUIPMENT"/>
    <s v="A"/>
    <s v="D"/>
    <s v="Regulatory Requirement"/>
    <s v="Hydraulic Dredge"/>
    <s v="Multi-Pak 2 CYL Air Cart"/>
    <s v="Safety Lifesaving*Multi-Pak 2 CYL Air Cart"/>
    <x v="1"/>
    <x v="0"/>
  </r>
  <r>
    <x v="0"/>
    <s v="0105"/>
    <s v="Auxiliary Generator Engine (CAT C9) 250 HR PM"/>
    <s v="Auxiliary Generator Engine (CAT C9)"/>
    <s v="EQUIPMENT"/>
    <s v="A"/>
    <s v="D"/>
    <s v="Running Work List"/>
    <s v="Hydraulic Dredge"/>
    <s v="Auxiliary Generator Engine (CAT C9)"/>
    <s v="Generators*Auxiliary Genset*Auxiliary Generator Engine (CAT C9)"/>
    <x v="4"/>
    <x v="0"/>
  </r>
  <r>
    <x v="0"/>
    <s v="0105"/>
    <s v="Gland Seal Pump Set ( LTX #2) Quarterly PM/Inspection"/>
    <s v="Gland Seal Pump Set ( LTX #2)"/>
    <s v="EQUIPMENT"/>
    <s v="C"/>
    <s v="D"/>
    <s v="Running Work List"/>
    <s v="Hydraulic Dredge"/>
    <s v="Gland Seal Pump Set ( LTX #2)"/>
    <s v="Gland Seal*Gland Seal Pump Set ( LTX #2)"/>
    <x v="8"/>
    <x v="0"/>
  </r>
  <r>
    <x v="0"/>
    <s v="0105"/>
    <s v="Gland Seal Pump Set ( LTX #1) Quarterly PM/Inspection"/>
    <s v="Gland Seal Pump Set ( LTX #1)"/>
    <s v="EQUIPMENT"/>
    <s v="C"/>
    <s v="D"/>
    <s v="Running Work List"/>
    <s v="Hydraulic Dredge"/>
    <s v="Gland Seal Pump Set ( LTX #1)"/>
    <s v="Gland Seal*Gland Seal Pump Set ( LTX #1)"/>
    <x v="8"/>
    <x v="0"/>
  </r>
  <r>
    <x v="0"/>
    <s v="0105"/>
    <s v="Tailshaft Removal"/>
    <s v="Tailshaft"/>
    <s v="EQUIPMENT"/>
    <s v="B"/>
    <s v="D"/>
    <s v="Downtime Opportunity"/>
    <s v="Hydraulic Dredge"/>
    <s v="Tailshaft"/>
    <s v="Cutter Machinery*Tailshaft"/>
    <x v="6"/>
    <x v="0"/>
  </r>
  <r>
    <x v="0"/>
    <s v="0105"/>
    <s v="Tailshaft Installation"/>
    <s v="Tailshaft"/>
    <s v="EQUIPMENT"/>
    <s v="B"/>
    <s v="D"/>
    <s v="Idle/Inactive Period"/>
    <s v="Hydraulic Dredge"/>
    <s v="Tailshaft"/>
    <s v="Cutter Machinery*Tailshaft"/>
    <x v="6"/>
    <x v="0"/>
  </r>
  <r>
    <x v="0"/>
    <s v="0105"/>
    <s v="Cutlass Bearing Staves Renewal"/>
    <s v="Cutlass Bearing"/>
    <s v="EQUIPMENT"/>
    <s v="B"/>
    <s v="D"/>
    <s v="Downtime Opportunity"/>
    <s v="Hydraulic Dredge"/>
    <s v="Cutlass Bearing"/>
    <s v="Cutter Machinery*Tailshaft*Cutlass Bearing"/>
    <x v="6"/>
    <x v="0"/>
  </r>
  <r>
    <x v="0"/>
    <s v="0105"/>
    <s v="Tailshaft Rebuild"/>
    <s v="Tailshaft"/>
    <s v="EQUIPMENT"/>
    <s v="B"/>
    <s v="D"/>
    <s v="Spares Rebuild"/>
    <s v="Hydraulic Dredge"/>
    <s v="Tailshaft"/>
    <s v="Cutter Machinery*Tailshaft"/>
    <x v="6"/>
    <x v="0"/>
  </r>
  <r>
    <x v="0"/>
    <s v="0105"/>
    <s v="Transformer Breaker (2400-480 Volt) Annual Inspection"/>
    <s v="Transformer Breaker (2400-480 Volt)"/>
    <s v="EQUIPMENT"/>
    <s v="C"/>
    <s v="D"/>
    <s v="Downtime Opportunity"/>
    <s v="Hydraulic Dredge"/>
    <s v="Transformer Breaker (2400-480 Volt)"/>
    <s v="Electrical*MCC (A)*Transformer Breaker (2400-480 Volt)"/>
    <x v="9"/>
    <x v="0"/>
  </r>
  <r>
    <x v="0"/>
    <s v="0105"/>
    <s v="Main Breaker (2400 Volt) Annual Inspection"/>
    <s v="Main Breaker (2400 Volt)"/>
    <s v="EQUIPMENT"/>
    <s v="C"/>
    <s v="D"/>
    <s v="Downtime Opportunity"/>
    <s v="Hydraulic Dredge"/>
    <s v="Main Breaker (2400 Volt)"/>
    <s v="Electrical*MCC (A)*Main Breaker (2400 Volt)"/>
    <x v="9"/>
    <x v="0"/>
  </r>
  <r>
    <x v="0"/>
    <s v="0105"/>
    <s v="Dredge Pump Pressure/Flow Test"/>
    <s v="Dredge Pump"/>
    <s v="EQUIPMENT"/>
    <s v="B"/>
    <s v="D"/>
    <s v="Draft"/>
    <s v="Hydraulic Dredge"/>
    <s v="Dredge Pump"/>
    <s v="Pump, Dredge*Dredge Pump"/>
    <x v="3"/>
    <x v="0"/>
  </r>
  <r>
    <x v="0"/>
    <s v="0105"/>
    <s v="Ladder Hoist Winch Spring Check"/>
    <s v="Ladder Hoist Winch"/>
    <s v="EQUIPMENT"/>
    <s v="B"/>
    <s v="D"/>
    <s v="Downtime Opportunity"/>
    <s v="Hydraulic Dredge"/>
    <s v="Ladder Hoist Winch"/>
    <s v="Ladder System*Ladder Hoist Winch"/>
    <x v="5"/>
    <x v="0"/>
  </r>
  <r>
    <x v="0"/>
    <s v="0105"/>
    <s v="Main Generator Installation and Alignment"/>
    <s v="Main Generator"/>
    <s v="EQUIPMENT"/>
    <s v="B"/>
    <s v="D"/>
    <s v="Downtime Opportunity"/>
    <s v="Hydraulic Dredge"/>
    <s v="Main Generator"/>
    <s v="Generators*Main Generator Set*Main Generator"/>
    <x v="4"/>
    <x v="0"/>
  </r>
  <r>
    <x v="0"/>
    <s v="0105"/>
    <s v="Main Generator Alignment"/>
    <s v="Main Generator"/>
    <s v="EQUIPMENT"/>
    <s v="B"/>
    <s v="D"/>
    <s v="Idle/Inactive Period"/>
    <s v="Hydraulic Dredge"/>
    <s v="Main Generator"/>
    <s v="Generators*Main Generator Set*Main Generator"/>
    <x v="4"/>
    <x v="0"/>
  </r>
  <r>
    <x v="0"/>
    <s v="0105"/>
    <s v="Main Generator 60000 HR (Overhaul)"/>
    <s v="Main Generator"/>
    <s v="EQUIPMENT"/>
    <s v="B"/>
    <s v="D"/>
    <s v="Spares Rebuild"/>
    <s v="Hydraulic Dredge"/>
    <s v="Main Generator"/>
    <s v="Generators*Main Generator Set*Main Generator"/>
    <x v="4"/>
    <x v="0"/>
  </r>
  <r>
    <x v="0"/>
    <s v="0105"/>
    <s v="Air Compressor Set (Starting Air # 2) Semi-Annual PM/Inspection"/>
    <s v="Air Compressor Set (Starting Air # 2)"/>
    <s v="EQUIPMENT"/>
    <s v="C"/>
    <s v="D"/>
    <s v="Running Work List"/>
    <s v="Hydraulic Dredge"/>
    <s v="Air Compressor Set (Starting Air # 2)"/>
    <s v="Compressed Air*Air Compressor Set (Starting Air # 2)"/>
    <x v="10"/>
    <x v="0"/>
  </r>
  <r>
    <x v="0"/>
    <s v="0105"/>
    <s v="Air Compressor Set (Starting Air # 1) Semi-Annual PM/Inspection"/>
    <s v="Air Compressor Set (Starting Air # 1)"/>
    <s v="EQUIPMENT"/>
    <s v="C"/>
    <s v="D"/>
    <s v="Running Work List"/>
    <s v="Hydraulic Dredge"/>
    <s v="Air Compressor Set (Starting Air # 1)"/>
    <s v="Compressed Air*Air Compressor Set (Starting Air # 1)"/>
    <x v="10"/>
    <x v="0"/>
  </r>
  <r>
    <x v="0"/>
    <s v="0105"/>
    <s v="Air Compressor Set (Low Air #2) Semi-Annual PM/Inspection"/>
    <s v="Air Compressor Set (Low Air #2)"/>
    <s v="EQUIPMENT"/>
    <s v="C"/>
    <s v="D"/>
    <s v="Running Work List"/>
    <s v="Hydraulic Dredge"/>
    <s v="Air Compressor Set (Low Air #2)"/>
    <s v="Compressed Air*Air Compressor Set (Low Air #2)"/>
    <x v="10"/>
    <x v="0"/>
  </r>
  <r>
    <x v="0"/>
    <s v="0105"/>
    <s v="Air Compressor Set (Low Air #1) Semi-Annual PM/Inspection"/>
    <s v="Air Compressor Set (Low Air #1)"/>
    <s v="EQUIPMENT"/>
    <s v="C"/>
    <s v="D"/>
    <s v="Running Work List"/>
    <s v="Hydraulic Dredge"/>
    <s v="Air Compressor Set (Low Air #1)"/>
    <s v="Compressed Air*Air Compressor Set (Low Air #1)"/>
    <x v="10"/>
    <x v="0"/>
  </r>
  <r>
    <x v="0"/>
    <s v="0105"/>
    <s v="Anchor Windlass Semi-Annual PM/Inspection"/>
    <s v="Anchor Windlass"/>
    <s v="EQUIPMENT"/>
    <s v="C"/>
    <s v="D"/>
    <s v="Running Work List"/>
    <s v="Hydraulic Dredge"/>
    <s v="Anchor Windlass"/>
    <s v="Crane/Hoists*Anchor Windlass"/>
    <x v="7"/>
    <x v="0"/>
  </r>
  <r>
    <x v="0"/>
    <s v="0105"/>
    <s v="Air Tugger (Stern) Semi-Annual PM/Inspection"/>
    <s v="Air Tugger (Stern)"/>
    <s v="EQUIPMENT"/>
    <s v="D"/>
    <s v="D"/>
    <s v="Running Work List"/>
    <s v="Hydraulic Dredge"/>
    <s v="Air Tugger (Stern)"/>
    <s v="Crane/Hoists*Air Tugger (Stern)"/>
    <x v="7"/>
    <x v="0"/>
  </r>
  <r>
    <x v="0"/>
    <s v="0105"/>
    <s v="Wright 5 Ton Hand Operated Crane Annual PM/Inspection"/>
    <s v="American 5 Ton Operated Crane"/>
    <s v="EQUIPMENT"/>
    <s v="D"/>
    <s v="D"/>
    <s v="Regulatory Requirement"/>
    <s v="Hydraulic Dredge"/>
    <s v="American 5 Ton Operated Crane"/>
    <s v="Crane/Hoists*American 5 Ton Operated Crane"/>
    <x v="7"/>
    <x v="0"/>
  </r>
  <r>
    <x v="0"/>
    <s v="0105"/>
    <s v="Winch, Universal Coupling Wire Change"/>
    <s v="Winch, Universal Coupling"/>
    <s v="EQUIPMENT"/>
    <s v="C"/>
    <s v="D"/>
    <s v="Running Work List"/>
    <s v="Hydraulic Dredge"/>
    <s v="Winch, Universal Coupling"/>
    <s v="Crane/Hoists*Winch, Universal Coupling"/>
    <x v="7"/>
    <x v="0"/>
  </r>
  <r>
    <x v="0"/>
    <s v="0105"/>
    <s v="Pedestal Crane Wire Change"/>
    <s v="Pedestal Crane"/>
    <s v="EQUIPMENT"/>
    <s v="D"/>
    <s v="D"/>
    <s v="Running Work List"/>
    <s v="Hydraulic Dredge"/>
    <s v="Pedestal Crane"/>
    <s v="Crane/Hoists*Pedestal Crane"/>
    <x v="7"/>
    <x v="0"/>
  </r>
  <r>
    <x v="0"/>
    <s v="0105"/>
    <s v="Pedestal Crane Annual Inspection"/>
    <s v="Pedestal Crane"/>
    <s v="EQUIPMENT"/>
    <s v="D"/>
    <s v="D"/>
    <s v="Regulatory Requirement"/>
    <s v="Hydraulic Dredge"/>
    <s v="Pedestal Crane"/>
    <s v="Crane/Hoists*Pedestal Crane"/>
    <x v="7"/>
    <x v="0"/>
  </r>
  <r>
    <x v="0"/>
    <s v="0105"/>
    <s v="P&amp;H Overhead Crane Annual Inspection"/>
    <s v="P&amp;H Overhead Crane"/>
    <s v="EQUIPMENT"/>
    <s v="D"/>
    <s v="D"/>
    <s v="Downtime Opportunity"/>
    <s v="Hydraulic Dredge"/>
    <s v="P&amp;H Overhead Crane"/>
    <s v="Crane/Hoists*P&amp;H Overhead Crane"/>
    <x v="7"/>
    <x v="0"/>
  </r>
  <r>
    <x v="0"/>
    <s v="0105"/>
    <s v="Overhead Hoist, Ingersol-Rand Annual Inspection"/>
    <s v="Overhead Hoist, Ingersol-Rand"/>
    <s v="EQUIPMENT"/>
    <s v="D"/>
    <s v="D"/>
    <s v="Regulatory Requirement"/>
    <s v="Hydraulic Dredge"/>
    <s v="Overhead Hoist, Ingersol-Rand"/>
    <s v="Crane/Hoists*Overhead Hoist, Ingersol-Rand"/>
    <x v="7"/>
    <x v="0"/>
  </r>
  <r>
    <x v="0"/>
    <s v="0105"/>
    <s v="Winch, Universal Coupling Semi-Annual PM/Inspection"/>
    <s v="Winch, Universal Coupling"/>
    <s v="EQUIPMENT"/>
    <s v="C"/>
    <s v="D"/>
    <s v="Running Work List"/>
    <s v="Hydraulic Dredge"/>
    <s v="Winch, Universal Coupling"/>
    <s v="Crane/Hoists*Winch, Universal Coupling"/>
    <x v="7"/>
    <x v="0"/>
  </r>
  <r>
    <x v="0"/>
    <s v="0105"/>
    <s v="Cutter Gearbox Overhaul"/>
    <s v="Cutter Gearbox"/>
    <s v="EQUIPMENT"/>
    <s v="B"/>
    <s v="D"/>
    <s v="To Be Captured"/>
    <s v="Hydraulic Dredge"/>
    <s v="Cutter Gearbox"/>
    <s v="Cutter Machinery*Cutter Gearbox"/>
    <x v="6"/>
    <x v="1"/>
  </r>
  <r>
    <x v="0"/>
    <s v="0105"/>
    <s v="Radial Bearing Annual PM/Inspection"/>
    <s v="Radial Bearing"/>
    <s v="EQUIPMENT"/>
    <s v="B"/>
    <s v="D"/>
    <s v="Downtime Opportunity"/>
    <s v="Hydraulic Dredge"/>
    <s v="Radial Bearing"/>
    <s v="Cutter Machinery*Tailshaft*Radial Bearing"/>
    <x v="6"/>
    <x v="0"/>
  </r>
  <r>
    <x v="0"/>
    <s v="0105"/>
    <s v="Alarms/Back-Up Batteries Monthly Inspect/Test"/>
    <s v="Alarms/Back-Up Batteries"/>
    <s v="EQUIPMENT"/>
    <s v="C"/>
    <s v="D"/>
    <s v="Running Work List"/>
    <s v="Hydraulic Dredge"/>
    <s v="Alarms/Back-Up Batteries"/>
    <s v="Electrical*Alarms/Back-Up Batteries"/>
    <x v="9"/>
    <x v="0"/>
  </r>
  <r>
    <x v="0"/>
    <s v="0105"/>
    <s v="Alarms/Back-Up Batteries Battery Replacement"/>
    <s v="Alarms/Back-Up Batteries"/>
    <s v="EQUIPMENT"/>
    <s v="C"/>
    <s v="D"/>
    <s v="Running Work List"/>
    <s v="Hydraulic Dredge"/>
    <s v="Alarms/Back-Up Batteries"/>
    <s v="Electrical*Alarms/Back-Up Batteries"/>
    <x v="9"/>
    <x v="0"/>
  </r>
  <r>
    <x v="0"/>
    <s v="0105"/>
    <s v="PLC (Allen Bradley) Semi-Annual Inspect/Test"/>
    <s v="PLC (Allen Bradley)"/>
    <s v="EQUIPMENT"/>
    <s v="C"/>
    <s v="D"/>
    <s v="Draft"/>
    <s v="Hydraulic Dredge"/>
    <s v="PLC (Allen Bradley)"/>
    <s v="Electrical*Automation*PLC (Allen Bradley)"/>
    <x v="9"/>
    <x v="0"/>
  </r>
  <r>
    <x v="0"/>
    <s v="0105"/>
    <s v="Ladder Pump Shut Down System m-Ladder pump drive soft start Semi-Annual Inspect/Test"/>
    <s v="Ladder Pump Shut Down System"/>
    <s v="EQUIPMENT"/>
    <s v="B"/>
    <s v="D"/>
    <s v="Downtime Opportunity"/>
    <s v="Hydraulic Dredge"/>
    <s v="Ladder Pump Shut Down System"/>
    <s v="Pump, Ladder*SOFT START (UWP MOTOR) (NEW)*Ladder Pump Shut Down System"/>
    <x v="11"/>
    <x v="0"/>
  </r>
  <r>
    <x v="0"/>
    <s v="0105"/>
    <s v="Automation Semi-Annual Inspect/Test"/>
    <s v="Automation"/>
    <s v="EQUIPMENT"/>
    <s v="D"/>
    <s v="D"/>
    <s v="To Be Written"/>
    <s v="Hydraulic Dredge"/>
    <s v="Automation"/>
    <s v="Electrical*Automation"/>
    <x v="9"/>
    <x v="1"/>
  </r>
  <r>
    <x v="0"/>
    <s v="0105"/>
    <s v="Fuel Oil Transfer Pump Set (#2) Annual PM/Inspection"/>
    <s v="Fuel Oil Transfer Pump Set (#2)"/>
    <s v="EQUIPMENT"/>
    <s v="D"/>
    <s v="D"/>
    <s v="Running Work List"/>
    <s v="Hydraulic Dredge"/>
    <s v="Fuel Oil Transfer Pump Set (#2)"/>
    <s v="Fuel Oil Transfer*Fuel Oil Transfer Pump Set (#2)"/>
    <x v="12"/>
    <x v="0"/>
  </r>
  <r>
    <x v="0"/>
    <s v="0105"/>
    <s v="Fuel Oil Transfer Pump Set (#1) Annual PM/Inspection"/>
    <s v="Fuel Oil Transfer Pump Set (#1)"/>
    <s v="EQUIPMENT"/>
    <s v="D"/>
    <s v="D"/>
    <s v="Running Work List"/>
    <s v="Hydraulic Dredge"/>
    <s v="Fuel Oil Transfer Pump Set (#1)"/>
    <s v="Fuel Oil Transfer*Fuel Oil Transfer Pump Set (#1)"/>
    <x v="12"/>
    <x v="0"/>
  </r>
  <r>
    <x v="0"/>
    <s v="0105"/>
    <s v="A/C Unit (Galley) Semi-Annual PM/Inspection"/>
    <s v="A/C Unit (Galley)"/>
    <s v="EQUIPMENT"/>
    <s v="D"/>
    <s v="D"/>
    <s v="Running Work List"/>
    <s v="Hydraulic Dredge"/>
    <s v="A/C Unit (Galley)"/>
    <s v="HVAC*A/C Unit (Galley)"/>
    <x v="13"/>
    <x v="0"/>
  </r>
  <r>
    <x v="0"/>
    <s v="0105"/>
    <s v="A/C Unit (E/R Control) Semi-Annual PM/Inspection"/>
    <s v="A/C Unit (E/R Control)"/>
    <s v="EQUIPMENT"/>
    <s v="D"/>
    <s v="D"/>
    <s v="Downtime Opportunity"/>
    <s v="Hydraulic Dredge"/>
    <s v="A/C Unit (E/R Control)"/>
    <s v="HVAC*A/C Unit (E/R Control)"/>
    <x v="13"/>
    <x v="0"/>
  </r>
  <r>
    <x v="0"/>
    <s v="0105"/>
    <s v="A/C Unit (480 Volt MCC) Semi-Annual PM/Inspection"/>
    <s v="A/C Unit (480 Volt MCC)"/>
    <s v="EQUIPMENT"/>
    <s v="D"/>
    <s v="D"/>
    <s v="Running Work List"/>
    <s v="Hydraulic Dredge"/>
    <s v="A/C Unit (480 Volt MCC)"/>
    <s v="HVAC*A/C Unit (480 Volt MCC)"/>
    <x v="13"/>
    <x v="0"/>
  </r>
  <r>
    <x v="0"/>
    <s v="0105"/>
    <s v="A/C Unit (2400 Volt MCC) Semi-Annual PM/Inspection"/>
    <s v="A/C Unit (2400 Volt MCC)"/>
    <s v="EQUIPMENT"/>
    <s v="D"/>
    <s v="D"/>
    <s v="Running Work List"/>
    <s v="Hydraulic Dredge"/>
    <s v="A/C Unit (2400 Volt MCC)"/>
    <s v="HVAC*A/C Unit (2400 Volt MCC)"/>
    <x v="13"/>
    <x v="0"/>
  </r>
  <r>
    <x v="0"/>
    <s v="0105"/>
    <s v="HPU (Stern Connection) Annual Hose Inspection"/>
    <s v="HPU (Stern Connection)"/>
    <s v="EQUIPMENT"/>
    <s v="D"/>
    <s v="D"/>
    <s v="Downtime Opportunity"/>
    <s v="Hydraulic Dredge"/>
    <s v="HPU (Stern Connection)"/>
    <s v="Hydraulic Systems*HPU (Stern Connection)"/>
    <x v="14"/>
    <x v="0"/>
  </r>
  <r>
    <x v="0"/>
    <s v="0105"/>
    <s v="HPU (Anchor Winch) Annual Hose Inspection"/>
    <s v="HPU (Anchor Winch)"/>
    <s v="EQUIPMENT"/>
    <s v="D"/>
    <s v="D"/>
    <s v="Downtime Opportunity"/>
    <s v="Hydraulic Dredge"/>
    <s v="HPU (Anchor Winch)"/>
    <s v="Hydraulic Systems*HPU (Anchor Winch)"/>
    <x v="14"/>
    <x v="0"/>
  </r>
  <r>
    <x v="0"/>
    <s v="0105"/>
    <s v="Cutter Service Platform Annual Inspection"/>
    <s v="Cutter Service Platform"/>
    <s v="EQUIPMENT"/>
    <s v="D"/>
    <s v="D"/>
    <s v="Running Work List"/>
    <s v="Hydraulic Dredge"/>
    <s v="Cutter Service Platform"/>
    <s v="Ladder System*Cutter Service Platform"/>
    <x v="5"/>
    <x v="0"/>
  </r>
  <r>
    <x v="0"/>
    <s v="0105"/>
    <s v="Jacking Gear Annual Test &amp; Inspection"/>
    <s v="Jacking Gear"/>
    <s v="EQUIPMENT"/>
    <s v="C"/>
    <s v="D"/>
    <s v="Downtime Opportunity"/>
    <s v="Hydraulic Dredge"/>
    <s v="Jacking Gear"/>
    <s v="Ladder System*Ladder Hoist Winch*Jacking Gear"/>
    <x v="5"/>
    <x v="0"/>
  </r>
  <r>
    <x v="0"/>
    <s v="0105"/>
    <s v="Reduction Gear Annual Inspection"/>
    <s v="Reduction Gear"/>
    <s v="EQUIPMENT"/>
    <s v="B"/>
    <s v="D"/>
    <s v="Downtime Opportunity"/>
    <s v="Hydraulic Dredge"/>
    <s v="Reduction Gear"/>
    <s v="Ladder System*Ladder Hoist Winch*Reduction Gear"/>
    <x v="5"/>
    <x v="0"/>
  </r>
  <r>
    <x v="0"/>
    <s v="0105"/>
    <s v="Ladder Trunnion 10 YR Replacement"/>
    <s v="Ladder Trunnion"/>
    <s v="EQUIPMENT"/>
    <s v="B"/>
    <s v="D"/>
    <s v="To Be Written"/>
    <s v="Hydraulic Dredge"/>
    <s v="Ladder Trunnion"/>
    <s v="Ladder System*Ladder*Ladder Trunnion"/>
    <x v="5"/>
    <x v="1"/>
  </r>
  <r>
    <x v="0"/>
    <s v="0105"/>
    <s v="Un-Manned Safety Line Annual Inspection"/>
    <s v="Un-Manned Safety Line"/>
    <s v="EQUIPMENT"/>
    <s v="D"/>
    <s v="D"/>
    <s v="Downtime Opportunity"/>
    <s v="Hydraulic Dredge"/>
    <s v="Un-Manned Safety Line"/>
    <s v="Ladder System*Ladder*Un-Manned Safety Line"/>
    <x v="5"/>
    <x v="0"/>
  </r>
  <r>
    <x v="0"/>
    <s v="0105"/>
    <s v="Lube Oil Transfer Pump Set (#2) Annual Inspection"/>
    <s v="Lube Oil Transfer Pump Set (#2)"/>
    <s v="EQUIPMENT"/>
    <s v="D"/>
    <s v="D"/>
    <s v="Running Work List"/>
    <s v="Hydraulic Dredge"/>
    <s v="Lube Oil Transfer Pump Set (#2)"/>
    <s v="Lube Oil Transfer*Lube Oil Transfer Pump Set (#2)"/>
    <x v="15"/>
    <x v="0"/>
  </r>
  <r>
    <x v="0"/>
    <s v="0105"/>
    <s v="Lube Oil Transfer Pump Set (#1) Annual Inspection"/>
    <s v="Lube Oil Transfer Pump Set (#1)"/>
    <s v="EQUIPMENT"/>
    <s v="D"/>
    <s v="D"/>
    <s v="Running Work List"/>
    <s v="Hydraulic Dredge"/>
    <s v="Lube Oil Transfer Pump Set (#1)"/>
    <s v="Lube Oil Transfer*Lube Oil Transfer Pump Set (#1)"/>
    <x v="15"/>
    <x v="0"/>
  </r>
  <r>
    <x v="0"/>
    <s v="0105"/>
    <s v="Evaporator Feed Water Pump Motor, (10 HP) Replacement"/>
    <s v="Motor, Evap. Feed Water (10 HP)"/>
    <s v="EQUIPMENT"/>
    <s v="D"/>
    <s v="D"/>
    <s v="Running Work List"/>
    <s v="Hydraulic Dredge"/>
    <s v="Motor, Evap. Feed Water (10 HP)"/>
    <s v="Potable Water*Desalinator*Pump Set, Evap. Feed Water*Motor, Evap. Feed Water (10 HP)"/>
    <x v="2"/>
    <x v="0"/>
  </r>
  <r>
    <x v="0"/>
    <s v="0105"/>
    <s v="Dredge Pump Rebuild"/>
    <s v="Dredge Pump"/>
    <s v="EQUIPMENT"/>
    <s v="B"/>
    <s v="D"/>
    <s v="Downtime Opportunity"/>
    <s v="Hydraulic Dredge"/>
    <s v="Dredge Pump"/>
    <s v="Pump, Dredge*Dredge Pump"/>
    <x v="3"/>
    <x v="0"/>
  </r>
  <r>
    <x v="0"/>
    <s v="0105"/>
    <s v="Dredge Pump Gearbox Annual PM/Inspection"/>
    <s v="Dredge Pump Gearbox"/>
    <s v="EQUIPMENT"/>
    <s v="B"/>
    <s v="D"/>
    <s v="Draft"/>
    <s v="Hydraulic Dredge"/>
    <s v="Dredge Pump Gearbox"/>
    <s v="Pump, Dredge*Dredge Pump Gearbox"/>
    <x v="3"/>
    <x v="0"/>
  </r>
  <r>
    <x v="0"/>
    <s v="0105"/>
    <s v="Stuffing Box (D/P) Pump Gland Re-Pack"/>
    <s v="Stuffing Box (D/P)"/>
    <s v="EQUIPMENT"/>
    <s v="B"/>
    <s v="D"/>
    <s v="Downtime Opportunity"/>
    <s v="Hydraulic Dredge"/>
    <s v="Stuffing Box (D/P)"/>
    <s v="Pump, Dredge*Dredge Pump*Stuffing Box (D/P)"/>
    <x v="3"/>
    <x v="0"/>
  </r>
  <r>
    <x v="0"/>
    <s v="0105"/>
    <s v="Stuffing Box (D/P) Change Out"/>
    <s v="Stuffing Box (D/P)"/>
    <s v="EQUIPMENT"/>
    <s v="B"/>
    <s v="D"/>
    <s v="Downtime Opportunity"/>
    <s v="Hydraulic Dredge"/>
    <s v="Stuffing Box (D/P)"/>
    <s v="Pump, Dredge*Dredge Pump*Stuffing Box (D/P)"/>
    <x v="3"/>
    <x v="0"/>
  </r>
  <r>
    <x v="0"/>
    <s v="0105"/>
    <s v="Coupling (FALK) (270CS) Annual Inspection"/>
    <s v="Coupling (FALK) (270CS)"/>
    <s v="EQUIPMENT"/>
    <s v="B"/>
    <s v="D"/>
    <s v="Downtime Opportunity"/>
    <s v="Hydraulic Dredge"/>
    <s v="Coupling (FALK) (270CS)"/>
    <s v="Pump, Dredge*Shafting*Impeller / Thrust Shaft*Coupling (FALK) (270CS)"/>
    <x v="3"/>
    <x v="0"/>
  </r>
  <r>
    <x v="0"/>
    <s v="0105"/>
    <s v="Evaporator/ Vacum System Annual PM/Inspection"/>
    <s v="Evaporator/ Vacum System"/>
    <s v="EQUIPMENT"/>
    <s v="C"/>
    <s v="D"/>
    <s v="Downtime Opportunity"/>
    <s v="Hydraulic Dredge"/>
    <s v="Evaporator/ Vacum System"/>
    <s v="Pump, Ladder*Evaporator/ Vacum System"/>
    <x v="11"/>
    <x v="0"/>
  </r>
  <r>
    <x v="0"/>
    <s v="0105"/>
    <s v="Ladder Pump (Universal) Rebuild"/>
    <s v="Ladder Pump (Universal)"/>
    <s v="EQUIPMENT"/>
    <s v="B"/>
    <s v="D"/>
    <s v="Downtime Opportunity"/>
    <s v="Hydraulic Dredge"/>
    <s v="Ladder Pump (Universal)"/>
    <s v="Pump, Ladder*Ladder Pump (Universal)"/>
    <x v="11"/>
    <x v="0"/>
  </r>
  <r>
    <x v="0"/>
    <s v="0105"/>
    <s v="Stuffing Box (L/P) Repack"/>
    <s v="Stuffing Box (L/P)"/>
    <s v="EQUIPMENT"/>
    <s v="B"/>
    <s v="D"/>
    <s v="Downtime Opportunity"/>
    <s v="Hydraulic Dredge"/>
    <s v="Stuffing Box (L/P)"/>
    <s v="Pump, Ladder*Ladder Pump (Universal)*Stuffing Box (L/P)"/>
    <x v="11"/>
    <x v="0"/>
  </r>
  <r>
    <x v="0"/>
    <s v="0105"/>
    <s v="Stuffing Box (L/P) Change Out"/>
    <s v="Stuffing Box (L/P)"/>
    <s v="EQUIPMENT"/>
    <s v="B"/>
    <s v="D"/>
    <s v="To Be Captured"/>
    <s v="Hydraulic Dredge"/>
    <s v="Stuffing Box (L/P)"/>
    <s v="Pump, Ladder*Ladder Pump (Universal)*Stuffing Box (L/P)"/>
    <x v="11"/>
    <x v="1"/>
  </r>
  <r>
    <x v="0"/>
    <s v="0105"/>
    <s v="Ladder Pump Motor (1250 HP) Removal"/>
    <s v="Ladder Pump Motor (1250 HP)"/>
    <s v="EQUIPMENT"/>
    <s v="D"/>
    <s v="D"/>
    <s v="Downtime Opportunity"/>
    <s v="Hydraulic Dredge"/>
    <s v="Ladder Pump Motor (1250 HP)"/>
    <s v="Pump, Ladder*Ladder Pump Motor (1250 HP)"/>
    <x v="11"/>
    <x v="0"/>
  </r>
  <r>
    <x v="0"/>
    <s v="0105"/>
    <s v="Ladder Pump Motor (1250 HP) Installation"/>
    <s v="Ladder Pump Motor (1250 HP)"/>
    <s v="EQUIPMENT"/>
    <s v="D"/>
    <s v="D"/>
    <s v="Downtime Opportunity"/>
    <s v="Hydraulic Dredge"/>
    <s v="Ladder Pump Motor (1250 HP)"/>
    <s v="Pump, Ladder*Ladder Pump Motor (1250 HP)"/>
    <x v="11"/>
    <x v="0"/>
  </r>
  <r>
    <x v="0"/>
    <s v="0105"/>
    <s v="M/E Rawwater Pump Set (#2) Annual PM/Inspection"/>
    <s v="M/E Rawwater Pump Set (#2)"/>
    <s v="EQUIPMENT"/>
    <s v="C"/>
    <s v="D"/>
    <s v="Downtime Opportunity"/>
    <s v="Hydraulic Dredge"/>
    <s v="M/E Rawwater Pump Set (#2)"/>
    <s v="Raw Water*M/E Rawwater Pump Set (#2)"/>
    <x v="16"/>
    <x v="0"/>
  </r>
  <r>
    <x v="0"/>
    <s v="0105"/>
    <s v="M/E Rawwater Pump Set (#1) Annual PM/Inspection"/>
    <s v="M/E Rawwater Pump Set (#1)"/>
    <s v="EQUIPMENT"/>
    <s v="C"/>
    <s v="D"/>
    <s v="Downtime Opportunity"/>
    <s v="Hydraulic Dredge"/>
    <s v="M/E Rawwater Pump Set (#1)"/>
    <s v="Raw Water*M/E Rawwater Pump Set (#1)"/>
    <x v="16"/>
    <x v="0"/>
  </r>
  <r>
    <x v="0"/>
    <s v="0105"/>
    <s v="General Service Pump Set (#2) Annual PM/Inspection"/>
    <s v="General Service Pump Set (#2)"/>
    <s v="EQUIPMENT"/>
    <s v="C"/>
    <s v="D"/>
    <s v="Downtime Opportunity"/>
    <s v="Hydraulic Dredge"/>
    <s v="General Service Pump Set (#2)"/>
    <s v="Raw Water*General Service Pump Set (#2)"/>
    <x v="16"/>
    <x v="0"/>
  </r>
  <r>
    <x v="0"/>
    <s v="0105"/>
    <s v="General Service Pump Set (#1) Annual PM/Inspection"/>
    <s v="General Service Pump Set (#1)"/>
    <s v="EQUIPMENT"/>
    <s v="C"/>
    <s v="D"/>
    <s v="Downtime Opportunity"/>
    <s v="Hydraulic Dredge"/>
    <s v="General Service Pump Set (#1)"/>
    <s v="Raw Water*General Service Pump Set (#1)"/>
    <x v="16"/>
    <x v="0"/>
  </r>
  <r>
    <x v="0"/>
    <s v="0105"/>
    <s v="SCBA Annual Inspection"/>
    <s v="SCBA"/>
    <s v="EQUIPMENT"/>
    <s v="D"/>
    <s v="D"/>
    <s v="Running Work List"/>
    <s v="Hydraulic Dredge"/>
    <s v="SCBA"/>
    <s v="Safety Lifesaving*SCBA"/>
    <x v="1"/>
    <x v="0"/>
  </r>
  <r>
    <x v="0"/>
    <s v="0105"/>
    <s v="Sanitary System Annual PM/Inspection"/>
    <s v="Sanitary System"/>
    <s v="EQUIPMENT"/>
    <s v="D"/>
    <s v="D"/>
    <s v="Running Work List"/>
    <s v="Hydraulic Dredge"/>
    <s v="Sanitary System"/>
    <s v="Sanitation System*Sanitary System"/>
    <x v="17"/>
    <x v="0"/>
  </r>
  <r>
    <x v="0"/>
    <s v="0105"/>
    <s v="Sanitary System Quarterly Inspection"/>
    <s v="Sanitary System"/>
    <s v="EQUIPMENT"/>
    <s v="D"/>
    <s v="D"/>
    <s v="Running Work List"/>
    <s v="Hydraulic Dredge"/>
    <s v="Sanitary System"/>
    <s v="Sanitation System*Sanitary System"/>
    <x v="17"/>
    <x v="0"/>
  </r>
  <r>
    <x v="0"/>
    <s v="0105"/>
    <s v="Christmas Tree Removal"/>
    <s v="Christmas Tree"/>
    <s v="EQUIPMENT"/>
    <s v="D"/>
    <s v="D"/>
    <s v="Downtime Opportunity"/>
    <s v="Hydraulic Dredge"/>
    <s v="Christmas Tree"/>
    <s v="Spud System*Christmas Tree"/>
    <x v="18"/>
    <x v="0"/>
  </r>
  <r>
    <x v="0"/>
    <s v="0105"/>
    <s v="Christmas Tree Installation"/>
    <s v="Christmas Tree"/>
    <s v="EQUIPMENT"/>
    <s v="D"/>
    <s v="D"/>
    <s v="Downtime Opportunity"/>
    <s v="Hydraulic Dredge"/>
    <s v="Christmas Tree"/>
    <s v="Spud System*Christmas Tree"/>
    <x v="18"/>
    <x v="0"/>
  </r>
  <r>
    <x v="0"/>
    <s v="0105"/>
    <s v="Stern Winch (Stbd) Breast Wire Change"/>
    <s v="Stern Winch (Stbd)"/>
    <s v="EQUIPMENT"/>
    <s v="B"/>
    <s v="D"/>
    <s v="Downtime Opportunity"/>
    <s v="Hydraulic Dredge"/>
    <s v="Stern Winch (Stbd)"/>
    <s v="Spud System*Stern Hoist Winch*Stern Winch (Stbd)"/>
    <x v="18"/>
    <x v="0"/>
  </r>
  <r>
    <x v="0"/>
    <s v="0105"/>
    <s v="Stern Winch (Port) Breast Wire Change"/>
    <s v="Stern Winch (Port)"/>
    <s v="EQUIPMENT"/>
    <s v="B"/>
    <s v="D"/>
    <s v="Downtime Opportunity"/>
    <s v="Hydraulic Dredge"/>
    <s v="Stern Winch (Port)"/>
    <s v="Spud System*Stern Hoist Winch*Stern Winch (Port)"/>
    <x v="18"/>
    <x v="0"/>
  </r>
  <r>
    <x v="0"/>
    <s v="0105"/>
    <s v="Stern Winch (Center) Wire Change"/>
    <s v="Stern Winch (Center)"/>
    <s v="EQUIPMENT"/>
    <s v="B"/>
    <s v="D"/>
    <s v="Downtime Opportunity"/>
    <s v="Hydraulic Dredge"/>
    <s v="Stern Winch (Center)"/>
    <s v="Spud System*Stern Hoist Winch*Stern Winch (Center)"/>
    <x v="18"/>
    <x v="0"/>
  </r>
  <r>
    <x v="0"/>
    <s v="0105"/>
    <s v="Fleeting Sheaves Quarterly Inspection"/>
    <s v="Fleeting Sheaves"/>
    <s v="EQUIPMENT"/>
    <s v="D"/>
    <s v="D"/>
    <s v="Downtime Opportunity"/>
    <s v="Hydraulic Dredge"/>
    <s v="Fleeting Sheaves"/>
    <s v="Swing*Fleeting Sheaves"/>
    <x v="19"/>
    <x v="0"/>
  </r>
  <r>
    <x v="0"/>
    <s v="0105"/>
    <s v="Anchor/ Chain Remove &amp; Inspect"/>
    <s v="Anchor/ Chain"/>
    <s v="EQUIPMENT"/>
    <s v="D"/>
    <s v="D"/>
    <s v="To Be Written"/>
    <s v="Hydraulic Dredge"/>
    <s v="Anchor/ Chain"/>
    <s v="Crane/Hoists*Anchor Windlass*Anchor/ Chain"/>
    <x v="7"/>
    <x v="1"/>
  </r>
  <r>
    <x v="0"/>
    <s v="0105"/>
    <s v="Swing Winch Wire Change"/>
    <s v="Swing Winch"/>
    <s v="EQUIPMENT"/>
    <s v="B"/>
    <s v="D"/>
    <s v="Downtime Opportunity"/>
    <s v="Hydraulic Dredge"/>
    <s v="Swing Winch"/>
    <s v="Swing*Swing Winch"/>
    <x v="19"/>
    <x v="0"/>
  </r>
  <r>
    <x v="0"/>
    <s v="0105"/>
    <s v="Jacking Gear Annual Test &amp; Inspection"/>
    <s v="Jacking Gear"/>
    <s v="EQUIPMENT"/>
    <s v="D"/>
    <s v="D"/>
    <s v="Downtime Opportunity"/>
    <s v="Hydraulic Dredge"/>
    <s v="Jacking Gear"/>
    <s v="Swing*Swing Winch*Jacking Gear"/>
    <x v="19"/>
    <x v="0"/>
  </r>
  <r>
    <x v="0"/>
    <s v="0105"/>
    <s v="Reduction Gear Annual Inspection"/>
    <s v="Reduction Gear"/>
    <s v="EQUIPMENT"/>
    <s v="B"/>
    <s v="D"/>
    <s v="Downtime Opportunity"/>
    <s v="Hydraulic Dredge"/>
    <s v="Reduction Gear"/>
    <s v="Swing*Swing Winch*Reduction Gear"/>
    <x v="19"/>
    <x v="0"/>
  </r>
  <r>
    <x v="0"/>
    <s v="0105"/>
    <s v="Main Generator Removal"/>
    <s v="Main Generator"/>
    <s v="EQUIPMENT"/>
    <s v="B"/>
    <s v="D"/>
    <s v="Downtime Opportunity"/>
    <s v="Hydraulic Dredge"/>
    <s v="Main Generator"/>
    <s v="Generators*Main Generator Set*Main Generator"/>
    <x v="4"/>
    <x v="0"/>
  </r>
  <r>
    <x v="0"/>
    <s v="0105"/>
    <s v="Cutter Gearbox 10000 HR PM"/>
    <s v="Cutter Gearbox"/>
    <s v="EQUIPMENT"/>
    <s v="B"/>
    <s v="D"/>
    <s v="Downtime Opportunity"/>
    <s v="Hydraulic Dredge"/>
    <s v="Cutter Gearbox"/>
    <s v="Cutter Machinery*Cutter Gearbox"/>
    <x v="6"/>
    <x v="0"/>
  </r>
  <r>
    <x v="0"/>
    <s v="0105"/>
    <s v="Auxiliary Generator Engine (CAT C9) 12000 HR PM (Overhaul)"/>
    <s v="Auxiliary Generator Engine (CAT C9)"/>
    <s v="EQUIPMENT"/>
    <s v="A"/>
    <s v="D"/>
    <s v="Downtime Opportunity"/>
    <s v="Hydraulic Dredge"/>
    <s v="Auxiliary Generator Engine (CAT C9)"/>
    <s v="Generators*Auxiliary Genset*Auxiliary Generator Engine (CAT C9)"/>
    <x v="4"/>
    <x v="0"/>
  </r>
  <r>
    <x v="0"/>
    <s v="0105"/>
    <s v="Ladder Head Section 2500 HR PM"/>
    <s v="Ladder Head Section"/>
    <s v="EQUIPMENT"/>
    <s v="C"/>
    <s v="D"/>
    <s v="Downtime Opportunity"/>
    <s v="Hydraulic Dredge"/>
    <s v="Ladder Head Section"/>
    <s v="Ladder System*Ladder*Ladder Head Section"/>
    <x v="5"/>
    <x v="0"/>
  </r>
  <r>
    <x v="0"/>
    <s v="0105"/>
    <s v="Swing Sheave (Stbd) Removal"/>
    <s v="Swing Sheave (Stbd)"/>
    <s v="EQUIPMENT"/>
    <s v="D"/>
    <s v="D"/>
    <s v="Downtime Opportunity"/>
    <s v="Hydraulic Dredge"/>
    <s v="Swing Sheave (Stbd)"/>
    <s v="Swing*Swing Sheave (Stbd)"/>
    <x v="19"/>
    <x v="0"/>
  </r>
  <r>
    <x v="0"/>
    <s v="0105"/>
    <s v="Swing Sheave (Port) Removal"/>
    <s v="Swing Sheave (Port)"/>
    <s v="EQUIPMENT"/>
    <s v="B"/>
    <s v="D"/>
    <s v="Downtime Opportunity"/>
    <s v="Hydraulic Dredge"/>
    <s v="Swing Sheave (Port)"/>
    <s v="Swing*Swing Sheave (Port)"/>
    <x v="19"/>
    <x v="0"/>
  </r>
  <r>
    <x v="0"/>
    <s v="0105"/>
    <s v="Swing Sheave (Stbd) Installation"/>
    <s v="Swing Sheave (Stbd)"/>
    <s v="EQUIPMENT"/>
    <s v="D"/>
    <s v="D"/>
    <s v="Downtime Opportunity"/>
    <s v="Hydraulic Dredge"/>
    <s v="Swing Sheave (Stbd)"/>
    <s v="Swing*Swing Sheave (Stbd)"/>
    <x v="19"/>
    <x v="0"/>
  </r>
  <r>
    <x v="0"/>
    <s v="0105"/>
    <s v="Swing Sheave (Port) Installation"/>
    <s v="Swing Sheave (Port)"/>
    <s v="EQUIPMENT"/>
    <s v="B"/>
    <s v="D"/>
    <s v="Downtime Opportunity"/>
    <s v="Hydraulic Dredge"/>
    <s v="Swing Sheave (Port)"/>
    <s v="Swing*Swing Sheave (Port)"/>
    <x v="19"/>
    <x v="0"/>
  </r>
  <r>
    <x v="0"/>
    <s v="0105"/>
    <s v="Dredge Pump Suction Liner Replacement"/>
    <s v="Dredge Pump"/>
    <s v="EQUIPMENT"/>
    <s v="B"/>
    <s v="D"/>
    <s v="Downtime Opportunity"/>
    <s v="Hydraulic Dredge"/>
    <s v="Dredge Pump"/>
    <s v="Pump, Dredge*Dredge Pump"/>
    <x v="3"/>
    <x v="0"/>
  </r>
  <r>
    <x v="0"/>
    <s v="0105"/>
    <s v="LD5 Cutter Installation"/>
    <s v="LD5 Cutter"/>
    <s v="EQUIPMENT"/>
    <s v="C"/>
    <s v="D"/>
    <s v="Downtime Opportunity"/>
    <s v="Hydraulic Dredge"/>
    <s v="LD5 Cutter"/>
    <s v="Cutterheads*LD5 Cutter"/>
    <x v="20"/>
    <x v="0"/>
  </r>
  <r>
    <x v="0"/>
    <s v="0105"/>
    <s v="Gen-Purpose (6-Blade) Installation"/>
    <s v="Gen-Purpose (6-Blade)"/>
    <s v="EQUIPMENT"/>
    <s v="C"/>
    <s v="D"/>
    <s v="Downtime Opportunity"/>
    <s v="Hydraulic Dredge"/>
    <s v="Gen-Purpose (6-Blade)"/>
    <s v="Cutterheads*Gen-Purpose (6-Blade)"/>
    <x v="20"/>
    <x v="0"/>
  </r>
  <r>
    <x v="0"/>
    <s v="0105"/>
    <s v="Gen-Purpose (5-Blade) Installation"/>
    <s v="Gen-Purpose (5-Blade)"/>
    <s v="EQUIPMENT"/>
    <s v="C"/>
    <s v="D"/>
    <s v="Downtime Opportunity"/>
    <s v="Hydraulic Dredge"/>
    <s v="Gen-Purpose (5-Blade)"/>
    <s v="Cutterheads*Gen-Purpose (5-Blade)"/>
    <x v="20"/>
    <x v="0"/>
  </r>
  <r>
    <x v="0"/>
    <s v="0105"/>
    <s v="48DS Cutter (Rock-New) Installation"/>
    <s v="48DS Cutter (Rock-New)"/>
    <s v="EQUIPMENT"/>
    <s v="C"/>
    <s v="D"/>
    <s v="Downtime Opportunity"/>
    <s v="Hydraulic Dredge"/>
    <s v="48DS Cutter (Rock-New)"/>
    <s v="Cutterheads*48DS Cutter (Rock-New)"/>
    <x v="20"/>
    <x v="0"/>
  </r>
  <r>
    <x v="0"/>
    <s v="0105"/>
    <s v="48D Cutter (Rock-Mod) Installation"/>
    <s v="48D Cutter (Rock-Mod)"/>
    <s v="EQUIPMENT"/>
    <s v="C"/>
    <s v="D"/>
    <s v="Downtime Opportunity"/>
    <s v="Hydraulic Dredge"/>
    <s v="48D Cutter (Rock-Mod)"/>
    <s v="Cutterheads*48D Cutter (Rock-Mod)"/>
    <x v="20"/>
    <x v="0"/>
  </r>
  <r>
    <x v="0"/>
    <s v="0105"/>
    <s v="3G Cutter (Pumping) Installation"/>
    <s v="3G Cutter (Pumping)"/>
    <s v="EQUIPMENT"/>
    <s v="C"/>
    <s v="D"/>
    <s v="Downtime Opportunity"/>
    <s v="Hydraulic Dredge"/>
    <s v="3G Cutter (Pumping)"/>
    <s v="Cutterheads*3G Cutter (Pumping)"/>
    <x v="20"/>
    <x v="0"/>
  </r>
  <r>
    <x v="0"/>
    <s v="0105"/>
    <s v="38DS Cutter (Sand/Clay) Installation"/>
    <s v="38DS Cutter (Sand/Clay)"/>
    <s v="EQUIPMENT"/>
    <s v="C"/>
    <s v="D"/>
    <s v="Downtime Opportunity"/>
    <s v="Hydraulic Dredge"/>
    <s v="38DS Cutter (Sand/Clay)"/>
    <s v="Cutterheads*38DS Cutter (Sand/Clay)"/>
    <x v="20"/>
    <x v="0"/>
  </r>
  <r>
    <x v="0"/>
    <s v="0105"/>
    <s v="LD5 Cutter Removal"/>
    <s v="LD5 Cutter"/>
    <s v="EQUIPMENT"/>
    <s v="C"/>
    <s v="D"/>
    <s v="Downtime Opportunity"/>
    <s v="Hydraulic Dredge"/>
    <s v="LD5 Cutter"/>
    <s v="Cutterheads*LD5 Cutter"/>
    <x v="20"/>
    <x v="0"/>
  </r>
  <r>
    <x v="0"/>
    <s v="0105"/>
    <s v="Gen-Purpose (6-Blade) Removal"/>
    <s v="Gen-Purpose (6-Blade)"/>
    <s v="EQUIPMENT"/>
    <s v="C"/>
    <s v="D"/>
    <s v="Downtime Opportunity"/>
    <s v="Hydraulic Dredge"/>
    <s v="Gen-Purpose (6-Blade)"/>
    <s v="Cutterheads*Gen-Purpose (6-Blade)"/>
    <x v="20"/>
    <x v="0"/>
  </r>
  <r>
    <x v="0"/>
    <s v="0105"/>
    <s v="Gen-Purpose (5-Blade) Removal"/>
    <s v="Gen-Purpose (5-Blade)"/>
    <s v="EQUIPMENT"/>
    <s v="C"/>
    <s v="D"/>
    <s v="Downtime Opportunity"/>
    <s v="Hydraulic Dredge"/>
    <s v="Gen-Purpose (5-Blade)"/>
    <s v="Cutterheads*Gen-Purpose (5-Blade)"/>
    <x v="20"/>
    <x v="0"/>
  </r>
  <r>
    <x v="0"/>
    <s v="0105"/>
    <s v="48DS Cutter (Rock-New) Removal"/>
    <s v="48DS Cutter (Rock-New)"/>
    <s v="EQUIPMENT"/>
    <s v="C"/>
    <s v="D"/>
    <s v="Downtime Opportunity"/>
    <s v="Hydraulic Dredge"/>
    <s v="48DS Cutter (Rock-New)"/>
    <s v="Cutterheads*48DS Cutter (Rock-New)"/>
    <x v="20"/>
    <x v="0"/>
  </r>
  <r>
    <x v="0"/>
    <s v="0105"/>
    <s v="48D Cutter (Rock-Mod) Removal"/>
    <s v="48D Cutter (Rock-Mod)"/>
    <s v="EQUIPMENT"/>
    <s v="C"/>
    <s v="D"/>
    <s v="Downtime Opportunity"/>
    <s v="Hydraulic Dredge"/>
    <s v="48D Cutter (Rock-Mod)"/>
    <s v="Cutterheads*48D Cutter (Rock-Mod)"/>
    <x v="20"/>
    <x v="0"/>
  </r>
  <r>
    <x v="0"/>
    <s v="0105"/>
    <s v="3G Cutter (Pumping) Removal"/>
    <s v="3G Cutter (Pumping)"/>
    <s v="EQUIPMENT"/>
    <s v="C"/>
    <s v="D"/>
    <s v="Downtime Opportunity"/>
    <s v="Hydraulic Dredge"/>
    <s v="3G Cutter (Pumping)"/>
    <s v="Cutterheads*3G Cutter (Pumping)"/>
    <x v="20"/>
    <x v="0"/>
  </r>
  <r>
    <x v="0"/>
    <s v="0105"/>
    <s v="38DS Cutter (Sand/Clay) Removal"/>
    <s v="38DS Cutter (Sand/Clay)"/>
    <s v="EQUIPMENT"/>
    <s v="C"/>
    <s v="D"/>
    <s v="Downtime Opportunity"/>
    <s v="Hydraulic Dredge"/>
    <s v="38DS Cutter (Sand/Clay)"/>
    <s v="Cutterheads*38DS Cutter (Sand/Clay)"/>
    <x v="20"/>
    <x v="0"/>
  </r>
  <r>
    <x v="0"/>
    <s v="0105"/>
    <s v="Evaporator/ Vacum System Monthly PM"/>
    <s v="Evaporator/ Vacum System"/>
    <s v="EQUIPMENT"/>
    <s v="C"/>
    <s v="D"/>
    <s v="Running Work List"/>
    <s v="Hydraulic Dredge"/>
    <s v="Evaporator/ Vacum System"/>
    <s v="Pump, Ladder*Evaporator/ Vacum System"/>
    <x v="11"/>
    <x v="0"/>
  </r>
  <r>
    <x v="0"/>
    <s v="0105"/>
    <s v="Stern Winch (Stbd) Spud Wire Change"/>
    <s v="Stern Winch (Stbd)"/>
    <s v="EQUIPMENT"/>
    <s v="B"/>
    <s v="D"/>
    <s v="Downtime Opportunity"/>
    <s v="Hydraulic Dredge"/>
    <s v="Stern Winch (Stbd)"/>
    <s v="Spud System*Stern Hoist Winch*Stern Winch (Stbd)"/>
    <x v="18"/>
    <x v="0"/>
  </r>
  <r>
    <x v="0"/>
    <s v="0105"/>
    <s v="Stern Winch (Port) Spud Wire Change"/>
    <s v="Stern Winch (Port)"/>
    <s v="EQUIPMENT"/>
    <s v="B"/>
    <s v="D"/>
    <s v="Downtime Opportunity"/>
    <s v="Hydraulic Dredge"/>
    <s v="Stern Winch (Port)"/>
    <s v="Spud System*Stern Hoist Winch*Stern Winch (Port)"/>
    <x v="18"/>
    <x v="0"/>
  </r>
  <r>
    <x v="0"/>
    <s v="0105"/>
    <s v="Sanitary System Bi-Weekly (2 Week) PM/Inspection"/>
    <s v="Sanitary System"/>
    <s v="EQUIPMENT"/>
    <s v="D"/>
    <s v="D"/>
    <s v="Running Work List"/>
    <s v="Hydraulic Dredge"/>
    <s v="Sanitary System"/>
    <s v="Sanitation System*Sanitary System"/>
    <x v="17"/>
    <x v="0"/>
  </r>
  <r>
    <x v="0"/>
    <s v="0105"/>
    <s v="Cutter Gearbox Oil Seal Replacement"/>
    <s v="Cutter Gearbox"/>
    <s v="EQUIPMENT"/>
    <s v="B"/>
    <s v="D"/>
    <s v="Downtime Opportunity"/>
    <s v="Hydraulic Dredge"/>
    <s v="Cutter Gearbox"/>
    <s v="Cutter Machinery*Cutter Gearbox"/>
    <x v="6"/>
    <x v="0"/>
  </r>
  <r>
    <x v="0"/>
    <s v="0105"/>
    <s v="Spud Hoist Motor (250 HP) Semi-Annual Inspection"/>
    <s v="Spud Hoist Motor (250 HP)"/>
    <s v="EQUIPMENT"/>
    <s v="B"/>
    <s v="D"/>
    <s v="Downtime Opportunity"/>
    <s v="Hydraulic Dredge"/>
    <s v="Spud Hoist Motor (250 HP)"/>
    <s v="Spud System*Stern Hoist Winch*Spud Hoist Motor (250 HP)"/>
    <x v="18"/>
    <x v="0"/>
  </r>
  <r>
    <x v="0"/>
    <s v="0105"/>
    <s v="Ladder Hoist Motor Semi-Annual Inspection"/>
    <s v="Ladder Hoist Motor"/>
    <s v="EQUIPMENT"/>
    <s v="B"/>
    <s v="D"/>
    <s v="Downtime Opportunity"/>
    <s v="Hydraulic Dredge"/>
    <s v="Ladder Hoist Motor"/>
    <s v="Ladder System*Ladder Hoist Winch*Ladder Hoist Motor"/>
    <x v="5"/>
    <x v="0"/>
  </r>
  <r>
    <x v="0"/>
    <s v="0105"/>
    <s v="Vent, E/R Intake Blower (Stbd, Fwd) Monthly PM/Inspection"/>
    <s v="Vent, E/R Intake Blower (Stbd, Fwd)"/>
    <s v="EQUIPMENT"/>
    <s v="D"/>
    <s v="D"/>
    <s v="Draft"/>
    <s v="Hydraulic Dredge"/>
    <s v="Vent, E/R Intake Blower (Stbd, Fwd)"/>
    <s v="HVAC*Vent, E/R Intake Blower (Stbd, Fwd)"/>
    <x v="13"/>
    <x v="0"/>
  </r>
  <r>
    <x v="0"/>
    <s v="0105"/>
    <s v="Vent, E/R Intake Blower (Stbd, Aft) Monthly PM/Inspection"/>
    <s v="Vent, E/R Intake Blower (Stbd, Aft)"/>
    <s v="EQUIPMENT"/>
    <s v="D"/>
    <s v="D"/>
    <s v="Draft"/>
    <s v="Hydraulic Dredge"/>
    <s v="Vent, E/R Intake Blower (Stbd, Aft)"/>
    <s v="HVAC*Vent, E/R Intake Blower (Stbd, Aft)"/>
    <x v="13"/>
    <x v="0"/>
  </r>
  <r>
    <x v="0"/>
    <s v="0105"/>
    <s v="Vent, E/R Intake Blower (Port, Fwd) Monthly PM/Inspection"/>
    <s v="Vent, E/R Intake Blower (Port, Fwd)"/>
    <s v="EQUIPMENT"/>
    <s v="D"/>
    <s v="D"/>
    <s v="Draft"/>
    <s v="Hydraulic Dredge"/>
    <s v="Vent, E/R Intake Blower (Port, Fwd)"/>
    <s v="HVAC*Vent, E/R Intake Blower (Port, Fwd)"/>
    <x v="13"/>
    <x v="0"/>
  </r>
  <r>
    <x v="0"/>
    <s v="0105"/>
    <s v="Vent, E/R Intake Blower (Port, Aft) Monthly PM/Inspection"/>
    <s v="Vent, E/R Intake Blower (Port, Aft)"/>
    <s v="EQUIPMENT"/>
    <s v="D"/>
    <s v="D"/>
    <s v="Draft"/>
    <s v="Hydraulic Dredge"/>
    <s v="Vent, E/R Intake Blower (Port, Aft)"/>
    <s v="HVAC*Vent, E/R Intake Blower (Port, Aft)"/>
    <x v="13"/>
    <x v="0"/>
  </r>
  <r>
    <x v="0"/>
    <s v="0105"/>
    <s v="Lifting Hook, Impeller (IL-UWP) Annual Inspection"/>
    <s v="Ladder Pump (Universal)"/>
    <s v="EQUIPMENT"/>
    <s v="B"/>
    <s v="D"/>
    <s v="Running Work List"/>
    <s v="Hydraulic Dredge"/>
    <s v="Ladder Pump (Universal)"/>
    <s v="Pump, Ladder*Ladder Pump (Universal)"/>
    <x v="11"/>
    <x v="0"/>
  </r>
  <r>
    <x v="0"/>
    <s v="0105"/>
    <s v="Lifting Hook, Inner Shell (ILMPISL) Annual Inspection"/>
    <s v="Dredge Pump"/>
    <s v="EQUIPMENT"/>
    <s v="B"/>
    <s v="D"/>
    <s v="Running Work List"/>
    <s v="Hydraulic Dredge"/>
    <s v="Dredge Pump"/>
    <s v="Pump, Dredge*Dredge Pump"/>
    <x v="3"/>
    <x v="0"/>
  </r>
  <r>
    <x v="0"/>
    <s v="0105"/>
    <s v="Lifting Hook, Impeller (ILMPIMP) Annual Inspection"/>
    <s v="Dredge Pump"/>
    <s v="EQUIPMENT"/>
    <s v="B"/>
    <s v="D"/>
    <s v="Running Work List"/>
    <s v="Hydraulic Dredge"/>
    <s v="Dredge Pump"/>
    <s v="Pump, Dredge*Dredge Pump"/>
    <x v="3"/>
    <x v="0"/>
  </r>
  <r>
    <x v="0"/>
    <s v="0105"/>
    <s v="Lifting Hook, Engine Side Liner (ILMPESL) Annual Inspection"/>
    <s v="Dredge Pump"/>
    <s v="EQUIPMENT"/>
    <s v="B"/>
    <s v="D"/>
    <s v="Running Work List"/>
    <s v="Hydraulic Dredge"/>
    <s v="Dredge Pump"/>
    <s v="Pump, Dredge*Dredge Pump"/>
    <x v="3"/>
    <x v="0"/>
  </r>
  <r>
    <x v="0"/>
    <s v="0105"/>
    <s v="Ladder Hoist Winch Wire Change"/>
    <s v="Ladder Hoist Winch"/>
    <s v="EQUIPMENT"/>
    <s v="B"/>
    <s v="D"/>
    <s v="Downtime Opportunity"/>
    <s v="Hydraulic Dredge"/>
    <s v="Ladder Hoist Winch"/>
    <s v="Ladder System*Ladder Hoist Winch"/>
    <x v="5"/>
    <x v="0"/>
  </r>
  <r>
    <x v="0"/>
    <s v="0105"/>
    <s v="A/C Unit (Dredge Office)(New) Semi-Annual PM/Inspection"/>
    <s v="A/C Unit (Dredge Office)(New)"/>
    <s v="EQUIPMENT"/>
    <s v="D"/>
    <s v="D"/>
    <s v="Downtime Opportunity"/>
    <s v="Hydraulic Dredge"/>
    <s v="A/C Unit (Dredge Office)(New)"/>
    <s v="HVAC*A/C Unit (Dredge Office)(New)"/>
    <x v="13"/>
    <x v="0"/>
  </r>
  <r>
    <x v="0"/>
    <s v="0105"/>
    <s v="Swing Sheave (Stbd) Swing Sheave Overhaul"/>
    <s v="Swing Sheave (Stbd)"/>
    <s v="EQUIPMENT"/>
    <s v="D"/>
    <s v="D"/>
    <s v="Downtime Opportunity"/>
    <s v="Hydraulic Dredge"/>
    <s v="Swing Sheave (Stbd)"/>
    <s v="Swing*Swing Sheave (Stbd)"/>
    <x v="19"/>
    <x v="0"/>
  </r>
  <r>
    <x v="0"/>
    <s v="0105"/>
    <s v="Swing Sheave (Port) Swing Sheave Overhaul"/>
    <s v="Swing Sheave (Port)"/>
    <s v="EQUIPMENT"/>
    <s v="B"/>
    <s v="D"/>
    <s v="Downtime Opportunity"/>
    <s v="Hydraulic Dredge"/>
    <s v="Swing Sheave (Port)"/>
    <s v="Swing*Swing Sheave (Port)"/>
    <x v="19"/>
    <x v="0"/>
  </r>
  <r>
    <x v="0"/>
    <s v="0105"/>
    <s v="Dredge Pump Inspection"/>
    <s v="Dredge Pump"/>
    <s v="EQUIPMENT"/>
    <s v="B"/>
    <s v="D"/>
    <s v="Downtime Opportunity"/>
    <s v="Hydraulic Dredge"/>
    <s v="Dredge Pump"/>
    <s v="Pump, Dredge*Dredge Pump"/>
    <x v="3"/>
    <x v="0"/>
  </r>
  <r>
    <x v="0"/>
    <s v="0105"/>
    <s v="Vacum Pump Set Replacement"/>
    <s v="Vacum Pump Set"/>
    <s v="EQUIPMENT"/>
    <s v="C"/>
    <s v="D"/>
    <s v="Downtime Opportunity"/>
    <s v="Hydraulic Dredge"/>
    <s v="Vacum Pump Set"/>
    <s v="Pump, Ladder*Evaporator/ Vacum System*Vacum Pump Set"/>
    <x v="11"/>
    <x v="0"/>
  </r>
  <r>
    <x v="0"/>
    <s v="0105"/>
    <s v="Ladder Pump Motor (1250 HP) Overhaul"/>
    <s v="Ladder Pump Motor (1250 HP)"/>
    <s v="EQUIPMENT"/>
    <s v="D"/>
    <s v="D"/>
    <s v="Downtime Opportunity"/>
    <s v="Hydraulic Dredge"/>
    <s v="Ladder Pump Motor (1250 HP)"/>
    <s v="Pump, Ladder*Ladder Pump Motor (1250 HP)"/>
    <x v="11"/>
    <x v="0"/>
  </r>
  <r>
    <x v="0"/>
    <s v="0105"/>
    <s v="Cutter Service Platform Inspect and Grease"/>
    <s v="Cutter Service Platform"/>
    <s v="EQUIPMENT"/>
    <s v="D"/>
    <s v="D"/>
    <s v="Running Work List"/>
    <s v="Hydraulic Dredge"/>
    <s v="Cutter Service Platform"/>
    <s v="Ladder System*Cutter Service Platform"/>
    <x v="5"/>
    <x v="0"/>
  </r>
  <r>
    <x v="0"/>
    <s v="0105"/>
    <s v="Cutter Motor 1000 KW (Stbd) 1000 HR PM"/>
    <s v="Cutter Motor 1000 KW (Stbd)"/>
    <s v="EQUIPMENT"/>
    <s v="B"/>
    <s v="D"/>
    <s v="Downtime Opportunity"/>
    <s v="Hydraulic Dredge"/>
    <s v="Cutter Motor 1000 KW (Stbd)"/>
    <s v="Cutter Machinery*Cutter Motor 1000 KW (Stbd)"/>
    <x v="6"/>
    <x v="0"/>
  </r>
  <r>
    <x v="0"/>
    <s v="0105"/>
    <s v="Cutter Motor 1000 KW (Port) 1000 HR PM"/>
    <s v="Cutter Motor 1000 KW (Port)"/>
    <s v="EQUIPMENT"/>
    <s v="B"/>
    <s v="D"/>
    <s v="Downtime Opportunity"/>
    <s v="Hydraulic Dredge"/>
    <s v="Cutter Motor 1000 KW (Port)"/>
    <s v="Cutter Machinery*Cutter Motor 1000 KW (Port)"/>
    <x v="6"/>
    <x v="0"/>
  </r>
  <r>
    <x v="0"/>
    <s v="0105"/>
    <s v="Cutter Motor 1000 KW (Stbd) Annual Inspection"/>
    <s v="Cutter Motor 1000 KW (Stbd)"/>
    <s v="EQUIPMENT"/>
    <s v="B"/>
    <s v="D"/>
    <s v="Downtime Opportunity"/>
    <s v="Hydraulic Dredge"/>
    <s v="Cutter Motor 1000 KW (Stbd)"/>
    <s v="Cutter Machinery*Cutter Motor 1000 KW (Stbd)"/>
    <x v="6"/>
    <x v="0"/>
  </r>
  <r>
    <x v="0"/>
    <s v="0105"/>
    <s v="Cutter Motor 1000 KW (Port) Annual Inspection"/>
    <s v="Cutter Motor 1000 KW (Port)"/>
    <s v="EQUIPMENT"/>
    <s v="B"/>
    <s v="D"/>
    <s v="Downtime Opportunity"/>
    <s v="Hydraulic Dredge"/>
    <s v="Cutter Motor 1000 KW (Port)"/>
    <s v="Cutter Machinery*Cutter Motor 1000 KW (Port)"/>
    <x v="6"/>
    <x v="0"/>
  </r>
  <r>
    <x v="0"/>
    <s v="0105"/>
    <s v="Swing Motor (300 KW) 1000 HR Inspection"/>
    <s v="Swing Motor (300 KW)"/>
    <s v="EQUIPMENT"/>
    <s v="B"/>
    <s v="D"/>
    <s v="Downtime Opportunity"/>
    <s v="Hydraulic Dredge"/>
    <s v="Swing Motor (300 KW)"/>
    <s v="Swing*Swing Winch*Swing Motor (300 KW)"/>
    <x v="19"/>
    <x v="0"/>
  </r>
  <r>
    <x v="0"/>
    <s v="0105"/>
    <s v="Circulating Oil Supply Pump Oil Filter Change"/>
    <s v="Circulating Oil Supply Pump"/>
    <s v="EQUIPMENT"/>
    <s v="C"/>
    <s v="D"/>
    <s v="Downtime Opportunity"/>
    <s v="Hydraulic Dredge"/>
    <s v="Circulating Oil Supply Pump"/>
    <s v="Pump, Ladder*Evaporator/ Vacum System*Circulating Oil Supply Pump"/>
    <x v="11"/>
    <x v="0"/>
  </r>
  <r>
    <x v="1"/>
    <s v="0101"/>
    <s v="Liferaft (#3) Annual Exchange"/>
    <s v="Liferaft (#3)"/>
    <s v="EQUIPMENT"/>
    <s v="A"/>
    <s v="A"/>
    <s v="Regulatory Requirement"/>
    <s v="Hydraulic Dredge"/>
    <s v="Liferaft (#3)"/>
    <s v="Safety Lifesaving*Liferaft (#3)"/>
    <x v="1"/>
    <x v="0"/>
  </r>
  <r>
    <x v="1"/>
    <s v="0101"/>
    <s v="Liferaft (Stbd) (Aft); 16 Person Annual Exchange"/>
    <s v="Liferaft (#1)"/>
    <s v="EQUIPMENT"/>
    <s v="A"/>
    <s v="A"/>
    <s v="Regulatory Requirement"/>
    <s v="Hydraulic Dredge"/>
    <s v="Liferaft (#1)"/>
    <s v="Safety Lifesaving*Liferaft (#1)"/>
    <x v="1"/>
    <x v="0"/>
  </r>
  <r>
    <x v="1"/>
    <s v="0101"/>
    <s v="Liferaft (Stbd) (Fwd) 20 Person Annual Exchange"/>
    <s v="Liferaft (#2)"/>
    <s v="EQUIPMENT"/>
    <s v="A"/>
    <s v="A"/>
    <s v="Regulatory Requirement"/>
    <s v="Hydraulic Dredge"/>
    <s v="Liferaft (#2)"/>
    <s v="Safety Lifesaving*Liferaft (#2)"/>
    <x v="1"/>
    <x v="0"/>
  </r>
  <r>
    <x v="1"/>
    <s v="0101"/>
    <s v="Bilge Pump Set (Aft) Annual PM/Inspection"/>
    <s v="Bilge Pump Set (Aft)"/>
    <s v="EQUIPMENT"/>
    <s v="A"/>
    <s v="A"/>
    <s v="Running Work List"/>
    <s v="Hydraulic Dredge"/>
    <s v="Bilge Pump Set (Aft)"/>
    <s v="Bilge/Ballast*Bilge Pump Set (Aft)"/>
    <x v="21"/>
    <x v="0"/>
  </r>
  <r>
    <x v="1"/>
    <s v="0101"/>
    <s v="Bilge Pump Set (Fwd) Annual PM/Inspection"/>
    <s v="Bilge Pump Set (Fwd)"/>
    <s v="EQUIPMENT"/>
    <s v="A"/>
    <s v="A"/>
    <s v="Running Work List"/>
    <s v="Hydraulic Dredge"/>
    <s v="Bilge Pump Set (Fwd)"/>
    <s v="Bilge/Ballast*Bilge Pump Set (Fwd)"/>
    <x v="21"/>
    <x v="0"/>
  </r>
  <r>
    <x v="1"/>
    <s v="0101"/>
    <s v="Desalinator Monthly PM/Inspection"/>
    <s v="Desalinator"/>
    <s v="EQUIPMENT"/>
    <s v="D"/>
    <s v="B"/>
    <s v="Running Work List"/>
    <s v="Hydraulic Dredge"/>
    <s v="Desalinator"/>
    <s v="Potable Water*Desalinator"/>
    <x v="2"/>
    <x v="0"/>
  </r>
  <r>
    <x v="1"/>
    <s v="0101"/>
    <s v="Clutch (Stbd) (35CM500) Quarterly Inspection"/>
    <s v="Clutch (Stbd) (35CM500)"/>
    <s v="EQUIPMENT"/>
    <s v="B"/>
    <s v="D"/>
    <s v="Downtime Opportunity"/>
    <s v="Hydraulic Dredge"/>
    <s v="Clutch (Stbd) (35CM500)"/>
    <s v="Pump, Dredge*Dredge Pump Gearbox*Clutch (Stbd) (35CM500)"/>
    <x v="3"/>
    <x v="0"/>
  </r>
  <r>
    <x v="1"/>
    <s v="0101"/>
    <s v="Clutch (Port) (35CM500) Quarterly Inspection"/>
    <s v="Clutch (Port) (35CM500)"/>
    <s v="EQUIPMENT"/>
    <s v="B"/>
    <s v="D"/>
    <s v="Downtime Opportunity"/>
    <s v="Hydraulic Dredge"/>
    <s v="Clutch (Port) (35CM500)"/>
    <s v="Pump, Dredge*Dredge Pump Gearbox*Clutch (Port) (35CM500)"/>
    <x v="3"/>
    <x v="0"/>
  </r>
  <r>
    <x v="1"/>
    <s v="0101"/>
    <s v="Clutch (Stbd) (35CM500) Annual Inspection"/>
    <s v="Clutch (Stbd) (35CM500)"/>
    <s v="EQUIPMENT"/>
    <s v="B"/>
    <s v="D"/>
    <s v="Downtime Opportunity"/>
    <s v="Hydraulic Dredge"/>
    <s v="Clutch (Stbd) (35CM500)"/>
    <s v="Pump, Dredge*Dredge Pump Gearbox*Clutch (Stbd) (35CM500)"/>
    <x v="3"/>
    <x v="0"/>
  </r>
  <r>
    <x v="1"/>
    <s v="0101"/>
    <s v="Clutch (Port) (35CM500) Annual Inspection"/>
    <s v="Clutch (Port) (35CM500)"/>
    <s v="EQUIPMENT"/>
    <s v="B"/>
    <s v="D"/>
    <s v="Downtime Opportunity"/>
    <s v="Hydraulic Dredge"/>
    <s v="Clutch (Port) (35CM500)"/>
    <s v="Pump, Dredge*Dredge Pump Gearbox*Clutch (Port) (35CM500)"/>
    <x v="3"/>
    <x v="0"/>
  </r>
  <r>
    <x v="1"/>
    <s v="0101"/>
    <s v="Thrust Bearing (LG-25) Quarterly PM/Inspection"/>
    <s v="Thrust Bearing (LG-25)"/>
    <s v="EQUIPMENT"/>
    <s v="B"/>
    <s v="D"/>
    <s v="Downtime Opportunity"/>
    <s v="Hydraulic Dredge"/>
    <s v="Thrust Bearing (LG-25)"/>
    <s v="Pump, Dredge*Shafting*Thrust Bearing (LG-25)"/>
    <x v="3"/>
    <x v="0"/>
  </r>
  <r>
    <x v="1"/>
    <s v="0101"/>
    <s v="Dredge Pump Engine (Stbd) (EMD 710) 700 HR PM"/>
    <s v="Dredge Pump Engine (Stbd) (EMD 710)"/>
    <s v="EQUIPMENT"/>
    <s v="B"/>
    <s v="D"/>
    <s v="Downtime Opportunity"/>
    <s v="Hydraulic Dredge"/>
    <s v="Dredge Pump Engine (Stbd) (EMD 710)"/>
    <s v="Pump, Dredge*Dredge Pump Engine (Stbd) (EMD 710)"/>
    <x v="3"/>
    <x v="0"/>
  </r>
  <r>
    <x v="1"/>
    <s v="0101"/>
    <s v="Dredge Pump Engine (Port) (EMD 710) 700 HR PM"/>
    <s v="Dredge Pump Engine (Port) (EMD 710)"/>
    <s v="EQUIPMENT"/>
    <s v="B"/>
    <s v="D"/>
    <s v="Downtime Opportunity"/>
    <s v="Hydraulic Dredge"/>
    <s v="Dredge Pump Engine (Port) (EMD 710)"/>
    <s v="Pump, Dredge*Dredge Pump Engine (Port) (EMD 710)"/>
    <x v="3"/>
    <x v="0"/>
  </r>
  <r>
    <x v="1"/>
    <s v="0101"/>
    <s v="M/G Engine 700 HR PM"/>
    <s v="Main Generator Engine (EMD 710)"/>
    <s v="EQUIPMENT"/>
    <s v="A"/>
    <s v="D"/>
    <s v="Downtime Opportunity"/>
    <s v="Hydraulic Dredge"/>
    <s v="Main Generator Engine (EMD 710)"/>
    <s v="Generators*Main Genset*Main Generator Engine (EMD 710)"/>
    <x v="4"/>
    <x v="0"/>
  </r>
  <r>
    <x v="1"/>
    <s v="0101"/>
    <s v="Dredge Pump Engine (Stbd) (EMD 710) 2000 HR PM/Inspection"/>
    <s v="Dredge Pump Engine (Stbd) (EMD 710)"/>
    <s v="EQUIPMENT"/>
    <s v="B"/>
    <s v="D"/>
    <s v="Downtime Opportunity"/>
    <s v="Hydraulic Dredge"/>
    <s v="Dredge Pump Engine (Stbd) (EMD 710)"/>
    <s v="Pump, Dredge*Dredge Pump Engine (Stbd) (EMD 710)"/>
    <x v="3"/>
    <x v="0"/>
  </r>
  <r>
    <x v="1"/>
    <s v="0101"/>
    <s v="Dredge Pump Engine (Port) (EMD 710) 2000 HR PM/Inspection"/>
    <s v="Dredge Pump Engine (Port) (EMD 710)"/>
    <s v="EQUIPMENT"/>
    <s v="B"/>
    <s v="D"/>
    <s v="Downtime Opportunity"/>
    <s v="Hydraulic Dredge"/>
    <s v="Dredge Pump Engine (Port) (EMD 710)"/>
    <s v="Pump, Dredge*Dredge Pump Engine (Port) (EMD 710)"/>
    <x v="3"/>
    <x v="0"/>
  </r>
  <r>
    <x v="1"/>
    <s v="0101"/>
    <s v="M/G Engine 2000 HR PM/Inspection"/>
    <s v="Main Generator Engine (EMD 710)"/>
    <s v="EQUIPMENT"/>
    <s v="A"/>
    <s v="D"/>
    <s v="Downtime Opportunity"/>
    <s v="Hydraulic Dredge"/>
    <s v="Main Generator Engine (EMD 710)"/>
    <s v="Generators*Main Genset*Main Generator Engine (EMD 710)"/>
    <x v="4"/>
    <x v="0"/>
  </r>
  <r>
    <x v="1"/>
    <s v="0101"/>
    <s v="Dredge Pump Engine (Stbd) (EMD 710) 4000 HR PM/Inspection"/>
    <s v="Dredge Pump Engine (Stbd) (EMD 710)"/>
    <s v="EQUIPMENT"/>
    <s v="B"/>
    <s v="D"/>
    <s v="Downtime Opportunity"/>
    <s v="Hydraulic Dredge"/>
    <s v="Dredge Pump Engine (Stbd) (EMD 710)"/>
    <s v="Pump, Dredge*Dredge Pump Engine (Stbd) (EMD 710)"/>
    <x v="3"/>
    <x v="0"/>
  </r>
  <r>
    <x v="1"/>
    <s v="0101"/>
    <s v="Dredge Pump Engine (Port) (EMD 710) 4000 HR PM/Inspection"/>
    <s v="Dredge Pump Engine (Port) (EMD 710)"/>
    <s v="EQUIPMENT"/>
    <s v="B"/>
    <s v="D"/>
    <s v="Downtime Opportunity"/>
    <s v="Hydraulic Dredge"/>
    <s v="Dredge Pump Engine (Port) (EMD 710)"/>
    <s v="Pump, Dredge*Dredge Pump Engine (Port) (EMD 710)"/>
    <x v="3"/>
    <x v="0"/>
  </r>
  <r>
    <x v="1"/>
    <s v="0101"/>
    <s v="M/G Engine 4000 HR PM/Inspection"/>
    <s v="Main Generator Engine (EMD 710)"/>
    <s v="EQUIPMENT"/>
    <s v="A"/>
    <s v="D"/>
    <s v="Downtime Opportunity"/>
    <s v="Hydraulic Dredge"/>
    <s v="Main Generator Engine (EMD 710)"/>
    <s v="Generators*Main Genset*Main Generator Engine (EMD 710)"/>
    <x v="4"/>
    <x v="0"/>
  </r>
  <r>
    <x v="1"/>
    <s v="0101"/>
    <s v="Dredge Pump Engine (Stbd) (EMD 710) 8000 HR PM/Inspection"/>
    <s v="Dredge Pump Engine (Stbd) (EMD 710)"/>
    <s v="EQUIPMENT"/>
    <s v="B"/>
    <s v="D"/>
    <s v="Downtime Opportunity"/>
    <s v="Hydraulic Dredge"/>
    <s v="Dredge Pump Engine (Stbd) (EMD 710)"/>
    <s v="Pump, Dredge*Dredge Pump Engine (Stbd) (EMD 710)"/>
    <x v="3"/>
    <x v="0"/>
  </r>
  <r>
    <x v="1"/>
    <s v="0101"/>
    <s v="Dredge Pump Engine (Port) (EMD 710) 8000 HR PM/Inspection"/>
    <s v="Dredge Pump Engine (Port) (EMD 710)"/>
    <s v="EQUIPMENT"/>
    <s v="B"/>
    <s v="D"/>
    <s v="Downtime Opportunity"/>
    <s v="Hydraulic Dredge"/>
    <s v="Dredge Pump Engine (Port) (EMD 710)"/>
    <s v="Pump, Dredge*Dredge Pump Engine (Port) (EMD 710)"/>
    <x v="3"/>
    <x v="0"/>
  </r>
  <r>
    <x v="1"/>
    <s v="0101"/>
    <s v="M/G Engine 8000 HR PM/Inspection"/>
    <s v="Main Generator Engine (EMD 710)"/>
    <s v="EQUIPMENT"/>
    <s v="A"/>
    <s v="D"/>
    <s v="Downtime Opportunity"/>
    <s v="Hydraulic Dredge"/>
    <s v="Main Generator Engine (EMD 710)"/>
    <s v="Generators*Main Genset*Main Generator Engine (EMD 710)"/>
    <x v="4"/>
    <x v="0"/>
  </r>
  <r>
    <x v="1"/>
    <s v="0101"/>
    <s v="Dredge Pump Engine (Stbd) (EMD 710) 16000 HR PM/Inspection"/>
    <s v="Dredge Pump Engine (Stbd) (EMD 710)"/>
    <s v="EQUIPMENT"/>
    <s v="B"/>
    <s v="D"/>
    <s v="Downtime Opportunity"/>
    <s v="Hydraulic Dredge"/>
    <s v="Dredge Pump Engine (Stbd) (EMD 710)"/>
    <s v="Pump, Dredge*Dredge Pump Engine (Stbd) (EMD 710)"/>
    <x v="3"/>
    <x v="0"/>
  </r>
  <r>
    <x v="1"/>
    <s v="0101"/>
    <s v="Dredge Pump Engine (Port) (EMD 710) 16000 HR PM/Inspection"/>
    <s v="Dredge Pump Engine (Port) (EMD 710)"/>
    <s v="EQUIPMENT"/>
    <s v="B"/>
    <s v="D"/>
    <s v="Downtime Opportunity"/>
    <s v="Hydraulic Dredge"/>
    <s v="Dredge Pump Engine (Port) (EMD 710)"/>
    <s v="Pump, Dredge*Dredge Pump Engine (Port) (EMD 710)"/>
    <x v="3"/>
    <x v="0"/>
  </r>
  <r>
    <x v="1"/>
    <s v="0101"/>
    <s v="M/G Engine 16000 HR PM/Inspection"/>
    <s v="Main Generator Engine (EMD 710)"/>
    <s v="EQUIPMENT"/>
    <s v="A"/>
    <s v="D"/>
    <s v="Downtime Opportunity"/>
    <s v="Hydraulic Dredge"/>
    <s v="Main Generator Engine (EMD 710)"/>
    <s v="Generators*Main Genset*Main Generator Engine (EMD 710)"/>
    <x v="4"/>
    <x v="0"/>
  </r>
  <r>
    <x v="1"/>
    <s v="0101"/>
    <s v="Spring Bearing (L-27) 1000 HR PM"/>
    <s v="Spring Bearing (L-27)"/>
    <s v="EQUIPMENT"/>
    <s v="B"/>
    <s v="D"/>
    <s v="Downtime Opportunity"/>
    <s v="Hydraulic Dredge"/>
    <s v="Spring Bearing (L-27)"/>
    <s v="Pump, Dredge*Shafting*Spring Bearing (L-27)"/>
    <x v="3"/>
    <x v="0"/>
  </r>
  <r>
    <x v="1"/>
    <s v="0101"/>
    <s v="Spring Bearing (L-27) 4000 HR PM/Inspection"/>
    <s v="Spring Bearing (L-27)"/>
    <s v="EQUIPMENT"/>
    <s v="B"/>
    <s v="D"/>
    <s v="Downtime Opportunity"/>
    <s v="Hydraulic Dredge"/>
    <s v="Spring Bearing (L-27)"/>
    <s v="Pump, Dredge*Shafting*Spring Bearing (L-27)"/>
    <x v="3"/>
    <x v="0"/>
  </r>
  <r>
    <x v="1"/>
    <s v="0101"/>
    <s v="Spring Bearing (L-27) 8000 HR PM (Job # 2)"/>
    <s v="Spring Bearing (L-27)"/>
    <s v="EQUIPMENT"/>
    <s v="B"/>
    <s v="D"/>
    <s v="Downtime Opportunity"/>
    <s v="Hydraulic Dredge"/>
    <s v="Spring Bearing (L-27)"/>
    <s v="Pump, Dredge*Shafting*Spring Bearing (L-27)"/>
    <x v="3"/>
    <x v="0"/>
  </r>
  <r>
    <x v="1"/>
    <s v="0101"/>
    <s v="Cold Start Generator Engine (Detroit 371) 500 HR PM"/>
    <s v="Cold Start Generator Engine (Detroit 371)"/>
    <s v="EQUIPMENT"/>
    <s v="A"/>
    <s v="D"/>
    <s v="Running Work List"/>
    <s v="Hydraulic Dredge"/>
    <s v="Cold Start Generator Engine (Detroit 371)"/>
    <s v="Generators*Cold Start Genset*Cold Start Generator Engine (Detroit 371)"/>
    <x v="4"/>
    <x v="0"/>
  </r>
  <r>
    <x v="1"/>
    <s v="0101"/>
    <s v="Cold Start Generator Engine (Detroit 371) 1000 HR PM"/>
    <s v="Cold Start Generator Engine (Detroit 371)"/>
    <s v="EQUIPMENT"/>
    <s v="A"/>
    <s v="D"/>
    <s v="Running Work List"/>
    <s v="Hydraulic Dredge"/>
    <s v="Cold Start Generator Engine (Detroit 371)"/>
    <s v="Generators*Cold Start Genset*Cold Start Generator Engine (Detroit 371)"/>
    <x v="4"/>
    <x v="0"/>
  </r>
  <r>
    <x v="1"/>
    <s v="0101"/>
    <s v="Cold Start Generator Engine (Detroit 371) 2000 HR PM/Inspection"/>
    <s v="Cold Start Generator Engine (Detroit 371)"/>
    <s v="EQUIPMENT"/>
    <s v="A"/>
    <s v="D"/>
    <s v="Running Work List"/>
    <s v="Hydraulic Dredge"/>
    <s v="Cold Start Generator Engine (Detroit 371)"/>
    <s v="Generators*Cold Start Genset*Cold Start Generator Engine (Detroit 371)"/>
    <x v="4"/>
    <x v="0"/>
  </r>
  <r>
    <x v="1"/>
    <s v="0101"/>
    <s v="Cold Start Generator Engine (Detroit 371) 5000 HR PM"/>
    <s v="Cold Start Generator Engine (Detroit 371)"/>
    <s v="EQUIPMENT"/>
    <s v="A"/>
    <s v="D"/>
    <s v="Running Work List"/>
    <s v="Hydraulic Dredge"/>
    <s v="Cold Start Generator Engine (Detroit 371)"/>
    <s v="Generators*Cold Start Genset*Cold Start Generator Engine (Detroit 371)"/>
    <x v="4"/>
    <x v="0"/>
  </r>
  <r>
    <x v="1"/>
    <s v="0101"/>
    <s v="Cold Start Generator Engine (Detroit 371) 10000 HR PM"/>
    <s v="Cold Start Generator Engine (Detroit 371)"/>
    <s v="EQUIPMENT"/>
    <s v="A"/>
    <s v="D"/>
    <s v="Running Work List"/>
    <s v="Hydraulic Dredge"/>
    <s v="Cold Start Generator Engine (Detroit 371)"/>
    <s v="Generators*Cold Start Genset*Cold Start Generator Engine (Detroit 371)"/>
    <x v="4"/>
    <x v="0"/>
  </r>
  <r>
    <x v="1"/>
    <s v="0101"/>
    <s v="Cold Start Generator Engine (Detroit 371) 25000 HR PM (Overhaul)"/>
    <s v="Cold Start Generator Engine (Detroit 371)"/>
    <s v="EQUIPMENT"/>
    <s v="A"/>
    <s v="D"/>
    <s v="Spares Rebuild"/>
    <s v="Hydraulic Dredge"/>
    <s v="Cold Start Generator Engine (Detroit 371)"/>
    <s v="Generators*Cold Start Genset*Cold Start Generator Engine (Detroit 371)"/>
    <x v="4"/>
    <x v="0"/>
  </r>
  <r>
    <x v="1"/>
    <s v="0101"/>
    <s v="Dredge Pump Engine (Stbd) (EMD 710) Inspection"/>
    <s v="Dredge Pump Engine (Stbd) (EMD 710)"/>
    <s v="EQUIPMENT"/>
    <s v="B"/>
    <s v="D"/>
    <s v="Downtime Opportunity"/>
    <s v="Hydraulic Dredge"/>
    <s v="Dredge Pump Engine (Stbd) (EMD 710)"/>
    <s v="Pump, Dredge*Dredge Pump Engine (Stbd) (EMD 710)"/>
    <x v="3"/>
    <x v="0"/>
  </r>
  <r>
    <x v="1"/>
    <s v="0101"/>
    <s v="Dredge Pump Engine (Port) (EMD 710) Inspection"/>
    <s v="Dredge Pump Engine (Port) (EMD 710)"/>
    <s v="EQUIPMENT"/>
    <s v="B"/>
    <s v="D"/>
    <s v="Downtime Opportunity"/>
    <s v="Hydraulic Dredge"/>
    <s v="Dredge Pump Engine (Port) (EMD 710)"/>
    <s v="Pump, Dredge*Dredge Pump Engine (Port) (EMD 710)"/>
    <x v="3"/>
    <x v="0"/>
  </r>
  <r>
    <x v="1"/>
    <s v="0101"/>
    <s v="M/G Engine Inspection"/>
    <s v="Main Generator Engine (EMD 710)"/>
    <s v="EQUIPMENT"/>
    <s v="A"/>
    <s v="D"/>
    <s v="Downtime Opportunity"/>
    <s v="Hydraulic Dredge"/>
    <s v="Main Generator Engine (EMD 710)"/>
    <s v="Generators*Main Genset*Main Generator Engine (EMD 710)"/>
    <x v="4"/>
    <x v="0"/>
  </r>
  <r>
    <x v="1"/>
    <s v="0101"/>
    <s v="Dredge Pump Engine (Stbd) (EMD 710) 30000 HR PM (Overhaul)"/>
    <s v="Dredge Pump Engine (Stbd) (EMD 710)"/>
    <s v="EQUIPMENT"/>
    <s v="B"/>
    <s v="D"/>
    <s v="Idle/Inactive Period"/>
    <s v="Hydraulic Dredge"/>
    <s v="Dredge Pump Engine (Stbd) (EMD 710)"/>
    <s v="Pump, Dredge*Dredge Pump Engine (Stbd) (EMD 710)"/>
    <x v="3"/>
    <x v="0"/>
  </r>
  <r>
    <x v="1"/>
    <s v="0101"/>
    <s v="Dredge Pump Engine (Port) (EMD 710) 30000 HR PM (Overhaul)"/>
    <s v="Dredge Pump Engine (Port) (EMD 710)"/>
    <s v="EQUIPMENT"/>
    <s v="B"/>
    <s v="D"/>
    <s v="Idle/Inactive Period"/>
    <s v="Hydraulic Dredge"/>
    <s v="Dredge Pump Engine (Port) (EMD 710)"/>
    <s v="Pump, Dredge*Dredge Pump Engine (Port) (EMD 710)"/>
    <x v="3"/>
    <x v="0"/>
  </r>
  <r>
    <x v="1"/>
    <s v="0101"/>
    <s v="M/G Engine 30000 HR PM (Overhaul)"/>
    <s v="Main Generator Engine (EMD 710)"/>
    <s v="EQUIPMENT"/>
    <s v="A"/>
    <s v="D"/>
    <s v="Idle/Inactive Period"/>
    <s v="Hydraulic Dredge"/>
    <s v="Main Generator Engine (EMD 710)"/>
    <s v="Generators*Main Genset*Main Generator Engine (EMD 710)"/>
    <x v="4"/>
    <x v="0"/>
  </r>
  <r>
    <x v="1"/>
    <s v="0101"/>
    <s v="Overhead Hoist (P/R) Monthly PM/Inspection"/>
    <s v="Overhead Hoist (P/R)"/>
    <s v="EQUIPMENT"/>
    <s v="D"/>
    <s v="A"/>
    <s v="Running Work List"/>
    <s v="Hydraulic Dredge"/>
    <s v="Overhead Hoist (P/R)"/>
    <s v="Crane/Hoists*Overhead Hoist (P/R)"/>
    <x v="7"/>
    <x v="0"/>
  </r>
  <r>
    <x v="1"/>
    <s v="0101"/>
    <s v="Overhead Hoist (E/R) Monthly PM/Inspection"/>
    <s v="Overhead Hoist (E/R)"/>
    <s v="EQUIPMENT"/>
    <s v="D"/>
    <s v="A"/>
    <s v="Running Work List"/>
    <s v="Hydraulic Dredge"/>
    <s v="Overhead Hoist (E/R)"/>
    <s v="Crane/Hoists*Overhead Hoist (E/R)"/>
    <x v="7"/>
    <x v="0"/>
  </r>
  <r>
    <x v="1"/>
    <s v="0101"/>
    <s v="Gland Seal Pump (#2) Quarterly PM/Inspection"/>
    <s v="Gland Seal Pump (#2)"/>
    <s v="EQUIPMENT"/>
    <s v="C"/>
    <s v="D"/>
    <s v="Running Work List"/>
    <s v="Hydraulic Dredge"/>
    <s v="Gland Seal Pump (#2)"/>
    <s v="Gland Seal*Gland Seal Pump Set (#2)*Gland Seal Pump (#2)"/>
    <x v="8"/>
    <x v="0"/>
  </r>
  <r>
    <x v="1"/>
    <s v="0101"/>
    <s v="Gland Seal  Pump  (#1) Quarterly PM/Inspection"/>
    <s v="Gland Seal  Pump  (#1)"/>
    <s v="EQUIPMENT"/>
    <s v="C"/>
    <s v="D"/>
    <s v="Running Work List"/>
    <s v="Hydraulic Dredge"/>
    <s v="Gland Seal  Pump  (#1)"/>
    <s v="Gland Seal*Gland Seal Pump Set (#1)*Gland Seal  Pump  (#1)"/>
    <x v="8"/>
    <x v="0"/>
  </r>
  <r>
    <x v="1"/>
    <s v="0101"/>
    <s v="Multi-Pak 2 Cyl. Air Cart Monthly Inspection"/>
    <s v="Multi-Pak 2 Cyl. Air Cart"/>
    <s v="EQUIPMENT"/>
    <s v="A"/>
    <s v="D"/>
    <s v="Regulatory Requirement"/>
    <s v="Hydraulic Dredge"/>
    <s v="Multi-Pak 2 Cyl. Air Cart"/>
    <s v="Safety Lifesaving*Multi-Pak 2 Cyl. Air Cart"/>
    <x v="1"/>
    <x v="0"/>
  </r>
  <r>
    <x v="1"/>
    <s v="0101"/>
    <s v="Multi-Pak 2 Cyl. Air Cart Annual Inspection"/>
    <s v="Multi-Pak 2 Cyl. Air Cart"/>
    <s v="EQUIPMENT"/>
    <s v="A"/>
    <s v="D"/>
    <s v="Regulatory Requirement"/>
    <s v="Hydraulic Dredge"/>
    <s v="Multi-Pak 2 Cyl. Air Cart"/>
    <s v="Safety Lifesaving*Multi-Pak 2 Cyl. Air Cart"/>
    <x v="1"/>
    <x v="0"/>
  </r>
  <r>
    <x v="1"/>
    <s v="0101"/>
    <s v="Multi-Pak 2 Cyl. Air Cart 4-Year Inspection"/>
    <s v="Multi-Pak 2 Cyl. Air Cart"/>
    <s v="EQUIPMENT"/>
    <s v="A"/>
    <s v="D"/>
    <s v="Regulatory Requirement"/>
    <s v="Hydraulic Dredge"/>
    <s v="Multi-Pak 2 Cyl. Air Cart"/>
    <s v="Safety Lifesaving*Multi-Pak 2 Cyl. Air Cart"/>
    <x v="1"/>
    <x v="0"/>
  </r>
  <r>
    <x v="1"/>
    <s v="0101"/>
    <s v="Tailshaft Removal"/>
    <s v="Tailshaft"/>
    <s v="EQUIPMENT"/>
    <s v="B"/>
    <s v="D"/>
    <s v="Downtime Opportunity"/>
    <s v="Hydraulic Dredge"/>
    <s v="Tailshaft"/>
    <s v="Cutter Machinery*Tailshaft"/>
    <x v="6"/>
    <x v="0"/>
  </r>
  <r>
    <x v="1"/>
    <s v="0101"/>
    <s v="Tailshaft Installation"/>
    <s v="Tailshaft"/>
    <s v="EQUIPMENT"/>
    <s v="B"/>
    <s v="D"/>
    <s v="Idle/Inactive Period"/>
    <s v="Hydraulic Dredge"/>
    <s v="Tailshaft"/>
    <s v="Cutter Machinery*Tailshaft"/>
    <x v="6"/>
    <x v="0"/>
  </r>
  <r>
    <x v="1"/>
    <s v="0101"/>
    <s v="Cutless Bearing Staves Renewal"/>
    <s v="Cutless Bearing"/>
    <s v="EQUIPMENT"/>
    <s v="B"/>
    <s v="D"/>
    <s v="To Be Captured"/>
    <s v="Hydraulic Dredge"/>
    <s v="Cutless Bearing"/>
    <s v="Cutter Machinery*Tailshaft*Cutless Bearing"/>
    <x v="6"/>
    <x v="1"/>
  </r>
  <r>
    <x v="1"/>
    <s v="0101"/>
    <s v="Tailshaft Rebuild"/>
    <s v="Tailshaft"/>
    <s v="EQUIPMENT"/>
    <s v="B"/>
    <s v="D"/>
    <s v="Idle/Inactive Period"/>
    <s v="Hydraulic Dredge"/>
    <s v="Tailshaft"/>
    <s v="Cutter Machinery*Tailshaft"/>
    <x v="6"/>
    <x v="0"/>
  </r>
  <r>
    <x v="1"/>
    <s v="0101"/>
    <s v="Main Dredge Pump Pressure/Flow Test"/>
    <s v="Dredge Pump"/>
    <s v="EQUIPMENT"/>
    <s v="B"/>
    <s v="D"/>
    <s v="Downtime Opportunity"/>
    <s v="Hydraulic Dredge"/>
    <s v="Dredge Pump"/>
    <s v="Pump, Dredge*Dredge Pump"/>
    <x v="3"/>
    <x v="0"/>
  </r>
  <r>
    <x v="1"/>
    <s v="0101"/>
    <s v="Main Generator Installation"/>
    <s v="Main Generator"/>
    <s v="EQUIPMENT"/>
    <s v="A"/>
    <s v="D"/>
    <s v="To Be Captured"/>
    <s v="Hydraulic Dredge"/>
    <s v="Main Generator"/>
    <s v="Generators*Main Genset*Main Generator"/>
    <x v="4"/>
    <x v="1"/>
  </r>
  <r>
    <x v="1"/>
    <s v="0101"/>
    <s v="Main Generator Alignment"/>
    <s v="Main Generator"/>
    <s v="EQUIPMENT"/>
    <s v="A"/>
    <s v="D"/>
    <s v="To Be Captured"/>
    <s v="Hydraulic Dredge"/>
    <s v="Main Generator"/>
    <s v="Generators*Main Genset*Main Generator"/>
    <x v="4"/>
    <x v="1"/>
  </r>
  <r>
    <x v="1"/>
    <s v="0101"/>
    <s v="Main Generator 60000 HR (Overhaul)"/>
    <s v="Main Generator"/>
    <s v="EQUIPMENT"/>
    <s v="A"/>
    <s v="C"/>
    <s v="Spares Rebuild"/>
    <s v="Hydraulic Dredge"/>
    <s v="Main Generator"/>
    <s v="Generators*Main Genset*Main Generator"/>
    <x v="4"/>
    <x v="0"/>
  </r>
  <r>
    <x v="1"/>
    <s v="0101"/>
    <s v="Service Air Compressor Set (Aft Hold) Semi-Annual PM/Inspection"/>
    <s v="Service Air Compressor Set (Aft Hold)"/>
    <s v="EQUIPMENT"/>
    <s v="C"/>
    <s v="D"/>
    <s v="Running Work List"/>
    <s v="Hydraulic Dredge"/>
    <s v="Service Air Compressor Set (Aft Hold)"/>
    <s v="Compressed Air*Service Air Compressor Set (Aft Hold)"/>
    <x v="10"/>
    <x v="0"/>
  </r>
  <r>
    <x v="1"/>
    <s v="0101"/>
    <s v="Start Air Compressor Set (#1) (Aft Hold) Semi-Annual PM/Inspection"/>
    <s v="Start Air Compressor Set (#1) (Aft Hold)"/>
    <s v="EQUIPMENT"/>
    <s v="C"/>
    <s v="D"/>
    <s v="Running Work List"/>
    <s v="Hydraulic Dredge"/>
    <s v="Start Air Compressor Set (#1) (Aft Hold)"/>
    <s v="Compressed Air*Start Air Compressor Set (#1) (Aft Hold)"/>
    <x v="10"/>
    <x v="0"/>
  </r>
  <r>
    <x v="1"/>
    <s v="0101"/>
    <s v="Start Air Compressor Set (#1) (Aft Hold) Annual PM/Inspection"/>
    <s v="Start Air Compressor Set (#1) (Aft Hold)"/>
    <s v="EQUIPMENT"/>
    <s v="C"/>
    <s v="D"/>
    <s v="Running Work List"/>
    <s v="Hydraulic Dredge"/>
    <s v="Start Air Compressor Set (#1) (Aft Hold)"/>
    <s v="Compressed Air*Start Air Compressor Set (#1) (Aft Hold)"/>
    <x v="10"/>
    <x v="0"/>
  </r>
  <r>
    <x v="1"/>
    <s v="0101"/>
    <s v="Start Air Compressor Set (#2) (Aft Hold) Semi-Annual PM/Inspection"/>
    <s v="Start Air Compressor Set (#2) (Aft Hold)"/>
    <s v="EQUIPMENT"/>
    <s v="C"/>
    <s v="D"/>
    <s v="Running Work List"/>
    <s v="Hydraulic Dredge"/>
    <s v="Start Air Compressor Set (#2) (Aft Hold)"/>
    <s v="Compressed Air*Start Air Compressor Set (#2) (Aft Hold)"/>
    <x v="10"/>
    <x v="0"/>
  </r>
  <r>
    <x v="1"/>
    <s v="0101"/>
    <s v="Start Air Compressor Set (#2) (Aft Hold) Annual PM/Inspection"/>
    <s v="Start Air Compressor Set (#2) (Aft Hold)"/>
    <s v="EQUIPMENT"/>
    <s v="C"/>
    <s v="D"/>
    <s v="Running Work List"/>
    <s v="Hydraulic Dredge"/>
    <s v="Start Air Compressor Set (#2) (Aft Hold)"/>
    <s v="Compressed Air*Start Air Compressor Set (#2) (Aft Hold)"/>
    <x v="10"/>
    <x v="0"/>
  </r>
  <r>
    <x v="1"/>
    <s v="0101"/>
    <s v="Start Air Compressor Set (#3) (Aft Hold) Semi-Annual PM/Inspection"/>
    <s v="Start Air Compressor Set (#3) (Aft Hold)"/>
    <s v="EQUIPMENT"/>
    <s v="C"/>
    <s v="D"/>
    <s v="Running Work List"/>
    <s v="Hydraulic Dredge"/>
    <s v="Start Air Compressor Set (#3) (Aft Hold)"/>
    <s v="Compressed Air*Start Air Compressor Set (#3) (Aft Hold)"/>
    <x v="10"/>
    <x v="0"/>
  </r>
  <r>
    <x v="1"/>
    <s v="0101"/>
    <s v="Start Air Compressor Set (#3) (Aft Hold) Annual PM/Inspection"/>
    <s v="Start Air Compressor Set (#3) (Aft Hold)"/>
    <s v="EQUIPMENT"/>
    <s v="C"/>
    <s v="D"/>
    <s v="Running Work List"/>
    <s v="Hydraulic Dredge"/>
    <s v="Start Air Compressor Set (#3) (Aft Hold)"/>
    <s v="Compressed Air*Start Air Compressor Set (#3) (Aft Hold)"/>
    <x v="10"/>
    <x v="0"/>
  </r>
  <r>
    <x v="1"/>
    <s v="0101"/>
    <s v="Air Tuggers Clean, Inspect, Test"/>
    <s v="Air Tuggers"/>
    <s v="EQUIPMENT"/>
    <s v="D"/>
    <s v="D"/>
    <s v="Downtime Opportunity"/>
    <s v="Hydraulic Dredge"/>
    <s v="Air Tuggers"/>
    <s v="Crane/Hoists*Air Tuggers"/>
    <x v="7"/>
    <x v="0"/>
  </r>
  <r>
    <x v="1"/>
    <s v="0101"/>
    <s v="Anchor Windlass Clean, Inspect, Test"/>
    <s v="Anchor Windlass"/>
    <s v="EQUIPMENT"/>
    <s v="D"/>
    <s v="D"/>
    <s v="Running Work List"/>
    <s v="Hydraulic Dredge"/>
    <s v="Anchor Windlass"/>
    <s v="Crane/Hoists*Anchor Windlass"/>
    <x v="7"/>
    <x v="0"/>
  </r>
  <r>
    <x v="1"/>
    <s v="0101"/>
    <s v="Deck Crane Monthly PM/Inspection"/>
    <s v="Deck Crane"/>
    <s v="EQUIPMENT"/>
    <s v="D"/>
    <s v="D"/>
    <s v="Running Work List"/>
    <s v="Hydraulic Dredge"/>
    <s v="Deck Crane"/>
    <s v="Crane/Hoists*Deck Crane"/>
    <x v="7"/>
    <x v="0"/>
  </r>
  <r>
    <x v="1"/>
    <s v="0101"/>
    <s v="Deck Crane Annual Inspection"/>
    <s v="Deck Crane"/>
    <s v="EQUIPMENT"/>
    <s v="D"/>
    <s v="D"/>
    <s v="Downtime Opportunity"/>
    <s v="Hydraulic Dredge"/>
    <s v="Deck Crane"/>
    <s v="Crane/Hoists*Deck Crane"/>
    <x v="7"/>
    <x v="0"/>
  </r>
  <r>
    <x v="1"/>
    <s v="0101"/>
    <s v="Overhead Hoist (E/R) Annual Inspection"/>
    <s v="Overhead Hoist (E/R)"/>
    <s v="EQUIPMENT"/>
    <s v="D"/>
    <s v="D"/>
    <s v="Regulatory Requirement"/>
    <s v="Hydraulic Dredge"/>
    <s v="Overhead Hoist (E/R)"/>
    <s v="Crane/Hoists*Overhead Hoist (E/R)"/>
    <x v="7"/>
    <x v="0"/>
  </r>
  <r>
    <x v="1"/>
    <s v="0101"/>
    <s v="Overhead Hoist (P/R) Annual Inspection"/>
    <s v="Overhead Hoist (P/R)"/>
    <s v="EQUIPMENT"/>
    <s v="D"/>
    <s v="D"/>
    <s v="Regulatory Requirement"/>
    <s v="Hydraulic Dredge"/>
    <s v="Overhead Hoist (P/R)"/>
    <s v="Crane/Hoists*Overhead Hoist (P/R)"/>
    <x v="7"/>
    <x v="0"/>
  </r>
  <r>
    <x v="1"/>
    <s v="0101"/>
    <s v="Cutter Gearbox 1000 HR Inspection"/>
    <s v="Cutter Gearbox"/>
    <s v="EQUIPMENT"/>
    <s v="B"/>
    <s v="D"/>
    <s v="Downtime Opportunity"/>
    <s v="Hydraulic Dredge"/>
    <s v="Cutter Gearbox"/>
    <s v="Cutter Machinery*Cutter Gearbox"/>
    <x v="6"/>
    <x v="0"/>
  </r>
  <r>
    <x v="1"/>
    <s v="0101"/>
    <s v="Cutter Gearbox 5000 HR Inspection"/>
    <s v="Cutter Gearbox"/>
    <s v="EQUIPMENT"/>
    <s v="B"/>
    <s v="D"/>
    <s v="To Be Written"/>
    <s v="Hydraulic Dredge"/>
    <s v="Cutter Gearbox"/>
    <s v="Cutter Machinery*Cutter Gearbox"/>
    <x v="6"/>
    <x v="1"/>
  </r>
  <r>
    <x v="1"/>
    <s v="0101"/>
    <s v="Cutter Motor (#1) (Port) 2500 HR PM"/>
    <s v="Cutter Motor (#1) (Port)"/>
    <s v="EQUIPMENT"/>
    <s v="B"/>
    <s v="D"/>
    <s v="Downtime Opportunity"/>
    <s v="Hydraulic Dredge"/>
    <s v="Cutter Motor (#1) (Port)"/>
    <s v="Cutter Machinery*Cutter Motor (#1) (Port)"/>
    <x v="6"/>
    <x v="0"/>
  </r>
  <r>
    <x v="1"/>
    <s v="0101"/>
    <s v="Cutter Motor (#2) (Stbd) 2500 HR PM"/>
    <s v="Cutter Motor (#2) (Stbd)"/>
    <s v="EQUIPMENT"/>
    <s v="B"/>
    <s v="D"/>
    <s v="Downtime Opportunity"/>
    <s v="Hydraulic Dredge"/>
    <s v="Cutter Motor (#2) (Stbd)"/>
    <s v="Cutter Machinery*Cutter Motor (#2) (Stbd)"/>
    <x v="6"/>
    <x v="0"/>
  </r>
  <r>
    <x v="1"/>
    <s v="0101"/>
    <s v="Cutter Motor (#1) (Port) 18000 HR PM (Overhaul)"/>
    <s v="Cutter Motor (#1) (Port)"/>
    <s v="EQUIPMENT"/>
    <s v="B"/>
    <s v="D"/>
    <s v="Spares Rebuild"/>
    <s v="Hydraulic Dredge"/>
    <s v="Cutter Motor (#1) (Port)"/>
    <s v="Cutter Machinery*Cutter Motor (#1) (Port)"/>
    <x v="6"/>
    <x v="0"/>
  </r>
  <r>
    <x v="1"/>
    <s v="0101"/>
    <s v="Cutter Motor (#2) (Stbd) 18000 HR PM (Overhaul)"/>
    <s v="Cutter Motor (#2) (Stbd)"/>
    <s v="EQUIPMENT"/>
    <s v="B"/>
    <s v="D"/>
    <s v="Spares Rebuild"/>
    <s v="Hydraulic Dredge"/>
    <s v="Cutter Motor (#2) (Stbd)"/>
    <s v="Cutter Machinery*Cutter Motor (#2) (Stbd)"/>
    <x v="6"/>
    <x v="0"/>
  </r>
  <r>
    <x v="1"/>
    <s v="0101"/>
    <s v="Cutter Motor (#1) (Port) Removal"/>
    <s v="Cutter Motor (#1) (Port)"/>
    <s v="EQUIPMENT"/>
    <s v="B"/>
    <s v="D"/>
    <s v="Downtime Opportunity"/>
    <s v="Hydraulic Dredge"/>
    <s v="Cutter Motor (#1) (Port)"/>
    <s v="Cutter Machinery*Cutter Motor (#1) (Port)"/>
    <x v="6"/>
    <x v="0"/>
  </r>
  <r>
    <x v="1"/>
    <s v="0101"/>
    <s v="Cutter Motor (#2) (Stbd) Removal"/>
    <s v="Cutter Motor (#2) (Stbd)"/>
    <s v="EQUIPMENT"/>
    <s v="B"/>
    <s v="D"/>
    <s v="Downtime Opportunity"/>
    <s v="Hydraulic Dredge"/>
    <s v="Cutter Motor (#2) (Stbd)"/>
    <s v="Cutter Machinery*Cutter Motor (#2) (Stbd)"/>
    <x v="6"/>
    <x v="0"/>
  </r>
  <r>
    <x v="1"/>
    <s v="0101"/>
    <s v="Cutter Motor (#1) (Port) Installation"/>
    <s v="Cutter Motor (#1) (Port)"/>
    <s v="EQUIPMENT"/>
    <s v="B"/>
    <s v="D"/>
    <s v="Downtime Opportunity"/>
    <s v="Hydraulic Dredge"/>
    <s v="Cutter Motor (#1) (Port)"/>
    <s v="Cutter Machinery*Cutter Motor (#1) (Port)"/>
    <x v="6"/>
    <x v="0"/>
  </r>
  <r>
    <x v="1"/>
    <s v="0101"/>
    <s v="Cutter Motor (#2) (Stbd) Installation"/>
    <s v="Cutter Motor (#2) (Stbd)"/>
    <s v="EQUIPMENT"/>
    <s v="B"/>
    <s v="D"/>
    <s v="Downtime Opportunity"/>
    <s v="Hydraulic Dredge"/>
    <s v="Cutter Motor (#2) (Stbd)"/>
    <s v="Cutter Machinery*Cutter Motor (#2) (Stbd)"/>
    <x v="6"/>
    <x v="0"/>
  </r>
  <r>
    <x v="1"/>
    <s v="0101"/>
    <s v="Cutter Motor (#1) (Port) Alignment"/>
    <s v="Cutter Motor (#1) (Port)"/>
    <s v="EQUIPMENT"/>
    <s v="B"/>
    <s v="D"/>
    <s v="To Be Captured"/>
    <s v="Hydraulic Dredge"/>
    <s v="Cutter Motor (#1) (Port)"/>
    <s v="Cutter Machinery*Cutter Motor (#1) (Port)"/>
    <x v="6"/>
    <x v="1"/>
  </r>
  <r>
    <x v="1"/>
    <s v="0101"/>
    <s v="Cutter Motor (#2) (Stbd) Alignment"/>
    <s v="Cutter Motor (#2) (Stbd)"/>
    <s v="EQUIPMENT"/>
    <s v="B"/>
    <s v="D"/>
    <s v="To Be Captured"/>
    <s v="Hydraulic Dredge"/>
    <s v="Cutter Motor (#2) (Stbd)"/>
    <s v="Cutter Machinery*Cutter Motor (#2) (Stbd)"/>
    <x v="6"/>
    <x v="1"/>
  </r>
  <r>
    <x v="1"/>
    <s v="0101"/>
    <s v="Radial Bearing (#1) 3000 HR PM"/>
    <s v="Radial Bearing (#1)"/>
    <s v="EQUIPMENT"/>
    <s v="B"/>
    <s v="D"/>
    <s v="Downtime Opportunity"/>
    <s v="Hydraulic Dredge"/>
    <s v="Radial Bearing (#1)"/>
    <s v="Cutter Machinery*Tailshaft*Radial Bearing (#1)"/>
    <x v="6"/>
    <x v="0"/>
  </r>
  <r>
    <x v="1"/>
    <s v="0101"/>
    <s v="Radial Bearing (#2) 3000 HR PM"/>
    <s v="Radial Bearing (#2)"/>
    <s v="EQUIPMENT"/>
    <s v="B"/>
    <s v="D"/>
    <s v="Downtime Opportunity"/>
    <s v="Hydraulic Dredge"/>
    <s v="Radial Bearing (#2)"/>
    <s v="Cutter Machinery*Intermediate Shaft (#1)*Radial Bearing (#2)"/>
    <x v="6"/>
    <x v="0"/>
  </r>
  <r>
    <x v="1"/>
    <s v="0101"/>
    <s v="Radial Bearing (#3) 3000 HR PM"/>
    <s v="Radial Bearing (#3)"/>
    <s v="EQUIPMENT"/>
    <s v="B"/>
    <s v="D"/>
    <s v="Downtime Opportunity"/>
    <s v="Hydraulic Dredge"/>
    <s v="Radial Bearing (#3)"/>
    <s v="Cutter Machinery*Intermediate Shaft (#1)*Radial Bearing (#3)"/>
    <x v="6"/>
    <x v="0"/>
  </r>
  <r>
    <x v="1"/>
    <s v="0101"/>
    <s v="Radial Bearing (#4) 3000 HR PM"/>
    <s v="Radial Bearing (#4)"/>
    <s v="EQUIPMENT"/>
    <s v="B"/>
    <s v="D"/>
    <s v="Downtime Opportunity"/>
    <s v="Hydraulic Dredge"/>
    <s v="Radial Bearing (#4)"/>
    <s v="Cutter Machinery*Intermediate Shaft (#2)*Radial Bearing (#4)"/>
    <x v="6"/>
    <x v="0"/>
  </r>
  <r>
    <x v="1"/>
    <s v="0101"/>
    <s v="Radial Bearing (#5) 3000 HR PM"/>
    <s v="Radial Bearing (#5)"/>
    <s v="EQUIPMENT"/>
    <s v="B"/>
    <s v="D"/>
    <s v="Downtime Opportunity"/>
    <s v="Hydraulic Dredge"/>
    <s v="Radial Bearing (#5)"/>
    <s v="Cutter Machinery*Intermediate Shaft (#2)*Radial Bearing (#5)"/>
    <x v="6"/>
    <x v="0"/>
  </r>
  <r>
    <x v="1"/>
    <s v="0101"/>
    <s v="Radial Bearing (#6) 3000 HR PM"/>
    <s v="Radial Bearing (#6)"/>
    <s v="EQUIPMENT"/>
    <s v="B"/>
    <s v="D"/>
    <s v="Downtime Opportunity"/>
    <s v="Hydraulic Dredge"/>
    <s v="Radial Bearing (#6)"/>
    <s v="Cutter Machinery*Thrust Bearing Assembly*Radial Bearing (#6)"/>
    <x v="6"/>
    <x v="0"/>
  </r>
  <r>
    <x v="1"/>
    <s v="0101"/>
    <s v="Gen-Purpose (5-Blade) Blade Change"/>
    <s v="Gen-Purpose (5-Blade)"/>
    <s v="EQUIPMENT"/>
    <s v="C"/>
    <s v="D"/>
    <s v="To Be Captured"/>
    <s v="Hydraulic Dredge"/>
    <s v="Gen-Purpose (5-Blade)"/>
    <s v="Cutterheads*Gen-Purpose (5-Blade)"/>
    <x v="20"/>
    <x v="1"/>
  </r>
  <r>
    <x v="1"/>
    <s v="0101"/>
    <s v="Gen-Purpose (6-Blade) Blade Change"/>
    <s v="Gen-Purpose (6-Blade)"/>
    <s v="EQUIPMENT"/>
    <s v="C"/>
    <s v="D"/>
    <s v="To Be Captured"/>
    <s v="Hydraulic Dredge"/>
    <s v="Gen-Purpose (6-Blade)"/>
    <s v="Cutterheads*Gen-Purpose (6-Blade)"/>
    <x v="20"/>
    <x v="1"/>
  </r>
  <r>
    <x v="1"/>
    <s v="0101"/>
    <s v="Alarms and Back Up Batteries Quarterly Inspect/Test"/>
    <s v="Alarms and Back Up Batteries"/>
    <s v="EQUIPMENT"/>
    <s v="C"/>
    <s v="D"/>
    <s v="Downtime Opportunity"/>
    <s v="Hydraulic Dredge"/>
    <s v="Alarms and Back Up Batteries"/>
    <s v="Electrical*Alarms and Back Up Batteries"/>
    <x v="9"/>
    <x v="0"/>
  </r>
  <r>
    <x v="1"/>
    <s v="0101"/>
    <s v="General Alarm System Quarterly Inspect/Test"/>
    <s v="General Alarm System"/>
    <s v="EQUIPMENT"/>
    <s v="A"/>
    <s v="D"/>
    <s v="To Be Written"/>
    <s v="Hydraulic Dredge"/>
    <s v="General Alarm System"/>
    <s v="Electrical*Alarms and Back Up Batteries*General Alarm System"/>
    <x v="9"/>
    <x v="1"/>
  </r>
  <r>
    <x v="1"/>
    <s v="0101"/>
    <s v="Battery Chargers/Power Supplies Quarterly Inspection"/>
    <s v="Battery Chargers/Power Supplies"/>
    <s v="EQUIPMENT"/>
    <s v="D"/>
    <s v="D"/>
    <s v="Running Work List"/>
    <s v="Hydraulic Dredge"/>
    <s v="Battery Chargers/Power Supplies"/>
    <s v="Electrical*Battery Chargers/Power Supplies"/>
    <x v="9"/>
    <x v="0"/>
  </r>
  <r>
    <x v="1"/>
    <s v="0101"/>
    <s v="Main Switchboard Annual Clean/Inspect"/>
    <s v="Main Switchboard"/>
    <s v="EQUIPMENT"/>
    <s v="B"/>
    <s v="D"/>
    <s v="To Be Written"/>
    <s v="Hydraulic Dredge"/>
    <s v="Main Switchboard"/>
    <s v="Electrical*Main Switchboard"/>
    <x v="9"/>
    <x v="1"/>
  </r>
  <r>
    <x v="1"/>
    <s v="0101"/>
    <s v="Motor Control Center Annual Clean/Inspect"/>
    <s v="Motor Control Center"/>
    <s v="EQUIPMENT"/>
    <s v="B"/>
    <s v="D"/>
    <s v="To Be Written"/>
    <s v="Hydraulic Dredge"/>
    <s v="Motor Control Center"/>
    <s v="Electrical*Motor Control Center"/>
    <x v="9"/>
    <x v="1"/>
  </r>
  <r>
    <x v="1"/>
    <s v="0101"/>
    <s v="F/O Transfer Pump Set (#1) Annual Clean/Inspect"/>
    <s v="F/O Transfer Pump Set (#1)"/>
    <s v="EQUIPMENT"/>
    <s v="D"/>
    <s v="D"/>
    <s v="Running Work List"/>
    <s v="Hydraulic Dredge"/>
    <s v="F/O Transfer Pump Set (#1)"/>
    <s v="Fuel Oil Transfer*F/O Transfer Pump Set (#1)"/>
    <x v="12"/>
    <x v="0"/>
  </r>
  <r>
    <x v="1"/>
    <s v="0101"/>
    <s v="F/O Transfer Pump Set (#2) Annual Clean/Inspect"/>
    <s v="F/O Transfer Pump Set (#2)"/>
    <s v="EQUIPMENT"/>
    <s v="D"/>
    <s v="D"/>
    <s v="Running Work List"/>
    <s v="Hydraulic Dredge"/>
    <s v="F/O Transfer Pump Set (#2)"/>
    <s v="Fuel Oil Transfer*F/O Transfer Pump Set (#2)"/>
    <x v="12"/>
    <x v="0"/>
  </r>
  <r>
    <x v="1"/>
    <s v="0101"/>
    <s v="Ice Maker Quarterly Clean/Inspect"/>
    <s v="Ice Maker"/>
    <s v="EQUIPMENT"/>
    <s v="D"/>
    <s v="D"/>
    <s v="Running Work List"/>
    <s v="Hydraulic Dredge"/>
    <s v="Ice Maker"/>
    <s v="Galley Equipment*Ice Maker"/>
    <x v="22"/>
    <x v="0"/>
  </r>
  <r>
    <x v="1"/>
    <s v="0101"/>
    <s v="Gland Seal Pump Set (#1) Annual Clean/Inspect"/>
    <s v="Gland Seal Pump Set (#1)"/>
    <s v="EQUIPMENT"/>
    <s v="C"/>
    <s v="D"/>
    <s v="Running Work List"/>
    <s v="Hydraulic Dredge"/>
    <s v="Gland Seal Pump Set (#1)"/>
    <s v="Gland Seal*Gland Seal Pump Set (#1)"/>
    <x v="8"/>
    <x v="0"/>
  </r>
  <r>
    <x v="1"/>
    <s v="0101"/>
    <s v="Gland Seal Pump Set (#2) Annual Clean/Inspect"/>
    <s v="Gland Seal Pump Set (#2)"/>
    <s v="EQUIPMENT"/>
    <s v="C"/>
    <s v="D"/>
    <s v="Running Work List"/>
    <s v="Hydraulic Dredge"/>
    <s v="Gland Seal Pump Set (#2)"/>
    <s v="Gland Seal*Gland Seal Pump Set (#2)"/>
    <x v="8"/>
    <x v="0"/>
  </r>
  <r>
    <x v="1"/>
    <s v="0101"/>
    <s v="Watertight Doors/Hatches Semi-Annual Inspection"/>
    <s v="Watertight Doors/Hatches"/>
    <s v="EQUIPMENT"/>
    <s v="A"/>
    <s v="D"/>
    <s v="Running Work List"/>
    <s v="Hydraulic Dredge"/>
    <s v="Watertight Doors/Hatches"/>
    <s v="Hull/Structure*Watertight Doors/Hatches"/>
    <x v="23"/>
    <x v="0"/>
  </r>
  <r>
    <x v="1"/>
    <s v="0101"/>
    <s v="A/C Unit (2400 Volt MCC) Semi-Annual Inspection"/>
    <s v="A/C Unit (2400 Volt MCC)"/>
    <s v="EQUIPMENT"/>
    <s v="D"/>
    <s v="D"/>
    <s v="Running Work List"/>
    <s v="Hydraulic Dredge"/>
    <s v="A/C Unit (2400 Volt MCC)"/>
    <s v="HVAC*A/C Unit (2400 Volt MCC)"/>
    <x v="13"/>
    <x v="0"/>
  </r>
  <r>
    <x v="1"/>
    <s v="0101"/>
    <s v="A/C Unit (480 Volt MCC) Semi-Annual Inspection"/>
    <s v="A/C Unit (480 Volt MCC)"/>
    <s v="EQUIPMENT"/>
    <s v="D"/>
    <s v="D"/>
    <s v="Running Work List"/>
    <s v="Hydraulic Dredge"/>
    <s v="A/C Unit (480 Volt MCC)"/>
    <s v="HVAC*A/C Unit (480 Volt MCC)"/>
    <x v="13"/>
    <x v="0"/>
  </r>
  <r>
    <x v="1"/>
    <s v="0101"/>
    <s v="A/C Unit, Control Room Semi-Annual Inspection"/>
    <s v="A/C Unit, Control Room"/>
    <s v="EQUIPMENT"/>
    <s v="D"/>
    <s v="D"/>
    <s v="Running Work List"/>
    <s v="Hydraulic Dredge"/>
    <s v="A/C Unit, Control Room"/>
    <s v="HVAC*A/C Unit, Control Room"/>
    <x v="13"/>
    <x v="0"/>
  </r>
  <r>
    <x v="1"/>
    <s v="0101"/>
    <s v="A/C Unit, Galley Semi-Annual Inspection"/>
    <s v="A/C Unit, Galley"/>
    <s v="EQUIPMENT"/>
    <s v="D"/>
    <s v="D"/>
    <s v="Running Work List"/>
    <s v="Hydraulic Dredge"/>
    <s v="A/C Unit, Galley"/>
    <s v="HVAC*A/C Unit, Galley"/>
    <x v="13"/>
    <x v="0"/>
  </r>
  <r>
    <x v="1"/>
    <s v="0101"/>
    <s v="A/C Unit, Ladder Drive SCR Semi-Annual Inspection"/>
    <s v="A/C Unit, Ladder Drive SCR"/>
    <s v="EQUIPMENT"/>
    <s v="D"/>
    <s v="D"/>
    <s v="Downtime Opportunity"/>
    <s v="Hydraulic Dredge"/>
    <s v="A/C Unit, Ladder Drive SCR"/>
    <s v="HVAC*A/C Unit, Ladder Drive SCR"/>
    <x v="13"/>
    <x v="0"/>
  </r>
  <r>
    <x v="1"/>
    <s v="0101"/>
    <s v="A/C Unit, Lever Room Semi-Annual Inspection"/>
    <s v="A/C Unit, Lever Room"/>
    <s v="EQUIPMENT"/>
    <s v="D"/>
    <s v="D"/>
    <s v="Running Work List"/>
    <s v="Hydraulic Dredge"/>
    <s v="A/C Unit, Lever Room"/>
    <s v="HVAC*A/C Unit, Lever Room"/>
    <x v="13"/>
    <x v="0"/>
  </r>
  <r>
    <x v="1"/>
    <s v="0101"/>
    <s v="A/C Unit, Main Semi-Annual Inspection"/>
    <s v="A/C Unit, Main"/>
    <s v="EQUIPMENT"/>
    <s v="D"/>
    <s v="D"/>
    <s v="Running Work List"/>
    <s v="Hydraulic Dredge"/>
    <s v="A/C Unit, Main"/>
    <s v="HVAC*A/C Unit, Main"/>
    <x v="13"/>
    <x v="0"/>
  </r>
  <r>
    <x v="1"/>
    <s v="0101"/>
    <s v="Vent, Exhaust (Port) Annual Clean/Inspect"/>
    <s v="Vent, Exhaust (Port)"/>
    <s v="EQUIPMENT"/>
    <s v="D"/>
    <s v="D"/>
    <s v="Running Work List"/>
    <s v="Hydraulic Dredge"/>
    <s v="Vent, Exhaust (Port)"/>
    <s v="HVAC*Vent, Exhaust (Port)"/>
    <x v="13"/>
    <x v="0"/>
  </r>
  <r>
    <x v="1"/>
    <s v="0101"/>
    <s v="Vent, Exhaust (Stbd) (Output) Annual Clean/Inspect"/>
    <s v="Vent, Exhaust (Stbd)"/>
    <s v="EQUIPMENT"/>
    <s v="D"/>
    <s v="D"/>
    <s v="Running Work List"/>
    <s v="Hydraulic Dredge"/>
    <s v="Vent, Exhaust (Stbd)"/>
    <s v="HVAC*Vent, Exhaust (Stbd)"/>
    <x v="13"/>
    <x v="0"/>
  </r>
  <r>
    <x v="1"/>
    <s v="0101"/>
    <s v="Vent, Intake, Lower (E/R) (Port) Annual Clean/Inspect"/>
    <s v="Vent, Intake, Lower (E/R) (Port)"/>
    <s v="EQUIPMENT"/>
    <s v="D"/>
    <s v="D"/>
    <s v="Running Work List"/>
    <s v="Hydraulic Dredge"/>
    <s v="Vent, Intake, Lower (E/R) (Port)"/>
    <s v="HVAC*Vent, Intake, Lower (E/R) (Port)"/>
    <x v="13"/>
    <x v="0"/>
  </r>
  <r>
    <x v="1"/>
    <s v="0101"/>
    <s v="Vent, Intake, Lower (E/R) (Stbd) Annual Clean/Inspect"/>
    <s v="Vent, Intake, Lower (E/R) (Stbd)"/>
    <s v="EQUIPMENT"/>
    <s v="D"/>
    <s v="D"/>
    <s v="Running Work List"/>
    <s v="Hydraulic Dredge"/>
    <s v="Vent, Intake, Lower (E/R) (Stbd)"/>
    <s v="HVAC*Vent, Intake, Lower (E/R) (Stbd)"/>
    <x v="13"/>
    <x v="0"/>
  </r>
  <r>
    <x v="1"/>
    <s v="0101"/>
    <s v="Vent, (Port) (Fwd) Annual Clean/Inspect"/>
    <s v="Vent, (Port) (Fwd)"/>
    <s v="EQUIPMENT"/>
    <s v="D"/>
    <s v="D"/>
    <s v="Running Work List"/>
    <s v="Hydraulic Dredge"/>
    <s v="Vent, (Port) (Fwd)"/>
    <s v="HVAC*Vent, (Port) (Fwd)"/>
    <x v="13"/>
    <x v="0"/>
  </r>
  <r>
    <x v="1"/>
    <s v="0101"/>
    <s v="Hydraulic Power Unit (Kawasaki) Annual Clean/Inspect/Test"/>
    <s v="Hydraulic Power Unit (Kawasaki)"/>
    <s v="EQUIPMENT"/>
    <s v="D"/>
    <s v="D"/>
    <s v="To Be Written"/>
    <s v="Hydraulic Dredge"/>
    <s v="Hydraulic Power Unit (Kawasaki)"/>
    <s v="Hydraulic Systems*Hydraulic Power Unit (Kawasaki)"/>
    <x v="14"/>
    <x v="1"/>
  </r>
  <r>
    <x v="1"/>
    <s v="0101"/>
    <s v="Crown Block Semi-Annual Inspection"/>
    <s v="Block, Crown"/>
    <s v="EQUIPMENT"/>
    <s v="B"/>
    <s v="D"/>
    <s v="Downtime Opportunity"/>
    <s v="Hydraulic Dredge"/>
    <s v="Block, Crown"/>
    <s v="Ladder System*Block, Crown"/>
    <x v="5"/>
    <x v="0"/>
  </r>
  <r>
    <x v="1"/>
    <s v="0101"/>
    <s v="Travel Block Semi-Annual Inspection"/>
    <s v="Block, Traveling"/>
    <s v="EQUIPMENT"/>
    <s v="B"/>
    <s v="D"/>
    <s v="Downtime Opportunity"/>
    <s v="Hydraulic Dredge"/>
    <s v="Block, Traveling"/>
    <s v="Ladder System*Block, Traveling"/>
    <x v="5"/>
    <x v="0"/>
  </r>
  <r>
    <x v="1"/>
    <s v="0101"/>
    <s v="Crown Block Overhaul"/>
    <s v="Block, Crown"/>
    <s v="EQUIPMENT"/>
    <s v="B"/>
    <s v="D"/>
    <s v="Spares Rebuild"/>
    <s v="Hydraulic Dredge"/>
    <s v="Block, Crown"/>
    <s v="Ladder System*Block, Crown"/>
    <x v="5"/>
    <x v="0"/>
  </r>
  <r>
    <x v="1"/>
    <s v="0101"/>
    <s v="Travel Block Overhaul"/>
    <s v="Block, Traveling"/>
    <s v="EQUIPMENT"/>
    <s v="B"/>
    <s v="D"/>
    <s v="Downtime Opportunity"/>
    <s v="Hydraulic Dredge"/>
    <s v="Block, Traveling"/>
    <s v="Ladder System*Block, Traveling"/>
    <x v="5"/>
    <x v="0"/>
  </r>
  <r>
    <x v="1"/>
    <s v="0101"/>
    <s v="Drive, SCR (Ladder Hoist) Annual Clean/Inspect"/>
    <s v="Drive, SCR (Ladder Hoist)"/>
    <s v="EQUIPMENT"/>
    <s v="B"/>
    <s v="D"/>
    <s v="Downtime Opportunity"/>
    <s v="Hydraulic Dredge"/>
    <s v="Drive, SCR (Ladder Hoist)"/>
    <s v="Ladder System*Drive, SCR (Ladder Hoist)"/>
    <x v="5"/>
    <x v="0"/>
  </r>
  <r>
    <x v="1"/>
    <s v="0101"/>
    <s v="Ladder Hoist Winch Brake Inspection/Adjust"/>
    <s v="Ladder Hoist Winch"/>
    <s v="EQUIPMENT"/>
    <s v="B"/>
    <s v="D"/>
    <s v="Downtime Opportunity"/>
    <s v="Hydraulic Dredge"/>
    <s v="Ladder Hoist Winch"/>
    <s v="Ladder System*Ladder Hoist Winch"/>
    <x v="5"/>
    <x v="0"/>
  </r>
  <r>
    <x v="1"/>
    <s v="0101"/>
    <s v="Ladder Hoist Winch Brake/Frict Band Change"/>
    <s v="Ladder Hoist Winch"/>
    <s v="EQUIPMENT"/>
    <s v="B"/>
    <s v="D"/>
    <s v="To Be Captured"/>
    <s v="Hydraulic Dredge"/>
    <s v="Ladder Hoist Winch"/>
    <s v="Ladder System*Ladder Hoist Winch"/>
    <x v="5"/>
    <x v="1"/>
  </r>
  <r>
    <x v="1"/>
    <s v="0101"/>
    <s v="Ladder Hoist Winch Quarterly Wire Change"/>
    <s v="Ladder Hoist Winch"/>
    <s v="EQUIPMENT"/>
    <s v="B"/>
    <s v="D"/>
    <s v="Downtime Opportunity"/>
    <s v="Hydraulic Dredge"/>
    <s v="Ladder Hoist Winch"/>
    <s v="Ladder System*Ladder Hoist Winch"/>
    <x v="5"/>
    <x v="0"/>
  </r>
  <r>
    <x v="1"/>
    <s v="0101"/>
    <s v="Jacking Gear Annual Inspect/Grease"/>
    <s v="Jacking Gear"/>
    <s v="EQUIPMENT"/>
    <s v="C"/>
    <s v="D"/>
    <s v="Downtime Opportunity"/>
    <s v="Hydraulic Dredge"/>
    <s v="Jacking Gear"/>
    <s v="Ladder System*Ladder Hoist Winch*Jacking Gear"/>
    <x v="5"/>
    <x v="0"/>
  </r>
  <r>
    <x v="1"/>
    <s v="0101"/>
    <s v="Ladder Hoist Motor (250 HP) Annual Clean/Inspect"/>
    <s v="Ladder Hoist Motor (250 HP)"/>
    <s v="EQUIPMENT"/>
    <s v="B"/>
    <s v="D"/>
    <s v="Downtime Opportunity"/>
    <s v="Hydraulic Dredge"/>
    <s v="Ladder Hoist Motor (250 HP)"/>
    <s v="Ladder System*Ladder Hoist Winch*Ladder Hoist Motor (250 HP)"/>
    <x v="5"/>
    <x v="0"/>
  </r>
  <r>
    <x v="1"/>
    <s v="0101"/>
    <s v="Reduction Gear Annual Inspection"/>
    <s v="Reduction Gear"/>
    <s v="EQUIPMENT"/>
    <s v="B"/>
    <s v="D"/>
    <s v="To Be Written"/>
    <s v="Hydraulic Dredge"/>
    <s v="Reduction Gear"/>
    <s v="Ladder System*Ladder Hoist Winch*Reduction Gear"/>
    <x v="5"/>
    <x v="1"/>
  </r>
  <r>
    <x v="1"/>
    <s v="0101"/>
    <s v="Ladder Trunnion Move to Upper Trunnion"/>
    <s v="Ladder Trunnion"/>
    <s v="EQUIPMENT"/>
    <s v="B"/>
    <s v="D"/>
    <s v="Downtime Opportunity"/>
    <s v="Hydraulic Dredge"/>
    <s v="Ladder Trunnion"/>
    <s v="Ladder System*Ladder*Ladder Trunnion"/>
    <x v="5"/>
    <x v="0"/>
  </r>
  <r>
    <x v="1"/>
    <s v="0101"/>
    <s v="Deck Trunnion Move to Lower Trunnion"/>
    <s v="Deck Trunnion"/>
    <s v="EQUIPMENT"/>
    <s v="B"/>
    <s v="D"/>
    <s v="Downtime Opportunity"/>
    <s v="Hydraulic Dredge"/>
    <s v="Deck Trunnion"/>
    <s v="Ladder System*Ladder*Ladder Trunnion*Deck Trunnion"/>
    <x v="5"/>
    <x v="0"/>
  </r>
  <r>
    <x v="1"/>
    <s v="0101"/>
    <s v="Drive Cabinet (Cutter/Swing) Annual Clean/Inspect"/>
    <s v="Drive Cabinet (Cutter/Swing)"/>
    <s v="EQUIPMENT"/>
    <s v="D"/>
    <s v="D"/>
    <s v="Downtime Opportunity"/>
    <s v="Hydraulic Dredge"/>
    <s v="Drive Cabinet (Cutter/Swing)"/>
    <s v="MG Set (Cutter/Swing)*Drive Cabinet (Cutter/Swing)"/>
    <x v="24"/>
    <x v="0"/>
  </r>
  <r>
    <x v="1"/>
    <s v="0101"/>
    <s v="Soft Start, Synchronous Motor Annual Clean/Inspect"/>
    <s v="Soft Start, Synchronous Motor"/>
    <s v="EQUIPMENT"/>
    <s v="D"/>
    <s v="D"/>
    <s v="Downtime Opportunity"/>
    <s v="Hydraulic Dredge"/>
    <s v="Soft Start, Synchronous Motor"/>
    <s v="MG Set (Cutter/Swing)*Soft Start, Synchronous Motor"/>
    <x v="24"/>
    <x v="0"/>
  </r>
  <r>
    <x v="1"/>
    <s v="0101"/>
    <s v="Cutter Generator Annual Clean/Inspect"/>
    <s v="Cutter Generator"/>
    <s v="EQUIPMENT"/>
    <s v="B"/>
    <s v="D"/>
    <s v="Downtime Opportunity"/>
    <s v="Hydraulic Dredge"/>
    <s v="Cutter Generator"/>
    <s v="MG Set (Cutter/Swing)*Synchronous Motor (2000 HP)*Cutter Generator"/>
    <x v="24"/>
    <x v="0"/>
  </r>
  <r>
    <x v="1"/>
    <s v="0101"/>
    <s v="Swing Generator Annual Clean/Inspect"/>
    <s v="Swing Generator"/>
    <s v="EQUIPMENT"/>
    <s v="B"/>
    <s v="D"/>
    <s v="Downtime Opportunity"/>
    <s v="Hydraulic Dredge"/>
    <s v="Swing Generator"/>
    <s v="MG Set (Cutter/Swing)*Synchronous Motor (2000 HP)*Swing Generator"/>
    <x v="24"/>
    <x v="0"/>
  </r>
  <r>
    <x v="1"/>
    <s v="0101"/>
    <s v="Hardware &amp; Gaskets (30&quot;) Inspect/Sound"/>
    <s v="Hardware &amp; Gaskets (30&quot;)"/>
    <s v="EQUIPMENT"/>
    <s v="D"/>
    <s v="D"/>
    <s v="To Be Captured"/>
    <s v="Hydraulic Dredge"/>
    <s v="Hardware &amp; Gaskets (30&quot;)"/>
    <s v="Piping (Dredge)*Hardware &amp; Gaskets (30&quot;)"/>
    <x v="25"/>
    <x v="1"/>
  </r>
  <r>
    <x v="1"/>
    <s v="0101"/>
    <s v="Suction Pipe &amp; Hose (34&quot;) Inspect/Sound"/>
    <s v="Suction Pipe &amp; Hose (34&quot;)"/>
    <s v="EQUIPMENT"/>
    <s v="D"/>
    <s v="D"/>
    <s v="To Be Captured"/>
    <s v="Hydraulic Dredge"/>
    <s v="Suction Pipe &amp; Hose (34&quot;)"/>
    <s v="Piping (Dredge)*Suction Pipe &amp; Hose (34&quot;)"/>
    <x v="25"/>
    <x v="1"/>
  </r>
  <r>
    <x v="1"/>
    <s v="0101"/>
    <s v="Vacuum Relief Valve, Hydraulic (IHC) Annual Inspection"/>
    <s v="Vacuum Relief Valve, Hydraulic (IHC)"/>
    <s v="EQUIPMENT"/>
    <s v="D"/>
    <s v="D"/>
    <s v="Downtime Opportunity"/>
    <s v="Hydraulic Dredge"/>
    <s v="Vacuum Relief Valve, Hydraulic (IHC)"/>
    <s v="Piping (Dredge)*Suction Pipe &amp; Hose (34&quot;)*Vacuum Relief Valve, Hydraulic (IHC)"/>
    <x v="25"/>
    <x v="0"/>
  </r>
  <r>
    <x v="1"/>
    <s v="0101"/>
    <s v="Density Pre-Job Start-up Test"/>
    <s v="Density"/>
    <s v="EQUIPMENT"/>
    <s v="C"/>
    <s v="D"/>
    <s v="To Be Captured"/>
    <s v="Hydraulic Dredge"/>
    <s v="Density"/>
    <s v="Production Instrumentation/Monitoring*Density"/>
    <x v="26"/>
    <x v="1"/>
  </r>
  <r>
    <x v="1"/>
    <s v="0101"/>
    <s v="Positioning Pre-Job Start-up Test"/>
    <s v="Positioning"/>
    <s v="EQUIPMENT"/>
    <s v="C"/>
    <s v="D"/>
    <s v="To Be Captured"/>
    <s v="Hydraulic Dredge"/>
    <s v="Positioning"/>
    <s v="Production Instrumentation/Monitoring*Positioning"/>
    <x v="26"/>
    <x v="1"/>
  </r>
  <r>
    <x v="1"/>
    <s v="0101"/>
    <s v="Production Monitoring Pre-Job Start-up Test"/>
    <s v="Production Monitoring"/>
    <s v="EQUIPMENT"/>
    <s v="C"/>
    <s v="D"/>
    <s v="To Be Captured"/>
    <s v="Hydraulic Dredge"/>
    <s v="Production Monitoring"/>
    <s v="Production Instrumentation/Monitoring*Production Monitoring"/>
    <x v="26"/>
    <x v="1"/>
  </r>
  <r>
    <x v="1"/>
    <s v="0101"/>
    <s v="Rosemount Transducers (Parts) Pre-Job Start-up Test"/>
    <s v="Rosemount Transducers (Parts)"/>
    <s v="EQUIPMENT"/>
    <s v="C"/>
    <s v="D"/>
    <s v="To Be Captured"/>
    <s v="Hydraulic Dredge"/>
    <s v="Rosemount Transducers (Parts)"/>
    <s v="Production Instrumentation/Monitoring*Rosemount Transducers (Parts)"/>
    <x v="26"/>
    <x v="1"/>
  </r>
  <r>
    <x v="1"/>
    <s v="0101"/>
    <s v="Transducer (D/P) (Discharge) Pre-Job Start-up Test"/>
    <s v="Transducer (D/P) (Discharge)"/>
    <s v="EQUIPMENT"/>
    <s v="C"/>
    <s v="D"/>
    <s v="To Be Captured"/>
    <s v="Hydraulic Dredge"/>
    <s v="Transducer (D/P) (Discharge)"/>
    <s v="Production Instrumentation/Monitoring*Transducer (D/P) (Discharge)"/>
    <x v="26"/>
    <x v="1"/>
  </r>
  <r>
    <x v="1"/>
    <s v="0101"/>
    <s v="Transducer (L/P) (Discharge) Pre-Job Start-up Test"/>
    <s v="Transducer (L/P) (Discharge)"/>
    <s v="EQUIPMENT"/>
    <s v="C"/>
    <s v="D"/>
    <s v="To Be Captured"/>
    <s v="Hydraulic Dredge"/>
    <s v="Transducer (L/P) (Discharge)"/>
    <s v="Production Instrumentation/Monitoring*Transducer (L/P) (Discharge)"/>
    <x v="26"/>
    <x v="1"/>
  </r>
  <r>
    <x v="1"/>
    <s v="0101"/>
    <s v="Transducer (L/P) (Suction) Pre-Job Start-up Test"/>
    <s v="Transducer (L/P) (Suction)"/>
    <s v="EQUIPMENT"/>
    <s v="C"/>
    <s v="D"/>
    <s v="To Be Captured"/>
    <s v="Hydraulic Dredge"/>
    <s v="Transducer (L/P) (Suction)"/>
    <s v="Production Instrumentation/Monitoring*Transducer (L/P) (Suction)"/>
    <x v="26"/>
    <x v="1"/>
  </r>
  <r>
    <x v="1"/>
    <s v="0101"/>
    <s v="Velocity Pre-Job Start-up Test"/>
    <s v="Velocity"/>
    <s v="EQUIPMENT"/>
    <s v="C"/>
    <s v="D"/>
    <s v="To Be Captured"/>
    <s v="Hydraulic Dredge"/>
    <s v="Velocity"/>
    <s v="Production Instrumentation/Monitoring*Velocity"/>
    <x v="26"/>
    <x v="1"/>
  </r>
  <r>
    <x v="1"/>
    <s v="0101"/>
    <s v="Wire Counter (EZ-100) Pre-Job Start-up Test"/>
    <s v="Wire Counter (EZ-100)"/>
    <s v="EQUIPMENT"/>
    <s v="C"/>
    <s v="D"/>
    <s v="To Be Captured"/>
    <s v="Hydraulic Dredge"/>
    <s v="Wire Counter (EZ-100)"/>
    <s v="Production Instrumentation/Monitoring*Wire Counter (EZ-100)"/>
    <x v="26"/>
    <x v="1"/>
  </r>
  <r>
    <x v="1"/>
    <s v="0101"/>
    <s v="Main Dredge Pump Rebuild"/>
    <s v="Dredge Pump"/>
    <s v="EQUIPMENT"/>
    <s v="B"/>
    <s v="D"/>
    <s v="To Be Captured"/>
    <s v="Hydraulic Dredge"/>
    <s v="Dredge Pump"/>
    <s v="Pump, Dredge*Dredge Pump"/>
    <x v="3"/>
    <x v="1"/>
  </r>
  <r>
    <x v="1"/>
    <s v="0101"/>
    <s v="Main Dredge Pump Pump Gland Re-Pack"/>
    <s v="Dredge Pump"/>
    <s v="EQUIPMENT"/>
    <s v="B"/>
    <s v="D"/>
    <s v="Downtime Opportunity"/>
    <s v="Hydraulic Dredge"/>
    <s v="Dredge Pump"/>
    <s v="Pump, Dredge*Dredge Pump"/>
    <x v="3"/>
    <x v="0"/>
  </r>
  <r>
    <x v="1"/>
    <s v="0101"/>
    <s v="Dredge Pump Gearbox Annual Inspection"/>
    <s v="Dredge Pump Gearbox"/>
    <s v="EQUIPMENT"/>
    <s v="B"/>
    <s v="D"/>
    <s v="Downtime Opportunity"/>
    <s v="Hydraulic Dredge"/>
    <s v="Dredge Pump Gearbox"/>
    <s v="Pump, Dredge*Dredge Pump Gearbox"/>
    <x v="3"/>
    <x v="0"/>
  </r>
  <r>
    <x v="1"/>
    <s v="0101"/>
    <s v="Heat Exchanger, D/P Gearbox Inspect/Clean"/>
    <s v="Heat Exchanger, D/P Gearbox"/>
    <s v="EQUIPMENT"/>
    <s v="D"/>
    <s v="D"/>
    <s v="Downtime Opportunity"/>
    <s v="Hydraulic Dredge"/>
    <s v="Heat Exchanger, D/P Gearbox"/>
    <s v="Pump, Dredge*Dredge Pump Gearbox*Heat Exchanger, D/P Gearbox"/>
    <x v="3"/>
    <x v="0"/>
  </r>
  <r>
    <x v="1"/>
    <s v="0101"/>
    <s v="Lube Oil Pumpset, Gearbox Annual Clean/Inspect"/>
    <s v="Lube Oil Pumpset, Gearbox"/>
    <s v="EQUIPMENT"/>
    <s v="D"/>
    <s v="D"/>
    <s v="Downtime Opportunity"/>
    <s v="Hydraulic Dredge"/>
    <s v="Lube Oil Pumpset, Gearbox"/>
    <s v="Pump, Dredge*Dredge Pump Gearbox*Lube Oil Pumpset, Gearbox"/>
    <x v="3"/>
    <x v="0"/>
  </r>
  <r>
    <x v="1"/>
    <s v="0101"/>
    <s v="Stuffing Box (D/P) Stuffing Box Change Out"/>
    <s v="Stuffing Box (D/P)"/>
    <s v="EQUIPMENT"/>
    <s v="B"/>
    <s v="D"/>
    <s v="Downtime Opportunity"/>
    <s v="Hydraulic Dredge"/>
    <s v="Stuffing Box (D/P)"/>
    <s v="Pump, Dredge*Dredge Pump*Stuffing Box (D/P)"/>
    <x v="3"/>
    <x v="0"/>
  </r>
  <r>
    <x v="1"/>
    <s v="0101"/>
    <s v="Impeller / Thrust Shaft Removal"/>
    <s v="Impeller / Thrust Shaft"/>
    <s v="EQUIPMENT"/>
    <s v="B"/>
    <s v="D"/>
    <s v="To Be Captured"/>
    <s v="Hydraulic Dredge"/>
    <s v="Impeller / Thrust Shaft"/>
    <s v="Pump, Dredge*Shafting*Impeller / Thrust Shaft"/>
    <x v="3"/>
    <x v="1"/>
  </r>
  <r>
    <x v="1"/>
    <s v="0101"/>
    <s v="Impeller / Thrust Shaft Installation"/>
    <s v="Impeller / Thrust Shaft"/>
    <s v="EQUIPMENT"/>
    <s v="B"/>
    <s v="D"/>
    <s v="To Be Captured"/>
    <s v="Hydraulic Dredge"/>
    <s v="Impeller / Thrust Shaft"/>
    <s v="Pump, Dredge*Shafting*Impeller / Thrust Shaft"/>
    <x v="3"/>
    <x v="1"/>
  </r>
  <r>
    <x v="1"/>
    <s v="0101"/>
    <s v="Thrust Bearing (LG-25) Annual PM/Inspection"/>
    <s v="Thrust Bearing (LG-25)"/>
    <s v="EQUIPMENT"/>
    <s v="B"/>
    <s v="D"/>
    <s v="Downtime Opportunity"/>
    <s v="Hydraulic Dredge"/>
    <s v="Thrust Bearing (LG-25)"/>
    <s v="Pump, Dredge*Shafting*Thrust Bearing (LG-25)"/>
    <x v="3"/>
    <x v="0"/>
  </r>
  <r>
    <x v="1"/>
    <s v="0101"/>
    <s v="Thrust Bearing (LG-25) Installation"/>
    <s v="Thrust Bearing (LG-25)"/>
    <s v="EQUIPMENT"/>
    <s v="B"/>
    <s v="D"/>
    <s v="To Be Captured"/>
    <s v="Hydraulic Dredge"/>
    <s v="Thrust Bearing (LG-25)"/>
    <s v="Pump, Dredge*Shafting*Thrust Bearing (LG-25)"/>
    <x v="3"/>
    <x v="1"/>
  </r>
  <r>
    <x v="1"/>
    <s v="0101"/>
    <s v="Drive, Soft Start (L/P Motor) Annual Clean/Inspect"/>
    <s v="Drive, Soft Start (L/P Motor)"/>
    <s v="EQUIPMENT"/>
    <s v="B"/>
    <s v="D"/>
    <s v="Downtime Opportunity"/>
    <s v="Hydraulic Dredge"/>
    <s v="Drive, Soft Start (L/P Motor)"/>
    <s v="Pump, Ladder*Drive, Soft Start (L/P Motor)"/>
    <x v="11"/>
    <x v="0"/>
  </r>
  <r>
    <x v="1"/>
    <s v="0101"/>
    <s v="Ladder Pump (Universal) Rebuild"/>
    <s v="Ladder Pump (Universal)"/>
    <s v="EQUIPMENT"/>
    <s v="B"/>
    <s v="D"/>
    <s v="Downtime Opportunity"/>
    <s v="Hydraulic Dredge"/>
    <s v="Ladder Pump (Universal)"/>
    <s v="Pump, Ladder*Ladder Pump (Universal)"/>
    <x v="11"/>
    <x v="0"/>
  </r>
  <r>
    <x v="1"/>
    <s v="0101"/>
    <s v="Stuffing Box (L/P) Stuffing Box Change Out"/>
    <s v="Stuffing Box (L/P)"/>
    <s v="EQUIPMENT"/>
    <s v="B"/>
    <s v="D"/>
    <s v="To Be Captured"/>
    <s v="Hydraulic Dredge"/>
    <s v="Stuffing Box (L/P)"/>
    <s v="Pump, Ladder*Ladder Pump (Universal)*Stuffing Box (L/P)"/>
    <x v="11"/>
    <x v="1"/>
  </r>
  <r>
    <x v="1"/>
    <s v="0101"/>
    <s v="Stuffing Box (L/P) Pump Gland Re-Pack"/>
    <s v="Stuffing Box (L/P)"/>
    <s v="EQUIPMENT"/>
    <s v="B"/>
    <s v="D"/>
    <s v="Downtime Opportunity"/>
    <s v="Hydraulic Dredge"/>
    <s v="Stuffing Box (L/P)"/>
    <s v="Pump, Ladder*Ladder Pump (Universal)*Stuffing Box (L/P)"/>
    <x v="11"/>
    <x v="0"/>
  </r>
  <r>
    <x v="1"/>
    <s v="0101"/>
    <s v="Ladder Pump Motor (1250 HP) Installation"/>
    <s v="Ladder Pump Motor (1250 HP)"/>
    <s v="EQUIPMENT"/>
    <s v="B"/>
    <s v="D"/>
    <s v="To Be Captured"/>
    <s v="Hydraulic Dredge"/>
    <s v="Ladder Pump Motor (1250 HP)"/>
    <s v="Pump, Ladder*Ladder Pump Motor (1250 HP)"/>
    <x v="11"/>
    <x v="1"/>
  </r>
  <r>
    <x v="1"/>
    <s v="0101"/>
    <s v="Ladder Pump Motor (1250 HP) Removal"/>
    <s v="Ladder Pump Motor (1250 HP)"/>
    <s v="EQUIPMENT"/>
    <s v="B"/>
    <s v="D"/>
    <s v="To Be Captured"/>
    <s v="Hydraulic Dredge"/>
    <s v="Ladder Pump Motor (1250 HP)"/>
    <s v="Pump, Ladder*Ladder Pump Motor (1250 HP)"/>
    <x v="11"/>
    <x v="1"/>
  </r>
  <r>
    <x v="1"/>
    <s v="0101"/>
    <s v="Ladder Pump Motor (1250 HP) Overhaul"/>
    <s v="Ladder Pump Motor (1250 HP)"/>
    <s v="EQUIPMENT"/>
    <s v="B"/>
    <s v="D"/>
    <s v="Downtime Opportunity"/>
    <s v="Hydraulic Dredge"/>
    <s v="Ladder Pump Motor (1250 HP)"/>
    <s v="Pump, Ladder*Ladder Pump Motor (1250 HP)"/>
    <x v="11"/>
    <x v="0"/>
  </r>
  <r>
    <x v="1"/>
    <s v="0101"/>
    <s v="Motor (Vacuum Pump) Annual Clean/Inspect"/>
    <s v="Motor (Vacuum Pump)"/>
    <s v="EQUIPMENT"/>
    <s v="C"/>
    <s v="D"/>
    <s v="Downtime Opportunity"/>
    <s v="Hydraulic Dredge"/>
    <s v="Motor (Vacuum Pump)"/>
    <s v="Pump, Ladder*Vacuum Pump (L/P)*Motor (Vacuum Pump)"/>
    <x v="11"/>
    <x v="0"/>
  </r>
  <r>
    <x v="1"/>
    <s v="0101"/>
    <s v="CO2 System (95 CU FT Paint Locker) Annual Inspection"/>
    <s v="CO2 System (95 CU FT Paint Locker)"/>
    <s v="EQUIPMENT"/>
    <s v="A"/>
    <s v="A"/>
    <s v="Regulatory Requirement"/>
    <s v="Hydraulic Dredge"/>
    <s v="CO2 System (95 CU FT Paint Locker)"/>
    <s v="Safety Firefighting*CO2 System (95 CU FT Paint Locker)"/>
    <x v="0"/>
    <x v="0"/>
  </r>
  <r>
    <x v="1"/>
    <s v="0101"/>
    <s v="Fixed Fire System (C02) Annual Inspection"/>
    <s v="Fixed Fire System (C02)"/>
    <s v="EQUIPMENT"/>
    <s v="A"/>
    <s v="A"/>
    <s v="Regulatory Requirement"/>
    <s v="Hydraulic Dredge"/>
    <s v="Fixed Fire System (C02)"/>
    <s v="Safety Firefighting*Fixed Fire System (C02)"/>
    <x v="0"/>
    <x v="0"/>
  </r>
  <r>
    <x v="1"/>
    <s v="0101"/>
    <s v="Fire Extinguishers (Portable) Monthly Inspection"/>
    <s v="Fire Extinguishers (Portable)"/>
    <s v="EQUIPMENT"/>
    <s v="A"/>
    <s v="D"/>
    <s v="Running Work List"/>
    <s v="Hydraulic Dredge"/>
    <s v="Fire Extinguishers (Portable)"/>
    <s v="Safety Firefighting*Fire Extinguishers (Portable)"/>
    <x v="0"/>
    <x v="0"/>
  </r>
  <r>
    <x v="1"/>
    <s v="0101"/>
    <s v="Fire Stations Monthly Inspection"/>
    <s v="Fire Stations"/>
    <s v="EQUIPMENT"/>
    <s v="D"/>
    <s v="D"/>
    <s v="Running Work List"/>
    <s v="Hydraulic Dredge"/>
    <s v="Fire Stations"/>
    <s v="Safety Firefighting*Fire Stations"/>
    <x v="0"/>
    <x v="0"/>
  </r>
  <r>
    <x v="1"/>
    <s v="0101"/>
    <s v="Fire Pump Monthly Inspect/Test"/>
    <s v="Fire Pump"/>
    <s v="EQUIPMENT"/>
    <s v="D"/>
    <s v="D"/>
    <s v="Downtime Opportunity"/>
    <s v="Hydraulic Dredge"/>
    <s v="Fire Pump"/>
    <s v="Safety Firefighting*Fire Pump"/>
    <x v="0"/>
    <x v="0"/>
  </r>
  <r>
    <x v="1"/>
    <s v="0101"/>
    <s v="Oxygen Meter Inspect/Recertify"/>
    <s v="Oxygen Meter"/>
    <s v="EQUIPMENT"/>
    <s v="D"/>
    <s v="D"/>
    <s v="Running Work List"/>
    <s v="Hydraulic Dredge"/>
    <s v="Oxygen Meter"/>
    <s v="Safety Lifesaving*Oxygen Meter"/>
    <x v="1"/>
    <x v="0"/>
  </r>
  <r>
    <x v="1"/>
    <s v="0101"/>
    <s v="SCBA Monthly Inspection"/>
    <s v="SCBA"/>
    <s v="EQUIPMENT"/>
    <s v="D"/>
    <s v="D"/>
    <s v="Running Work List"/>
    <s v="Hydraulic Dredge"/>
    <s v="SCBA"/>
    <s v="Safety Lifesaving*SCBA"/>
    <x v="1"/>
    <x v="0"/>
  </r>
  <r>
    <x v="1"/>
    <s v="0101"/>
    <s v="Sanitation System Sys Clean/Treatment"/>
    <s v="Sanitation System"/>
    <s v="EQUIPMENT"/>
    <s v="D"/>
    <s v="D"/>
    <s v="Running Work List"/>
    <s v="Hydraulic Dredge"/>
    <s v="Sanitation System"/>
    <s v="Sanitation System*Sanitation System"/>
    <x v="17"/>
    <x v="0"/>
  </r>
  <r>
    <x v="1"/>
    <s v="0101"/>
    <s v="Coupling, Center Winch to Red Gear Annual Clean/Inspect"/>
    <s v="Coupling, Center Winch to Red Gear"/>
    <s v="EQUIPMENT"/>
    <s v="B"/>
    <s v="D"/>
    <s v="Downtime Opportunity"/>
    <s v="Hydraulic Dredge"/>
    <s v="Coupling, Center Winch to Red Gear"/>
    <s v="Spud System*Spud Hoist Winch*Winch (Center)*Coupling, Center Winch to Red Gear"/>
    <x v="18"/>
    <x v="0"/>
  </r>
  <r>
    <x v="1"/>
    <s v="0101"/>
    <s v="Coupling, Port Winch to Center Winch Annual Clean/Inspect"/>
    <s v="Coupling, Port Winch to Center Winch"/>
    <s v="EQUIPMENT"/>
    <s v="B"/>
    <s v="D"/>
    <s v="Downtime Opportunity"/>
    <s v="Hydraulic Dredge"/>
    <s v="Coupling, Port Winch to Center Winch"/>
    <s v="Spud System*Spud Hoist Winch*Winch (Port)*Coupling, Port Winch to Center Winch"/>
    <x v="18"/>
    <x v="0"/>
  </r>
  <r>
    <x v="1"/>
    <s v="0101"/>
    <s v="Coupling, Stbd Winch to Red Gear Annual Clean/Inspect"/>
    <s v="Coupling, Stbd Winch to Red Gear"/>
    <s v="EQUIPMENT"/>
    <s v="B"/>
    <s v="D"/>
    <s v="Downtime Opportunity"/>
    <s v="Hydraulic Dredge"/>
    <s v="Coupling, Stbd Winch to Red Gear"/>
    <s v="Spud System*Spud Hoist Winch*Winch (Stbd)*Coupling, Stbd Winch to Red Gear"/>
    <x v="18"/>
    <x v="0"/>
  </r>
  <r>
    <x v="1"/>
    <s v="0101"/>
    <s v="Winch (Center) Brake Band Insp/Adjust"/>
    <s v="Winch (Center)"/>
    <s v="EQUIPMENT"/>
    <s v="B"/>
    <s v="D"/>
    <s v="Downtime Opportunity"/>
    <s v="Hydraulic Dredge"/>
    <s v="Winch (Center)"/>
    <s v="Spud System*Spud Hoist Winch*Winch (Center)"/>
    <x v="18"/>
    <x v="0"/>
  </r>
  <r>
    <x v="1"/>
    <s v="0101"/>
    <s v="Winch (Port) Brake Band Insp/Adjust"/>
    <s v="Winch (Port)"/>
    <s v="EQUIPMENT"/>
    <s v="B"/>
    <s v="D"/>
    <s v="Downtime Opportunity"/>
    <s v="Hydraulic Dredge"/>
    <s v="Winch (Port)"/>
    <s v="Spud System*Spud Hoist Winch*Winch (Port)"/>
    <x v="18"/>
    <x v="0"/>
  </r>
  <r>
    <x v="1"/>
    <s v="0101"/>
    <s v="Winch (Stbd) Brake Band Insp/Adjust"/>
    <s v="Winch (Stbd)"/>
    <s v="EQUIPMENT"/>
    <s v="B"/>
    <s v="D"/>
    <s v="Downtime Opportunity"/>
    <s v="Hydraulic Dredge"/>
    <s v="Winch (Stbd)"/>
    <s v="Spud System*Spud Hoist Winch*Winch (Stbd)"/>
    <x v="18"/>
    <x v="0"/>
  </r>
  <r>
    <x v="1"/>
    <s v="0101"/>
    <s v="Winch (Center) Friction Band Insp/Adjust"/>
    <s v="Winch (Center)"/>
    <s v="EQUIPMENT"/>
    <s v="B"/>
    <s v="D"/>
    <s v="To Be Written"/>
    <s v="Hydraulic Dredge"/>
    <s v="Winch (Center)"/>
    <s v="Spud System*Spud Hoist Winch*Winch (Center)"/>
    <x v="18"/>
    <x v="1"/>
  </r>
  <r>
    <x v="1"/>
    <s v="0101"/>
    <s v="Winch (Port) Friction Band Insp/Adjust"/>
    <s v="Winch (Port)"/>
    <s v="EQUIPMENT"/>
    <s v="B"/>
    <s v="D"/>
    <s v="To Be Written"/>
    <s v="Hydraulic Dredge"/>
    <s v="Winch (Port)"/>
    <s v="Spud System*Spud Hoist Winch*Winch (Port)"/>
    <x v="18"/>
    <x v="1"/>
  </r>
  <r>
    <x v="1"/>
    <s v="0101"/>
    <s v="Winch (Stbd) Friction Band Insp/Adjust"/>
    <s v="Winch (Stbd)"/>
    <s v="EQUIPMENT"/>
    <s v="B"/>
    <s v="D"/>
    <s v="To Be Written"/>
    <s v="Hydraulic Dredge"/>
    <s v="Winch (Stbd)"/>
    <s v="Spud System*Spud Hoist Winch*Winch (Stbd)"/>
    <x v="18"/>
    <x v="1"/>
  </r>
  <r>
    <x v="1"/>
    <s v="0101"/>
    <s v="Spud Hoist Winch Brake Band Change Out"/>
    <s v="Spud Hoist Winch"/>
    <s v="EQUIPMENT"/>
    <s v="B"/>
    <s v="D"/>
    <s v="To Be Captured"/>
    <s v="Hydraulic Dredge"/>
    <s v="Spud Hoist Winch"/>
    <s v="Spud System*Spud Hoist Winch"/>
    <x v="18"/>
    <x v="1"/>
  </r>
  <r>
    <x v="1"/>
    <s v="0101"/>
    <s v="Winch (Center) Brake Band Change Out"/>
    <s v="Winch (Center)"/>
    <s v="EQUIPMENT"/>
    <s v="B"/>
    <s v="D"/>
    <s v="To Be Captured"/>
    <s v="Hydraulic Dredge"/>
    <s v="Winch (Center)"/>
    <s v="Spud System*Spud Hoist Winch*Winch (Center)"/>
    <x v="18"/>
    <x v="1"/>
  </r>
  <r>
    <x v="1"/>
    <s v="0101"/>
    <s v="Winch (Port) Brake Band Change Out"/>
    <s v="Winch (Port)"/>
    <s v="EQUIPMENT"/>
    <s v="B"/>
    <s v="D"/>
    <s v="To Be Captured"/>
    <s v="Hydraulic Dredge"/>
    <s v="Winch (Port)"/>
    <s v="Spud System*Spud Hoist Winch*Winch (Port)"/>
    <x v="18"/>
    <x v="1"/>
  </r>
  <r>
    <x v="1"/>
    <s v="0101"/>
    <s v="Winch (Stbd) Brake Band Change Out"/>
    <s v="Winch (Stbd)"/>
    <s v="EQUIPMENT"/>
    <s v="B"/>
    <s v="D"/>
    <s v="To Be Captured"/>
    <s v="Hydraulic Dredge"/>
    <s v="Winch (Stbd)"/>
    <s v="Spud System*Spud Hoist Winch*Winch (Stbd)"/>
    <x v="18"/>
    <x v="1"/>
  </r>
  <r>
    <x v="1"/>
    <s v="0101"/>
    <s v="Spud Hoist Winch Friction Band Change Out"/>
    <s v="Spud Hoist Winch"/>
    <s v="EQUIPMENT"/>
    <s v="B"/>
    <s v="D"/>
    <s v="To Be Captured"/>
    <s v="Hydraulic Dredge"/>
    <s v="Spud Hoist Winch"/>
    <s v="Spud System*Spud Hoist Winch"/>
    <x v="18"/>
    <x v="1"/>
  </r>
  <r>
    <x v="1"/>
    <s v="0101"/>
    <s v="Winch (Center) Friction Band Change Out"/>
    <s v="Winch (Center)"/>
    <s v="EQUIPMENT"/>
    <s v="B"/>
    <s v="D"/>
    <s v="To Be Captured"/>
    <s v="Hydraulic Dredge"/>
    <s v="Winch (Center)"/>
    <s v="Spud System*Spud Hoist Winch*Winch (Center)"/>
    <x v="18"/>
    <x v="1"/>
  </r>
  <r>
    <x v="1"/>
    <s v="0101"/>
    <s v="Winch (Port) Friction Band Change Out"/>
    <s v="Winch (Port)"/>
    <s v="EQUIPMENT"/>
    <s v="B"/>
    <s v="D"/>
    <s v="To Be Captured"/>
    <s v="Hydraulic Dredge"/>
    <s v="Winch (Port)"/>
    <s v="Spud System*Spud Hoist Winch*Winch (Port)"/>
    <x v="18"/>
    <x v="1"/>
  </r>
  <r>
    <x v="1"/>
    <s v="0101"/>
    <s v="Winch (Stbd) Friction Band Change Out"/>
    <s v="Winch (Stbd)"/>
    <s v="EQUIPMENT"/>
    <s v="B"/>
    <s v="D"/>
    <s v="To Be Captured"/>
    <s v="Hydraulic Dredge"/>
    <s v="Winch (Stbd)"/>
    <s v="Spud System*Spud Hoist Winch*Winch (Stbd)"/>
    <x v="18"/>
    <x v="1"/>
  </r>
  <r>
    <x v="1"/>
    <s v="0101"/>
    <s v="Winch (Center) Wire Change"/>
    <s v="Winch (Center)"/>
    <s v="EQUIPMENT"/>
    <s v="B"/>
    <s v="D"/>
    <s v="To Be Captured"/>
    <s v="Hydraulic Dredge"/>
    <s v="Winch (Center)"/>
    <s v="Spud System*Spud Hoist Winch*Winch (Center)"/>
    <x v="18"/>
    <x v="1"/>
  </r>
  <r>
    <x v="1"/>
    <s v="0101"/>
    <s v="Winch (Port) Wire Change"/>
    <s v="Winch (Port)"/>
    <s v="EQUIPMENT"/>
    <s v="B"/>
    <s v="D"/>
    <s v="To Be Captured"/>
    <s v="Hydraulic Dredge"/>
    <s v="Winch (Port)"/>
    <s v="Spud System*Spud Hoist Winch*Winch (Port)"/>
    <x v="18"/>
    <x v="1"/>
  </r>
  <r>
    <x v="1"/>
    <s v="0101"/>
    <s v="Winch (Stbd) Wire Change"/>
    <s v="Winch (Stbd)"/>
    <s v="EQUIPMENT"/>
    <s v="B"/>
    <s v="D"/>
    <s v="To Be Captured"/>
    <s v="Hydraulic Dredge"/>
    <s v="Winch (Stbd)"/>
    <s v="Spud System*Spud Hoist Winch*Winch (Stbd)"/>
    <x v="18"/>
    <x v="1"/>
  </r>
  <r>
    <x v="1"/>
    <s v="0101"/>
    <s v="Winch (Center) SA Haul-In Gear Inspect"/>
    <s v="Winch (Center)"/>
    <s v="EQUIPMENT"/>
    <s v="B"/>
    <s v="D"/>
    <s v="Downtime Opportunity"/>
    <s v="Hydraulic Dredge"/>
    <s v="Winch (Center)"/>
    <s v="Spud System*Spud Hoist Winch*Winch (Center)"/>
    <x v="18"/>
    <x v="0"/>
  </r>
  <r>
    <x v="1"/>
    <s v="0101"/>
    <s v="Winch (Port) SA Haul-In Gear Inspect"/>
    <s v="Winch (Port)"/>
    <s v="EQUIPMENT"/>
    <s v="B"/>
    <s v="D"/>
    <s v="Downtime Opportunity"/>
    <s v="Hydraulic Dredge"/>
    <s v="Winch (Port)"/>
    <s v="Spud System*Spud Hoist Winch*Winch (Port)"/>
    <x v="18"/>
    <x v="0"/>
  </r>
  <r>
    <x v="1"/>
    <s v="0101"/>
    <s v="Winch (Stbd) SA Haul-In Gear Inspect"/>
    <s v="Winch (Stbd)"/>
    <s v="EQUIPMENT"/>
    <s v="B"/>
    <s v="D"/>
    <s v="Downtime Opportunity"/>
    <s v="Hydraulic Dredge"/>
    <s v="Winch (Stbd)"/>
    <s v="Spud System*Spud Hoist Winch*Winch (Stbd)"/>
    <x v="18"/>
    <x v="0"/>
  </r>
  <r>
    <x v="1"/>
    <s v="0101"/>
    <s v="Swing Sheave (Port) Annual Inspection"/>
    <s v="Swing Sheave (Port)"/>
    <s v="EQUIPMENT"/>
    <s v="B"/>
    <s v="D"/>
    <s v="Downtime Opportunity"/>
    <s v="Hydraulic Dredge"/>
    <s v="Swing Sheave (Port)"/>
    <s v="Swing*Swing Sheave (Port)"/>
    <x v="19"/>
    <x v="0"/>
  </r>
  <r>
    <x v="1"/>
    <s v="0101"/>
    <s v="Sheave, Fleeting Annual Inspection"/>
    <s v="Sheave, Fleeting"/>
    <s v="EQUIPMENT"/>
    <s v="D"/>
    <s v="D"/>
    <s v="To Be Written"/>
    <s v="Hydraulic Dredge"/>
    <s v="Sheave, Fleeting"/>
    <s v="Swing*Sheave, Fleeting"/>
    <x v="19"/>
    <x v="1"/>
  </r>
  <r>
    <x v="1"/>
    <s v="0101"/>
    <s v="Swing Anchors Pre-Job Inspection"/>
    <s v="Swing Anchors"/>
    <s v="EQUIPMENT"/>
    <s v="D"/>
    <s v="D"/>
    <s v="To Be Captured"/>
    <s v="Hydraulic Dredge"/>
    <s v="Swing Anchors"/>
    <s v="Swing*Swing Anchors"/>
    <x v="19"/>
    <x v="1"/>
  </r>
  <r>
    <x v="1"/>
    <s v="0101"/>
    <s v="Swing Sheave (Port) Swing Sheave Change Out"/>
    <s v="Swing Sheave (Port)"/>
    <s v="EQUIPMENT"/>
    <s v="B"/>
    <s v="D"/>
    <s v="To Be Captured"/>
    <s v="Hydraulic Dredge"/>
    <s v="Swing Sheave (Port)"/>
    <s v="Swing*Swing Sheave (Port)"/>
    <x v="19"/>
    <x v="1"/>
  </r>
  <r>
    <x v="1"/>
    <s v="0101"/>
    <s v="Swing Sheave (Port) Swing Sheave Overhaul"/>
    <s v="Swing Sheave (Port)"/>
    <s v="EQUIPMENT"/>
    <s v="B"/>
    <s v="D"/>
    <s v="Downtime Opportunity"/>
    <s v="Hydraulic Dredge"/>
    <s v="Swing Sheave (Port)"/>
    <s v="Swing*Swing Sheave (Port)"/>
    <x v="19"/>
    <x v="0"/>
  </r>
  <r>
    <x v="1"/>
    <s v="0101"/>
    <s v="Swing Winch SA Haul-In Gear Inspect"/>
    <s v="Swing Winch"/>
    <s v="EQUIPMENT"/>
    <s v="B"/>
    <s v="D"/>
    <s v="Downtime Opportunity"/>
    <s v="Hydraulic Dredge"/>
    <s v="Swing Winch"/>
    <s v="Swing*Swing Winch"/>
    <x v="19"/>
    <x v="0"/>
  </r>
  <r>
    <x v="1"/>
    <s v="0101"/>
    <s v="Swing Winch Brake Band Insp/Adjust"/>
    <s v="Swing Winch"/>
    <s v="EQUIPMENT"/>
    <s v="B"/>
    <s v="D"/>
    <s v="Downtime Opportunity"/>
    <s v="Hydraulic Dredge"/>
    <s v="Swing Winch"/>
    <s v="Swing*Swing Winch"/>
    <x v="19"/>
    <x v="0"/>
  </r>
  <r>
    <x v="1"/>
    <s v="0101"/>
    <s v="Swing Winch Friction Band Insp/Adjust"/>
    <s v="Swing Winch"/>
    <s v="EQUIPMENT"/>
    <s v="B"/>
    <s v="D"/>
    <s v="To Be Written"/>
    <s v="Hydraulic Dredge"/>
    <s v="Swing Winch"/>
    <s v="Swing*Swing Winch"/>
    <x v="19"/>
    <x v="1"/>
  </r>
  <r>
    <x v="1"/>
    <s v="0101"/>
    <s v="Swing Winch Brake Band Change Out"/>
    <s v="Swing Winch"/>
    <s v="EQUIPMENT"/>
    <s v="B"/>
    <s v="D"/>
    <s v="To Be Captured"/>
    <s v="Hydraulic Dredge"/>
    <s v="Swing Winch"/>
    <s v="Swing*Swing Winch"/>
    <x v="19"/>
    <x v="1"/>
  </r>
  <r>
    <x v="1"/>
    <s v="0101"/>
    <s v="Swing Winch Friction Band Change Out"/>
    <s v="Swing Winch"/>
    <s v="EQUIPMENT"/>
    <s v="B"/>
    <s v="D"/>
    <s v="To Be Captured"/>
    <s v="Hydraulic Dredge"/>
    <s v="Swing Winch"/>
    <s v="Swing*Swing Winch"/>
    <x v="19"/>
    <x v="1"/>
  </r>
  <r>
    <x v="1"/>
    <s v="0101"/>
    <s v="Jacking Gear Annual Clean/Inspect"/>
    <s v="Jacking Gear"/>
    <s v="EQUIPMENT"/>
    <s v="D"/>
    <s v="D"/>
    <s v="Downtime Opportunity"/>
    <s v="Hydraulic Dredge"/>
    <s v="Jacking Gear"/>
    <s v="Swing*Swing Winch*Jacking Gear"/>
    <x v="19"/>
    <x v="0"/>
  </r>
  <r>
    <x v="1"/>
    <s v="0101"/>
    <s v="Swing Winch Motor Semi-Annual Clean/Inspect"/>
    <s v="Swing Winch Motor"/>
    <s v="EQUIPMENT"/>
    <s v="B"/>
    <s v="D"/>
    <s v="Downtime Opportunity"/>
    <s v="Hydraulic Dredge"/>
    <s v="Swing Winch Motor"/>
    <s v="Swing*Swing Winch*Swing Winch Motor"/>
    <x v="19"/>
    <x v="0"/>
  </r>
  <r>
    <x v="1"/>
    <s v="0101"/>
    <s v="Cutless Bearing 3000 HR PM"/>
    <s v="Cutless Bearing"/>
    <s v="EQUIPMENT"/>
    <s v="B"/>
    <s v="D"/>
    <s v="Downtime Opportunity"/>
    <s v="Hydraulic Dredge"/>
    <s v="Cutless Bearing"/>
    <s v="Cutter Machinery*Tailshaft*Cutless Bearing"/>
    <x v="6"/>
    <x v="0"/>
  </r>
  <r>
    <x v="1"/>
    <s v="0101"/>
    <s v="(Furuno) Universal AIS Transponder Semi-Annual Inspect/Test"/>
    <s v="(Furuno) Universal AIS Transponder"/>
    <s v="EQUIPMENT"/>
    <s v="D"/>
    <s v="D"/>
    <s v="To Be Written"/>
    <s v="Hydraulic Dredge"/>
    <s v="(Furuno) Universal AIS Transponder"/>
    <s v="Navigation/Communication*(Furuno) Universal AIS Transponder"/>
    <x v="27"/>
    <x v="1"/>
  </r>
  <r>
    <x v="1"/>
    <s v="0101"/>
    <s v="Heat Exchanger (Main Genset) Annual Clean/Inspect/Test"/>
    <s v="Heat Exchanger (Main Genset)"/>
    <s v="EQUIPMENT"/>
    <s v="C"/>
    <s v="D"/>
    <s v="Downtime Opportunity"/>
    <s v="Hydraulic Dredge"/>
    <s v="Heat Exchanger (Main Genset)"/>
    <s v="Generators*Main Genset*Main Generator Engine (EMD 710)*Heat Exchanger (Main Genset)"/>
    <x v="4"/>
    <x v="0"/>
  </r>
  <r>
    <x v="1"/>
    <s v="0101"/>
    <s v="Bilge Pump Set (Aft) Change Line Shaft Brg Oil"/>
    <s v="Bilge Pump Set (Aft)"/>
    <s v="EQUIPMENT"/>
    <s v="A"/>
    <s v="D"/>
    <s v="Running Work List"/>
    <s v="Hydraulic Dredge"/>
    <s v="Bilge Pump Set (Aft)"/>
    <s v="Bilge/Ballast*Bilge Pump Set (Aft)"/>
    <x v="21"/>
    <x v="0"/>
  </r>
  <r>
    <x v="1"/>
    <s v="0101"/>
    <s v="Main Generator Removal"/>
    <s v="Main Generator"/>
    <s v="EQUIPMENT"/>
    <s v="A"/>
    <s v="D"/>
    <s v="To Be Captured"/>
    <s v="Hydraulic Dredge"/>
    <s v="Main Generator"/>
    <s v="Generators*Main Genset*Main Generator"/>
    <x v="4"/>
    <x v="1"/>
  </r>
  <r>
    <x v="1"/>
    <s v="0101"/>
    <s v="Drive Line (Stbd) (EMD 710) 250 HR PM"/>
    <s v="Drive Line (Stbd) (EMD 710)"/>
    <s v="EQUIPMENT"/>
    <s v="B"/>
    <s v="D"/>
    <s v="Downtime Opportunity"/>
    <s v="Hydraulic Dredge"/>
    <s v="Drive Line (Stbd) (EMD 710)"/>
    <s v="Pump, Dredge*Dredge Pump Engine (Stbd) (EMD 710)*Drive Line (Stbd) (EMD 710)"/>
    <x v="3"/>
    <x v="0"/>
  </r>
  <r>
    <x v="1"/>
    <s v="0101"/>
    <s v="Drive Line (Port) (EMD 710) 250 HR PM"/>
    <s v="Drive Line (Port) (EMD 710)"/>
    <s v="EQUIPMENT"/>
    <s v="B"/>
    <s v="D"/>
    <s v="Downtime Opportunity"/>
    <s v="Hydraulic Dredge"/>
    <s v="Drive Line (Port) (EMD 710)"/>
    <s v="Pump, Dredge*Dredge Pump Engine (Port) (EMD 710)*Drive Line (Port) (EMD 710)"/>
    <x v="3"/>
    <x v="0"/>
  </r>
  <r>
    <x v="1"/>
    <s v="0101"/>
    <s v="Drive Line (Stbd) (EMD 710) 15000 HR PM"/>
    <s v="Drive Line (Stbd) (EMD 710)"/>
    <s v="EQUIPMENT"/>
    <s v="B"/>
    <s v="D"/>
    <s v="Downtime Opportunity"/>
    <s v="Hydraulic Dredge"/>
    <s v="Drive Line (Stbd) (EMD 710)"/>
    <s v="Pump, Dredge*Dredge Pump Engine (Stbd) (EMD 710)*Drive Line (Stbd) (EMD 710)"/>
    <x v="3"/>
    <x v="0"/>
  </r>
  <r>
    <x v="1"/>
    <s v="0101"/>
    <s v="Drive Line (Port) (EMD 710) 15000 HR PM"/>
    <s v="Drive Line (Port) (EMD 710)"/>
    <s v="EQUIPMENT"/>
    <s v="B"/>
    <s v="D"/>
    <s v="Downtime Opportunity"/>
    <s v="Hydraulic Dredge"/>
    <s v="Drive Line (Port) (EMD 710)"/>
    <s v="Pump, Dredge*Dredge Pump Engine (Port) (EMD 710)*Drive Line (Port) (EMD 710)"/>
    <x v="3"/>
    <x v="0"/>
  </r>
  <r>
    <x v="1"/>
    <s v="0101"/>
    <s v="Swing Generator 2500 HR PM"/>
    <s v="Swing Generator"/>
    <s v="EQUIPMENT"/>
    <s v="B"/>
    <s v="D"/>
    <s v="Downtime Opportunity"/>
    <s v="Hydraulic Dredge"/>
    <s v="Swing Generator"/>
    <s v="MG Set (Cutter/Swing)*Synchronous Motor (2000 HP)*Swing Generator"/>
    <x v="24"/>
    <x v="0"/>
  </r>
  <r>
    <x v="1"/>
    <s v="0101"/>
    <s v="Cutter Generator 2500 HR PM"/>
    <s v="Cutter Generator"/>
    <s v="EQUIPMENT"/>
    <s v="B"/>
    <s v="D"/>
    <s v="Downtime Opportunity"/>
    <s v="Hydraulic Dredge"/>
    <s v="Cutter Generator"/>
    <s v="MG Set (Cutter/Swing)*Synchronous Motor (2000 HP)*Cutter Generator"/>
    <x v="24"/>
    <x v="0"/>
  </r>
  <r>
    <x v="1"/>
    <s v="0101"/>
    <s v="Synchronous Motor (2000 HP) 2500 HR PM"/>
    <s v="Synchronous Motor (2000 HP)"/>
    <s v="EQUIPMENT"/>
    <s v="B"/>
    <s v="D"/>
    <s v="Downtime Opportunity"/>
    <s v="Hydraulic Dredge"/>
    <s v="Synchronous Motor (2000 HP)"/>
    <s v="MG Set (Cutter/Swing)*Synchronous Motor (2000 HP)"/>
    <x v="24"/>
    <x v="0"/>
  </r>
  <r>
    <x v="1"/>
    <s v="0101"/>
    <s v="Swing Sheave (Stbd) Removal"/>
    <s v="Swing Sheave (Stbd)"/>
    <s v="EQUIPMENT"/>
    <s v="D"/>
    <s v="D"/>
    <s v="Downtime Opportunity"/>
    <s v="Hydraulic Dredge"/>
    <s v="Swing Sheave (Stbd)"/>
    <s v="Swing*Swing Sheave (Stbd)"/>
    <x v="19"/>
    <x v="0"/>
  </r>
  <r>
    <x v="1"/>
    <s v="0101"/>
    <s v="Swing Sheave (Port) Removal"/>
    <s v="Swing Sheave (Port)"/>
    <s v="EQUIPMENT"/>
    <s v="B"/>
    <s v="D"/>
    <s v="Downtime Opportunity"/>
    <s v="Hydraulic Dredge"/>
    <s v="Swing Sheave (Port)"/>
    <s v="Swing*Swing Sheave (Port)"/>
    <x v="19"/>
    <x v="0"/>
  </r>
  <r>
    <x v="1"/>
    <s v="0101"/>
    <s v="Swing Sheave (Stbd) Installation"/>
    <s v="Swing Sheave (Stbd)"/>
    <s v="EQUIPMENT"/>
    <s v="D"/>
    <s v="D"/>
    <s v="Downtime Opportunity"/>
    <s v="Hydraulic Dredge"/>
    <s v="Swing Sheave (Stbd)"/>
    <s v="Swing*Swing Sheave (Stbd)"/>
    <x v="19"/>
    <x v="0"/>
  </r>
  <r>
    <x v="1"/>
    <s v="0101"/>
    <s v="Swing Sheave (Port) Installation"/>
    <s v="Swing Sheave (Port)"/>
    <s v="EQUIPMENT"/>
    <s v="B"/>
    <s v="D"/>
    <s v="Downtime Opportunity"/>
    <s v="Hydraulic Dredge"/>
    <s v="Swing Sheave (Port)"/>
    <s v="Swing*Swing Sheave (Port)"/>
    <x v="19"/>
    <x v="0"/>
  </r>
  <r>
    <x v="1"/>
    <s v="0101"/>
    <s v="Ladder Pressure Wash"/>
    <s v="Ladder"/>
    <s v="EQUIPMENT"/>
    <s v="B"/>
    <s v="D"/>
    <s v="Downtime Opportunity"/>
    <s v="Hydraulic Dredge"/>
    <s v="Ladder"/>
    <s v="Ladder System*Ladder"/>
    <x v="5"/>
    <x v="0"/>
  </r>
  <r>
    <x v="1"/>
    <s v="0101"/>
    <s v="Spud Hoist Motor Overhaul"/>
    <s v="Spud Hoist Motor"/>
    <s v="EQUIPMENT"/>
    <s v="B"/>
    <s v="D"/>
    <s v="Spares Rebuild"/>
    <s v="Hydraulic Dredge"/>
    <s v="Spud Hoist Motor"/>
    <s v="Spud System*Spud Hoist Winch*Spud Hoist Motor"/>
    <x v="18"/>
    <x v="0"/>
  </r>
  <r>
    <x v="1"/>
    <s v="0101"/>
    <s v="Spud Hoist Motor Removal"/>
    <s v="Spud Hoist Motor"/>
    <s v="EQUIPMENT"/>
    <s v="B"/>
    <s v="D"/>
    <s v="To Be Written"/>
    <s v="Hydraulic Dredge"/>
    <s v="Spud Hoist Motor"/>
    <s v="Spud System*Spud Hoist Winch*Spud Hoist Motor"/>
    <x v="18"/>
    <x v="1"/>
  </r>
  <r>
    <x v="1"/>
    <s v="0101"/>
    <s v="Spud Hoist Motor Installation"/>
    <s v="Spud Hoist Motor"/>
    <s v="EQUIPMENT"/>
    <s v="B"/>
    <s v="D"/>
    <s v="To Be Written"/>
    <s v="Hydraulic Dredge"/>
    <s v="Spud Hoist Motor"/>
    <s v="Spud System*Spud Hoist Winch*Spud Hoist Motor"/>
    <x v="18"/>
    <x v="1"/>
  </r>
  <r>
    <x v="1"/>
    <s v="0101"/>
    <s v="Cutter Motor (#2) (Stbd) By-Pass Cutter Motor"/>
    <s v="Cutter Motor (#2) (Stbd)"/>
    <s v="EQUIPMENT"/>
    <s v="B"/>
    <s v="D"/>
    <s v="Downtime Opportunity"/>
    <s v="Hydraulic Dredge"/>
    <s v="Cutter Motor (#2) (Stbd)"/>
    <s v="Cutter Machinery*Cutter Motor (#2) (Stbd)"/>
    <x v="6"/>
    <x v="0"/>
  </r>
  <r>
    <x v="1"/>
    <s v="0101"/>
    <s v="Cutter Motor (#1) (Port) By-Pass Cutter Motor"/>
    <s v="Cutter Motor (#1) (Port)"/>
    <s v="EQUIPMENT"/>
    <s v="B"/>
    <s v="D"/>
    <s v="Downtime Opportunity"/>
    <s v="Hydraulic Dredge"/>
    <s v="Cutter Motor (#1) (Port)"/>
    <s v="Cutter Machinery*Cutter Motor (#1) (Port)"/>
    <x v="6"/>
    <x v="0"/>
  </r>
  <r>
    <x v="1"/>
    <s v="0101"/>
    <s v="Spud Hoist Motor Annual Clean/Inspect"/>
    <s v="Spud Hoist Motor"/>
    <s v="EQUIPMENT"/>
    <s v="B"/>
    <s v="D"/>
    <s v="Downtime Opportunity"/>
    <s v="Hydraulic Dredge"/>
    <s v="Spud Hoist Motor"/>
    <s v="Spud System*Spud Hoist Winch*Spud Hoist Motor"/>
    <x v="18"/>
    <x v="0"/>
  </r>
  <r>
    <x v="1"/>
    <s v="0101"/>
    <s v="Lifting Hook, Impeller (AK-UWP) Annual Inspection"/>
    <s v="Ladder Pump (Universal)"/>
    <s v="EQUIPMENT"/>
    <s v="B"/>
    <s v="D"/>
    <s v="Running Work List"/>
    <s v="Hydraulic Dredge"/>
    <s v="Ladder Pump (Universal)"/>
    <s v="Pump, Ladder*Ladder Pump (Universal)"/>
    <x v="11"/>
    <x v="0"/>
  </r>
  <r>
    <x v="1"/>
    <s v="0101"/>
    <s v="Lifting Hook, Inner Shell (AKMPISL) Annual Inspection"/>
    <s v="Dredge Pump"/>
    <s v="EQUIPMENT"/>
    <s v="B"/>
    <s v="D"/>
    <s v="Running Work List"/>
    <s v="Hydraulic Dredge"/>
    <s v="Dredge Pump"/>
    <s v="Pump, Dredge*Dredge Pump"/>
    <x v="3"/>
    <x v="0"/>
  </r>
  <r>
    <x v="1"/>
    <s v="0101"/>
    <s v="Lifting Hook, Impeller (AKMPIMP) Annual Inspection"/>
    <s v="Dredge Pump"/>
    <s v="EQUIPMENT"/>
    <s v="B"/>
    <s v="D"/>
    <s v="Running Work List"/>
    <s v="Hydraulic Dredge"/>
    <s v="Dredge Pump"/>
    <s v="Pump, Dredge*Dredge Pump"/>
    <x v="3"/>
    <x v="0"/>
  </r>
  <r>
    <x v="1"/>
    <s v="0101"/>
    <s v="Lifting Hook, Engine Side Liner (AKMPESL) Annual Inspection"/>
    <s v="Dredge Pump"/>
    <s v="EQUIPMENT"/>
    <s v="B"/>
    <s v="D"/>
    <s v="Running Work List"/>
    <s v="Hydraulic Dredge"/>
    <s v="Dredge Pump"/>
    <s v="Pump, Dredge*Dredge Pump"/>
    <x v="3"/>
    <x v="0"/>
  </r>
  <r>
    <x v="1"/>
    <s v="0101"/>
    <s v="AC Unit (4B) Annual Service"/>
    <s v="AC Unit (4B)"/>
    <s v="EQUIPMENT"/>
    <s v="D"/>
    <s v="D"/>
    <s v="Running Work List"/>
    <s v="Hydraulic Dredge"/>
    <s v="AC Unit (4B)"/>
    <s v="HVAC*AC Unit (4B)"/>
    <x v="13"/>
    <x v="0"/>
  </r>
  <r>
    <x v="1"/>
    <s v="0101"/>
    <s v="AC Unit (4A) Annual Service"/>
    <s v="AC Unit (4A)"/>
    <s v="EQUIPMENT"/>
    <s v="D"/>
    <s v="D"/>
    <s v="Running Work List"/>
    <s v="Hydraulic Dredge"/>
    <s v="AC Unit (4A)"/>
    <s v="HVAC*AC Unit (4A)"/>
    <x v="13"/>
    <x v="0"/>
  </r>
  <r>
    <x v="1"/>
    <s v="0101"/>
    <s v="AC Unit (3B) Annual Service"/>
    <s v="AC Unit (3B)"/>
    <s v="EQUIPMENT"/>
    <s v="D"/>
    <s v="D"/>
    <s v="Running Work List"/>
    <s v="Hydraulic Dredge"/>
    <s v="AC Unit (3B)"/>
    <s v="HVAC*AC Unit (3B)"/>
    <x v="13"/>
    <x v="0"/>
  </r>
  <r>
    <x v="1"/>
    <s v="0101"/>
    <s v="AC Unit (3A) Annual Service"/>
    <s v="AC Unit (3A)"/>
    <s v="EQUIPMENT"/>
    <s v="D"/>
    <s v="D"/>
    <s v="Running Work List"/>
    <s v="Hydraulic Dredge"/>
    <s v="AC Unit (3A)"/>
    <s v="HVAC*AC Unit (3A)"/>
    <x v="13"/>
    <x v="0"/>
  </r>
  <r>
    <x v="1"/>
    <s v="0101"/>
    <s v="AC Unit (2B) Annual Service"/>
    <s v="AC Unit (2B)"/>
    <s v="EQUIPMENT"/>
    <s v="D"/>
    <s v="D"/>
    <s v="Running Work List"/>
    <s v="Hydraulic Dredge"/>
    <s v="AC Unit (2B)"/>
    <s v="HVAC*AC Unit (2B)"/>
    <x v="13"/>
    <x v="0"/>
  </r>
  <r>
    <x v="1"/>
    <s v="0101"/>
    <s v="AC Unit (2A) Annual Service"/>
    <s v="AC Unit (2A)"/>
    <s v="EQUIPMENT"/>
    <s v="D"/>
    <s v="D"/>
    <s v="Running Work List"/>
    <s v="Hydraulic Dredge"/>
    <s v="AC Unit (2A)"/>
    <s v="HVAC*AC Unit (2A)"/>
    <x v="13"/>
    <x v="0"/>
  </r>
  <r>
    <x v="1"/>
    <s v="0101"/>
    <s v="AC Unit (1B) Annual Service"/>
    <s v="AC Unit (1B)"/>
    <s v="EQUIPMENT"/>
    <s v="D"/>
    <s v="D"/>
    <s v="Running Work List"/>
    <s v="Hydraulic Dredge"/>
    <s v="AC Unit (1B)"/>
    <s v="HVAC*AC Unit (1B)"/>
    <x v="13"/>
    <x v="0"/>
  </r>
  <r>
    <x v="1"/>
    <s v="0101"/>
    <s v="AC Unit (1A) Annual Service"/>
    <s v="AC Unit (1A)"/>
    <s v="EQUIPMENT"/>
    <s v="D"/>
    <s v="D"/>
    <s v="Running Work List"/>
    <s v="Hydraulic Dredge"/>
    <s v="AC Unit (1A)"/>
    <s v="HVAC*AC Unit (1A)"/>
    <x v="13"/>
    <x v="0"/>
  </r>
  <r>
    <x v="1"/>
    <s v="0101"/>
    <s v="Swing Winch Motor 5 Year Inspection/Rebuild"/>
    <s v="Swing Winch Motor"/>
    <s v="EQUIPMENT"/>
    <s v="B"/>
    <s v="D"/>
    <s v="Spares Rebuild"/>
    <s v="Hydraulic Dredge"/>
    <s v="Swing Winch Motor"/>
    <s v="Swing*Swing Winch*Swing Winch Motor"/>
    <x v="19"/>
    <x v="0"/>
  </r>
  <r>
    <x v="1"/>
    <s v="0101"/>
    <s v="A/C Unit, Main Annual Service"/>
    <s v="A/C Unit, Main"/>
    <s v="EQUIPMENT"/>
    <s v="D"/>
    <s v="D"/>
    <s v="Running Work List"/>
    <s v="Hydraulic Dredge"/>
    <s v="A/C Unit, Main"/>
    <s v="HVAC*A/C Unit, Main"/>
    <x v="13"/>
    <x v="0"/>
  </r>
  <r>
    <x v="1"/>
    <s v="0101"/>
    <s v="A/C Unit, Lever Room Annual Inspection"/>
    <s v="A/C Unit, Lever Room"/>
    <s v="EQUIPMENT"/>
    <s v="D"/>
    <s v="D"/>
    <s v="Running Work List"/>
    <s v="Hydraulic Dredge"/>
    <s v="A/C Unit, Lever Room"/>
    <s v="HVAC*A/C Unit, Lever Room"/>
    <x v="13"/>
    <x v="0"/>
  </r>
  <r>
    <x v="1"/>
    <s v="0101"/>
    <s v="A/C Unit, Galley Annual PM/Inspection"/>
    <s v="A/C Unit, Galley"/>
    <s v="EQUIPMENT"/>
    <s v="D"/>
    <s v="D"/>
    <s v="Running Work List"/>
    <s v="Hydraulic Dredge"/>
    <s v="A/C Unit, Galley"/>
    <s v="HVAC*A/C Unit, Galley"/>
    <x v="13"/>
    <x v="0"/>
  </r>
  <r>
    <x v="1"/>
    <s v="0101"/>
    <s v="Swing Sheave (Stbd) Annual Inspection"/>
    <s v="Swing Sheave (Stbd)"/>
    <s v="EQUIPMENT"/>
    <s v="D"/>
    <s v="D"/>
    <s v="Downtime Opportunity"/>
    <s v="Hydraulic Dredge"/>
    <s v="Swing Sheave (Stbd)"/>
    <s v="Swing*Swing Sheave (Stbd)"/>
    <x v="19"/>
    <x v="0"/>
  </r>
  <r>
    <x v="1"/>
    <s v="0101"/>
    <s v="A/C Unit, Kitchen Annual PM/Inspection"/>
    <s v="A/C Unit, Kitchen"/>
    <s v="EQUIPMENT"/>
    <s v="D"/>
    <s v="D"/>
    <s v="Running Work List"/>
    <s v="Hydraulic Dredge"/>
    <s v="A/C Unit, Kitchen"/>
    <s v="HVAC*A/C Unit, Kitchen"/>
    <x v="13"/>
    <x v="0"/>
  </r>
  <r>
    <x v="1"/>
    <s v="0101"/>
    <s v="A/C Unit (2400 Volt MCC) Annual PM/Inspection"/>
    <s v="A/C Unit (2400 Volt MCC)"/>
    <s v="EQUIPMENT"/>
    <s v="D"/>
    <s v="D"/>
    <s v="Running Work List"/>
    <s v="Hydraulic Dredge"/>
    <s v="A/C Unit (2400 Volt MCC)"/>
    <s v="HVAC*A/C Unit (2400 Volt MCC)"/>
    <x v="13"/>
    <x v="0"/>
  </r>
  <r>
    <x v="1"/>
    <s v="0101"/>
    <s v="A/C Unit (480 Volt MCC) Annual PM/Inspection"/>
    <s v="A/C Unit (480 Volt MCC)"/>
    <s v="EQUIPMENT"/>
    <s v="D"/>
    <s v="D"/>
    <s v="Running Work List"/>
    <s v="Hydraulic Dredge"/>
    <s v="A/C Unit (480 Volt MCC)"/>
    <s v="HVAC*A/C Unit (480 Volt MCC)"/>
    <x v="13"/>
    <x v="0"/>
  </r>
  <r>
    <x v="1"/>
    <s v="0101"/>
    <s v="Fire Extinguishers (Portable) Annual Inspection"/>
    <s v="Fire Extinguishers (Portable)"/>
    <s v="EQUIPMENT"/>
    <s v="A"/>
    <s v="D"/>
    <s v="Regulatory Requirement"/>
    <s v="Hydraulic Dredge"/>
    <s v="Fire Extinguishers (Portable)"/>
    <s v="Safety Firefighting*Fire Extinguishers (Portable)"/>
    <x v="0"/>
    <x v="0"/>
  </r>
  <r>
    <x v="1"/>
    <s v="0101"/>
    <s v="Fixed (Wet Chemical) Galley Hood Suppression System Annual PM/Inspection"/>
    <s v="Fixed (Wet Chemical) Galley Hood Suppression Syste"/>
    <s v="EQUIPMENT"/>
    <s v="A"/>
    <s v="A"/>
    <s v="Regulatory Requirement"/>
    <s v="Hydraulic Dredge"/>
    <s v="Fixed (Wet Chemical) Galley Hood Suppression Syste"/>
    <s v="Safety Firefighting*Fixed (Wet Chemical) Galley Hood Suppression System"/>
    <x v="0"/>
    <x v="0"/>
  </r>
  <r>
    <x v="1"/>
    <s v="0101"/>
    <s v="Swing Sheave (Stbd) Swing Sheave Overhaul"/>
    <s v="Swing Sheave (Stbd)"/>
    <s v="EQUIPMENT"/>
    <s v="D"/>
    <s v="D"/>
    <s v="Downtime Opportunity"/>
    <s v="Hydraulic Dredge"/>
    <s v="Swing Sheave (Stbd)"/>
    <s v="Swing*Swing Sheave (Stbd)"/>
    <x v="19"/>
    <x v="0"/>
  </r>
  <r>
    <x v="1"/>
    <s v="0101"/>
    <s v="Heat Exchanger Annual Clean/Inspect/Test"/>
    <s v="Heat Exchanger"/>
    <s v="EQUIPMENT"/>
    <s v="B"/>
    <s v="D"/>
    <s v="Downtime Opportunity"/>
    <s v="Hydraulic Dredge"/>
    <s v="Heat Exchanger"/>
    <s v="Pump, Dredge*Dredge Pump Engine (Stbd) (EMD 710)*Heat Exchanger"/>
    <x v="3"/>
    <x v="0"/>
  </r>
  <r>
    <x v="1"/>
    <s v="0101"/>
    <s v="Heat Exchanger Annual Clean/Inspect/Test"/>
    <s v="Heat Exchanger"/>
    <s v="EQUIPMENT"/>
    <s v="B"/>
    <s v="D"/>
    <s v="Downtime Opportunity"/>
    <s v="Hydraulic Dredge"/>
    <s v="Heat Exchanger"/>
    <s v="Pump, Dredge*Dredge Pump Engine (Port) (EMD 710)*Heat Exchanger"/>
    <x v="3"/>
    <x v="0"/>
  </r>
  <r>
    <x v="1"/>
    <s v="0101"/>
    <s v="Stuffing Box (D/P) Pump Gland Re-Pack"/>
    <s v="Stuffing Box (D/P)"/>
    <s v="EQUIPMENT"/>
    <s v="B"/>
    <s v="D"/>
    <s v="Downtime Opportunity"/>
    <s v="Hydraulic Dredge"/>
    <s v="Stuffing Box (D/P)"/>
    <s v="Pump, Dredge*Dredge Pump*Stuffing Box (D/P)"/>
    <x v="3"/>
    <x v="0"/>
  </r>
  <r>
    <x v="1"/>
    <s v="0101"/>
    <s v="Bilge Pump Set (Fwd) Change Line Shaft Brg Oil"/>
    <s v="Bilge Pump Set (Fwd)"/>
    <s v="EQUIPMENT"/>
    <s v="A"/>
    <s v="D"/>
    <s v="Running Work List"/>
    <s v="Hydraulic Dredge"/>
    <s v="Bilge Pump Set (Fwd)"/>
    <s v="Bilge/Ballast*Bilge Pump Set (Fwd)"/>
    <x v="21"/>
    <x v="0"/>
  </r>
  <r>
    <x v="1"/>
    <s v="0101"/>
    <s v="Thrust Bearing (LG-25) Clean/Inspect"/>
    <s v="Thrust Bearing (LG-25)"/>
    <s v="EQUIPMENT"/>
    <s v="B"/>
    <s v="D"/>
    <s v="Downtime Opportunity"/>
    <s v="Hydraulic Dredge"/>
    <s v="Thrust Bearing (LG-25)"/>
    <s v="Pump, Dredge*Shafting*Thrust Bearing (LG-25)"/>
    <x v="3"/>
    <x v="0"/>
  </r>
  <r>
    <x v="1"/>
    <s v="0101"/>
    <s v="Spring Bearing (L-27) Clean/Inspect"/>
    <s v="Spring Bearing (L-27)"/>
    <s v="EQUIPMENT"/>
    <s v="B"/>
    <s v="D"/>
    <s v="Downtime Opportunity"/>
    <s v="Hydraulic Dredge"/>
    <s v="Spring Bearing (L-27)"/>
    <s v="Pump, Dredge*Shafting*Spring Bearing (L-27)"/>
    <x v="3"/>
    <x v="0"/>
  </r>
  <r>
    <x v="1"/>
    <s v="0101"/>
    <s v="Deck Crane Pre-Annual Inspection"/>
    <s v="Deck Crane"/>
    <s v="EQUIPMENT"/>
    <s v="D"/>
    <s v="D"/>
    <s v="Regulatory Requirement"/>
    <s v="Hydraulic Dredge"/>
    <s v="Deck Crane"/>
    <s v="Crane/Hoists*Deck Crane"/>
    <x v="7"/>
    <x v="0"/>
  </r>
  <r>
    <x v="2"/>
    <s v="0110"/>
    <s v="LifeRaft (Stbd # 01) Annual Exchange"/>
    <s v="LifeRaft (Stbd # 01)"/>
    <s v="EQUIPMENT"/>
    <s v="A"/>
    <s v="A"/>
    <s v="Regulatory Requirement"/>
    <s v="Hydraulic Dredge"/>
    <s v="LifeRaft (Stbd # 01)"/>
    <s v="Safety Lifesaving*LifeRaft (Stbd # 01)"/>
    <x v="1"/>
    <x v="0"/>
  </r>
  <r>
    <x v="2"/>
    <s v="0110"/>
    <s v="LifeRaft (Port # 01) Annual Exchange"/>
    <s v="LifeRaft (Port # 01)"/>
    <s v="EQUIPMENT"/>
    <s v="A"/>
    <s v="A"/>
    <s v="Regulatory Requirement"/>
    <s v="Hydraulic Dredge"/>
    <s v="LifeRaft (Port # 01)"/>
    <s v="Safety Lifesaving*LifeRaft (Port # 01)"/>
    <x v="1"/>
    <x v="0"/>
  </r>
  <r>
    <x v="2"/>
    <s v="0110"/>
    <s v="Fire Stations Annual Certification"/>
    <s v="Fire Stations"/>
    <s v="EQUIPMENT"/>
    <s v="A"/>
    <s v="A"/>
    <s v="Regulatory Requirement"/>
    <s v="Hydraulic Dredge"/>
    <s v="Fire Stations"/>
    <s v="Safety Firefighting*Fire Stations"/>
    <x v="0"/>
    <x v="0"/>
  </r>
  <r>
    <x v="2"/>
    <s v="0110"/>
    <s v="Fixed Fire System Annual Certification"/>
    <s v="Fixed Fire System"/>
    <s v="EQUIPMENT"/>
    <s v="A"/>
    <s v="A"/>
    <s v="Regulatory Requirement"/>
    <s v="Hydraulic Dredge"/>
    <s v="Fixed Fire System"/>
    <s v="Safety Firefighting*Fixed Fire System"/>
    <x v="0"/>
    <x v="0"/>
  </r>
  <r>
    <x v="2"/>
    <s v="0110"/>
    <s v="Fire Pump Annual PM/Inspection"/>
    <s v="Fire Pump"/>
    <s v="EQUIPMENT"/>
    <s v="A"/>
    <s v="A"/>
    <s v="Running Work List"/>
    <s v="Hydraulic Dredge"/>
    <s v="Fire Pump"/>
    <s v="Safety Firefighting*Fire Pump"/>
    <x v="0"/>
    <x v="0"/>
  </r>
  <r>
    <x v="2"/>
    <s v="0110"/>
    <s v="Desalinator, Port Monthly PM/Inspection"/>
    <s v="Desalinator, Port"/>
    <s v="EQUIPMENT"/>
    <s v="C"/>
    <s v="B"/>
    <s v="Running Work List"/>
    <s v="Hydraulic Dredge"/>
    <s v="Desalinator, Port"/>
    <s v="Potable Water*Desalinator, Port"/>
    <x v="2"/>
    <x v="0"/>
  </r>
  <r>
    <x v="2"/>
    <s v="0110"/>
    <s v="Desalinator, Stbd Monthly PM/Inspection"/>
    <s v="Desalinator, Stbd"/>
    <s v="EQUIPMENT"/>
    <s v="C"/>
    <s v="B"/>
    <s v="Running Work List"/>
    <s v="Hydraulic Dredge"/>
    <s v="Desalinator, Stbd"/>
    <s v="Potable Water*Desalinator, Stbd"/>
    <x v="2"/>
    <x v="0"/>
  </r>
  <r>
    <x v="2"/>
    <s v="0110"/>
    <s v="Ladder Hoist Winch Monthly Inspection"/>
    <s v="Ladder Hoist Winch"/>
    <s v="EQUIPMENT"/>
    <s v="B"/>
    <s v="B"/>
    <s v="Downtime Opportunity"/>
    <s v="Hydraulic Dredge"/>
    <s v="Ladder Hoist Winch"/>
    <s v="Ladder System*Ladder Hoist Winch"/>
    <x v="5"/>
    <x v="0"/>
  </r>
  <r>
    <x v="2"/>
    <s v="0110"/>
    <s v="Pump Bearing Assembly (L/P) 1000 HR PM"/>
    <s v="Pump Bearing Assembly (L/P)"/>
    <s v="EQUIPMENT"/>
    <s v="B"/>
    <s v="B"/>
    <s v="Downtime Opportunity"/>
    <s v="Hydraulic Dredge"/>
    <s v="Pump Bearing Assembly (L/P)"/>
    <s v="Pump, Ladder*Shafting*Pump Bearing Assembly (L/P)"/>
    <x v="11"/>
    <x v="0"/>
  </r>
  <r>
    <x v="2"/>
    <s v="0110"/>
    <s v="Pump Bearing Assembly (D/P) (Stbd) 1000 HR PM"/>
    <s v="Pump Bearing Assembly (D/P) (Stbd)"/>
    <s v="EQUIPMENT"/>
    <s v="B"/>
    <s v="B"/>
    <s v="Downtime Opportunity"/>
    <s v="Hydraulic Dredge"/>
    <s v="Pump Bearing Assembly (D/P) (Stbd)"/>
    <s v="Pump, Dredge (Stbd)*Shafting*Pump Bearing Assembly (D/P) (Stbd)"/>
    <x v="28"/>
    <x v="0"/>
  </r>
  <r>
    <x v="2"/>
    <s v="0110"/>
    <s v="Pump Bearing Assembly (D/P) (Port) 1000 HR PM"/>
    <s v="Pump Bearing Assembly (D/P) (Port)"/>
    <s v="EQUIPMENT"/>
    <s v="B"/>
    <s v="B"/>
    <s v="Downtime Opportunity"/>
    <s v="Hydraulic Dredge"/>
    <s v="Pump Bearing Assembly (D/P) (Port)"/>
    <s v="Pump, Dredge (Port)*Shafting*Pump Bearing Assembly (D/P) (Port)"/>
    <x v="29"/>
    <x v="0"/>
  </r>
  <r>
    <x v="2"/>
    <s v="0110"/>
    <s v="Pump Bearing Assembly (L/P) 2000 HR PM"/>
    <s v="Pump Bearing Assembly (L/P)"/>
    <s v="EQUIPMENT"/>
    <s v="B"/>
    <s v="B"/>
    <s v="Downtime Opportunity"/>
    <s v="Hydraulic Dredge"/>
    <s v="Pump Bearing Assembly (L/P)"/>
    <s v="Pump, Ladder*Shafting*Pump Bearing Assembly (L/P)"/>
    <x v="11"/>
    <x v="0"/>
  </r>
  <r>
    <x v="2"/>
    <s v="0110"/>
    <s v="Pump Bearing Assembly (D/P) (Stbd) 2000 HR PM"/>
    <s v="Pump Bearing Assembly (D/P) (Stbd)"/>
    <s v="EQUIPMENT"/>
    <s v="B"/>
    <s v="B"/>
    <s v="Downtime Opportunity"/>
    <s v="Hydraulic Dredge"/>
    <s v="Pump Bearing Assembly (D/P) (Stbd)"/>
    <s v="Pump, Dredge (Stbd)*Shafting*Pump Bearing Assembly (D/P) (Stbd)"/>
    <x v="28"/>
    <x v="0"/>
  </r>
  <r>
    <x v="2"/>
    <s v="0110"/>
    <s v="Pump Bearing Assembly (D/P) (Port) 2000 HR PM"/>
    <s v="Pump Bearing Assembly (D/P) (Port)"/>
    <s v="EQUIPMENT"/>
    <s v="B"/>
    <s v="B"/>
    <s v="Downtime Opportunity"/>
    <s v="Hydraulic Dredge"/>
    <s v="Pump Bearing Assembly (D/P) (Port)"/>
    <s v="Pump, Dredge (Port)*Shafting*Pump Bearing Assembly (D/P) (Port)"/>
    <x v="29"/>
    <x v="0"/>
  </r>
  <r>
    <x v="2"/>
    <s v="0110"/>
    <s v="Thrust Bearing Assembly 1000 HR PM"/>
    <s v="Thrust Bearing"/>
    <s v="EQUIPMENT"/>
    <s v="B"/>
    <s v="D"/>
    <s v="Downtime Opportunity"/>
    <s v="Hydraulic Dredge"/>
    <s v="Thrust Bearing"/>
    <s v="Cutter Machinery*Thrust Bearing"/>
    <x v="6"/>
    <x v="0"/>
  </r>
  <r>
    <x v="2"/>
    <s v="0110"/>
    <s v="Thrust Bearing Assembly 5000 HR PM"/>
    <s v="Thrust Bearing"/>
    <s v="EQUIPMENT"/>
    <s v="B"/>
    <s v="D"/>
    <s v="Downtime Opportunity"/>
    <s v="Hydraulic Dredge"/>
    <s v="Thrust Bearing"/>
    <s v="Cutter Machinery*Thrust Bearing"/>
    <x v="6"/>
    <x v="0"/>
  </r>
  <r>
    <x v="2"/>
    <s v="0110"/>
    <s v="D/P Engine Stbd 1000 HR PM"/>
    <s v="Dredge Pump Engine (Stbd) (EMD 645)"/>
    <s v="EQUIPMENT"/>
    <s v="B"/>
    <s v="B"/>
    <s v="Downtime Opportunity"/>
    <s v="Hydraulic Dredge"/>
    <s v="Dredge Pump Engine (Stbd) (EMD 645)"/>
    <s v="Pump, Dredge (Stbd)*Dredge Pump Engine (Stbd) (EMD 645)"/>
    <x v="28"/>
    <x v="0"/>
  </r>
  <r>
    <x v="2"/>
    <s v="0110"/>
    <s v="D/P Engine Port 1000 HR PM"/>
    <s v="Dredge Pump Engine Port (EMD 645)"/>
    <s v="EQUIPMENT"/>
    <s v="B"/>
    <s v="B"/>
    <s v="Downtime Opportunity"/>
    <s v="Hydraulic Dredge"/>
    <s v="Dredge Pump Engine Port (EMD 645)"/>
    <s v="Pump, Dredge (Port)*Dredge Pump Engine Port (EMD 645)"/>
    <x v="29"/>
    <x v="0"/>
  </r>
  <r>
    <x v="2"/>
    <s v="0110"/>
    <s v="Main Generator Engine (Port) (EMD 645) 1000 HR PM"/>
    <s v="Main Generator Engine (Port) (EMD 645)"/>
    <s v="EQUIPMENT"/>
    <s v="B"/>
    <s v="A"/>
    <s v="Downtime Opportunity"/>
    <s v="Hydraulic Dredge"/>
    <s v="Main Generator Engine (Port) (EMD 645)"/>
    <s v="Generators*Main Genset (Port)*Main Generator Engine (Port) (EMD 645)"/>
    <x v="4"/>
    <x v="0"/>
  </r>
  <r>
    <x v="2"/>
    <s v="0110"/>
    <s v="D/P Engine Stbd 4000 HR PM/Inspection"/>
    <s v="Dredge Pump Engine (Stbd) (EMD 645)"/>
    <s v="EQUIPMENT"/>
    <s v="B"/>
    <s v="B"/>
    <s v="Downtime Opportunity"/>
    <s v="Hydraulic Dredge"/>
    <s v="Dredge Pump Engine (Stbd) (EMD 645)"/>
    <s v="Pump, Dredge (Stbd)*Dredge Pump Engine (Stbd) (EMD 645)"/>
    <x v="28"/>
    <x v="0"/>
  </r>
  <r>
    <x v="2"/>
    <s v="0110"/>
    <s v="D/P Engine Port 4000 HR PM/Inspection"/>
    <s v="Dredge Pump Engine Port (EMD 645)"/>
    <s v="EQUIPMENT"/>
    <s v="B"/>
    <s v="B"/>
    <s v="Downtime Opportunity"/>
    <s v="Hydraulic Dredge"/>
    <s v="Dredge Pump Engine Port (EMD 645)"/>
    <s v="Pump, Dredge (Port)*Dredge Pump Engine Port (EMD 645)"/>
    <x v="29"/>
    <x v="0"/>
  </r>
  <r>
    <x v="2"/>
    <s v="0110"/>
    <s v="Main Generator Engine (Port) (EMD 645) 4000 HR PM/Inspection"/>
    <s v="Main Generator Engine (Port) (EMD 645)"/>
    <s v="EQUIPMENT"/>
    <s v="B"/>
    <s v="A"/>
    <s v="Downtime Opportunity"/>
    <s v="Hydraulic Dredge"/>
    <s v="Main Generator Engine (Port) (EMD 645)"/>
    <s v="Generators*Main Genset (Port)*Main Generator Engine (Port) (EMD 645)"/>
    <x v="4"/>
    <x v="0"/>
  </r>
  <r>
    <x v="2"/>
    <s v="0110"/>
    <s v="D/P Engine Stbd 8000 HR PM (Job # 2)"/>
    <s v="Dredge Pump Engine (Stbd) (EMD 645)"/>
    <s v="EQUIPMENT"/>
    <s v="B"/>
    <s v="B"/>
    <s v="Downtime Opportunity"/>
    <s v="Hydraulic Dredge"/>
    <s v="Dredge Pump Engine (Stbd) (EMD 645)"/>
    <s v="Pump, Dredge (Stbd)*Dredge Pump Engine (Stbd) (EMD 645)"/>
    <x v="28"/>
    <x v="0"/>
  </r>
  <r>
    <x v="2"/>
    <s v="0110"/>
    <s v="D/P Engine Port 8000 HR PM (Job # 2)"/>
    <s v="Dredge Pump Engine Port (EMD 645)"/>
    <s v="EQUIPMENT"/>
    <s v="B"/>
    <s v="B"/>
    <s v="Downtime Opportunity"/>
    <s v="Hydraulic Dredge"/>
    <s v="Dredge Pump Engine Port (EMD 645)"/>
    <s v="Pump, Dredge (Port)*Dredge Pump Engine Port (EMD 645)"/>
    <x v="29"/>
    <x v="0"/>
  </r>
  <r>
    <x v="2"/>
    <s v="0110"/>
    <s v="Main Generator Engine (Port) (EMD 645) 8000 HR PM (Job # 2)"/>
    <s v="Main Generator Engine (Port) (EMD 645)"/>
    <s v="EQUIPMENT"/>
    <s v="B"/>
    <s v="A"/>
    <s v="Downtime Opportunity"/>
    <s v="Hydraulic Dredge"/>
    <s v="Main Generator Engine (Port) (EMD 645)"/>
    <s v="Generators*Main Genset (Port)*Main Generator Engine (Port) (EMD 645)"/>
    <x v="4"/>
    <x v="0"/>
  </r>
  <r>
    <x v="2"/>
    <s v="0110"/>
    <s v="D/P Engine Stbd Inspection"/>
    <s v="Dredge Pump Engine (Stbd) (EMD 645)"/>
    <s v="EQUIPMENT"/>
    <s v="B"/>
    <s v="B"/>
    <s v="Downtime Opportunity"/>
    <s v="Hydraulic Dredge"/>
    <s v="Dredge Pump Engine (Stbd) (EMD 645)"/>
    <s v="Pump, Dredge (Stbd)*Dredge Pump Engine (Stbd) (EMD 645)"/>
    <x v="28"/>
    <x v="0"/>
  </r>
  <r>
    <x v="2"/>
    <s v="0110"/>
    <s v="D/P Engine Port Inspection"/>
    <s v="Dredge Pump Engine Port (EMD 645)"/>
    <s v="EQUIPMENT"/>
    <s v="B"/>
    <s v="B"/>
    <s v="Downtime Opportunity"/>
    <s v="Hydraulic Dredge"/>
    <s v="Dredge Pump Engine Port (EMD 645)"/>
    <s v="Pump, Dredge (Port)*Dredge Pump Engine Port (EMD 645)"/>
    <x v="29"/>
    <x v="0"/>
  </r>
  <r>
    <x v="2"/>
    <s v="0110"/>
    <s v="Main Generator Engine (Port) (EMD 645) Inspection"/>
    <s v="Main Generator Engine (Port) (EMD 645)"/>
    <s v="EQUIPMENT"/>
    <s v="B"/>
    <s v="A"/>
    <s v="Downtime Opportunity"/>
    <s v="Hydraulic Dredge"/>
    <s v="Main Generator Engine (Port) (EMD 645)"/>
    <s v="Generators*Main Genset (Port)*Main Generator Engine (Port) (EMD 645)"/>
    <x v="4"/>
    <x v="0"/>
  </r>
  <r>
    <x v="2"/>
    <s v="0110"/>
    <s v="D/P Engine Stbd 30000 HR PM (Overhaul)"/>
    <s v="Dredge Pump Engine (Stbd) (EMD 645)"/>
    <s v="EQUIPMENT"/>
    <s v="B"/>
    <s v="B"/>
    <s v="Idle/Inactive Period"/>
    <s v="Hydraulic Dredge"/>
    <s v="Dredge Pump Engine (Stbd) (EMD 645)"/>
    <s v="Pump, Dredge (Stbd)*Dredge Pump Engine (Stbd) (EMD 645)"/>
    <x v="28"/>
    <x v="0"/>
  </r>
  <r>
    <x v="2"/>
    <s v="0110"/>
    <s v="D/P Engine Port 30000 HR PM (Overhaul)"/>
    <s v="Dredge Pump Engine Port (EMD 645)"/>
    <s v="EQUIPMENT"/>
    <s v="B"/>
    <s v="B"/>
    <s v="Idle/Inactive Period"/>
    <s v="Hydraulic Dredge"/>
    <s v="Dredge Pump Engine Port (EMD 645)"/>
    <s v="Pump, Dredge (Port)*Dredge Pump Engine Port (EMD 645)"/>
    <x v="29"/>
    <x v="0"/>
  </r>
  <r>
    <x v="2"/>
    <s v="0110"/>
    <s v="Main Generator Engine (Port) (EMD 645) 30000 HR PM (Overhaul)"/>
    <s v="Main Generator Engine (Port) (EMD 645)"/>
    <s v="EQUIPMENT"/>
    <s v="B"/>
    <s v="A"/>
    <s v="Idle/Inactive Period"/>
    <s v="Hydraulic Dredge"/>
    <s v="Main Generator Engine (Port) (EMD 645)"/>
    <s v="Generators*Main Genset (Port)*Main Generator Engine (Port) (EMD 645)"/>
    <x v="4"/>
    <x v="0"/>
  </r>
  <r>
    <x v="2"/>
    <s v="0110"/>
    <s v="Clutch (32VC1000) 1000 HR PM"/>
    <s v="Clutch (32VC1000)"/>
    <s v="EQUIPMENT"/>
    <s v="B"/>
    <s v="B"/>
    <s v="Downtime Opportunity"/>
    <s v="Hydraulic Dredge"/>
    <s v="Clutch (32VC1000)"/>
    <s v="Pump, Dredge (Stbd)*Dredge Pump Gearbox (Stbd)*Clutch (32VC1000)"/>
    <x v="28"/>
    <x v="0"/>
  </r>
  <r>
    <x v="2"/>
    <s v="0110"/>
    <s v="Clutch (32VC1000) 1000 HR PM"/>
    <s v="Clutch (32VC1000)"/>
    <s v="EQUIPMENT"/>
    <s v="B"/>
    <s v="B"/>
    <s v="Downtime Opportunity"/>
    <s v="Hydraulic Dredge"/>
    <s v="Clutch (32VC1000)"/>
    <s v="Pump, Dredge (Port)*Dredge Pump Gearbox (Port)*Clutch (32VC1000)"/>
    <x v="29"/>
    <x v="0"/>
  </r>
  <r>
    <x v="2"/>
    <s v="0110"/>
    <s v="Clutch (32VC1000) 12000 HR PM"/>
    <s v="Clutch (32VC1000)"/>
    <s v="EQUIPMENT"/>
    <s v="B"/>
    <s v="B"/>
    <s v="Downtime Opportunity"/>
    <s v="Hydraulic Dredge"/>
    <s v="Clutch (32VC1000)"/>
    <s v="Pump, Dredge (Stbd)*Dredge Pump Gearbox (Stbd)*Clutch (32VC1000)"/>
    <x v="28"/>
    <x v="0"/>
  </r>
  <r>
    <x v="2"/>
    <s v="0110"/>
    <s v="Clutch (32VC1000) 12000 HR PM"/>
    <s v="Clutch (32VC1000)"/>
    <s v="EQUIPMENT"/>
    <s v="B"/>
    <s v="B"/>
    <s v="Downtime Opportunity"/>
    <s v="Hydraulic Dredge"/>
    <s v="Clutch (32VC1000)"/>
    <s v="Pump, Dredge (Port)*Dredge Pump Gearbox (Port)*Clutch (32VC1000)"/>
    <x v="29"/>
    <x v="0"/>
  </r>
  <r>
    <x v="2"/>
    <s v="0110"/>
    <s v="Ladder Pump Motor (Stbd) 1000 HR PM"/>
    <s v="Ladder Pump Motor (Stbd)"/>
    <s v="EQUIPMENT"/>
    <s v="B"/>
    <s v="B"/>
    <s v="Downtime Opportunity"/>
    <s v="Hydraulic Dredge"/>
    <s v="Ladder Pump Motor (Stbd)"/>
    <s v="Pump, Ladder*Ladder Pump Motor (Stbd)"/>
    <x v="11"/>
    <x v="0"/>
  </r>
  <r>
    <x v="2"/>
    <s v="0110"/>
    <s v="Ladder Pump Motor (Stbd) 3000 HR PM"/>
    <s v="Ladder Pump Motor (Stbd)"/>
    <s v="EQUIPMENT"/>
    <s v="B"/>
    <s v="B"/>
    <s v="Downtime Opportunity"/>
    <s v="Hydraulic Dredge"/>
    <s v="Ladder Pump Motor (Stbd)"/>
    <s v="Pump, Ladder*Ladder Pump Motor (Stbd)"/>
    <x v="11"/>
    <x v="0"/>
  </r>
  <r>
    <x v="2"/>
    <s v="0110"/>
    <s v="Cutter Gearbox 1000 HR PM"/>
    <s v="Cutter Gearbox"/>
    <s v="EQUIPMENT"/>
    <s v="A"/>
    <s v="D"/>
    <s v="Downtime Opportunity"/>
    <s v="Hydraulic Dredge"/>
    <s v="Cutter Gearbox"/>
    <s v="Cutter Machinery*Cutter Gearbox"/>
    <x v="6"/>
    <x v="0"/>
  </r>
  <r>
    <x v="2"/>
    <s v="0110"/>
    <s v="Cutter Gearbox 6000 HR PM"/>
    <s v="Cutter Gearbox"/>
    <s v="EQUIPMENT"/>
    <s v="A"/>
    <s v="D"/>
    <s v="Downtime Opportunity"/>
    <s v="Hydraulic Dredge"/>
    <s v="Cutter Gearbox"/>
    <s v="Cutter Machinery*Cutter Gearbox"/>
    <x v="6"/>
    <x v="0"/>
  </r>
  <r>
    <x v="2"/>
    <s v="0110"/>
    <s v="Service Crane Inspection"/>
    <s v="Service Crane"/>
    <s v="EQUIPMENT"/>
    <s v="C"/>
    <s v="D"/>
    <s v="Downtime Opportunity"/>
    <s v="Hydraulic Dredge"/>
    <s v="Service Crane"/>
    <s v="Crane/Hoists*Service Crane"/>
    <x v="7"/>
    <x v="0"/>
  </r>
  <r>
    <x v="2"/>
    <s v="0110"/>
    <s v="Service Crane Annual Inspection"/>
    <s v="Service Crane"/>
    <s v="EQUIPMENT"/>
    <s v="C"/>
    <s v="D"/>
    <s v="Draft"/>
    <s v="Hydraulic Dredge"/>
    <s v="Service Crane"/>
    <s v="Crane/Hoists*Service Crane"/>
    <x v="7"/>
    <x v="0"/>
  </r>
  <r>
    <x v="2"/>
    <s v="0110"/>
    <s v="Main Generator Engine (Stbd) (EMD 645) 1000 HR PM"/>
    <s v="Main Generator Engine (Stbd) (EMD 645)"/>
    <s v="EQUIPMENT"/>
    <s v="B"/>
    <s v="A"/>
    <s v="Downtime Opportunity"/>
    <s v="Hydraulic Dredge"/>
    <s v="Main Generator Engine (Stbd) (EMD 645)"/>
    <s v="Generators*Main Genset (Stbd)*Main Generator Engine (Stbd) (EMD 645)"/>
    <x v="4"/>
    <x v="0"/>
  </r>
  <r>
    <x v="2"/>
    <s v="0110"/>
    <s v="Main Generator Engine (Stbd) (EMD 645) 4000 HR PM/Inspection"/>
    <s v="Main Generator Engine (Stbd) (EMD 645)"/>
    <s v="EQUIPMENT"/>
    <s v="B"/>
    <s v="A"/>
    <s v="Downtime Opportunity"/>
    <s v="Hydraulic Dredge"/>
    <s v="Main Generator Engine (Stbd) (EMD 645)"/>
    <s v="Generators*Main Genset (Stbd)*Main Generator Engine (Stbd) (EMD 645)"/>
    <x v="4"/>
    <x v="0"/>
  </r>
  <r>
    <x v="2"/>
    <s v="0110"/>
    <s v="Main Generator Engine (Stbd) (EMD 645) 8000 HR PM (Job # 2)"/>
    <s v="Main Generator Engine (Stbd) (EMD 645)"/>
    <s v="EQUIPMENT"/>
    <s v="B"/>
    <s v="A"/>
    <s v="Downtime Opportunity"/>
    <s v="Hydraulic Dredge"/>
    <s v="Main Generator Engine (Stbd) (EMD 645)"/>
    <s v="Generators*Main Genset (Stbd)*Main Generator Engine (Stbd) (EMD 645)"/>
    <x v="4"/>
    <x v="0"/>
  </r>
  <r>
    <x v="2"/>
    <s v="0110"/>
    <s v="Main Generator Engine (Stbd) (EMD 645) Inspection"/>
    <s v="Main Generator Engine (Stbd) (EMD 645)"/>
    <s v="EQUIPMENT"/>
    <s v="B"/>
    <s v="A"/>
    <s v="Downtime Opportunity"/>
    <s v="Hydraulic Dredge"/>
    <s v="Main Generator Engine (Stbd) (EMD 645)"/>
    <s v="Generators*Main Genset (Stbd)*Main Generator Engine (Stbd) (EMD 645)"/>
    <x v="4"/>
    <x v="0"/>
  </r>
  <r>
    <x v="2"/>
    <s v="0110"/>
    <s v="Main Generator Engine (Stbd) (EMD 645) 30000 HR PM (Overhaul)"/>
    <s v="Main Generator Engine (Stbd) (EMD 645)"/>
    <s v="EQUIPMENT"/>
    <s v="B"/>
    <s v="A"/>
    <s v="Idle/Inactive Period"/>
    <s v="Hydraulic Dredge"/>
    <s v="Main Generator Engine (Stbd) (EMD 645)"/>
    <s v="Generators*Main Genset (Stbd)*Main Generator Engine (Stbd) (EMD 645)"/>
    <x v="4"/>
    <x v="0"/>
  </r>
  <r>
    <x v="2"/>
    <s v="0110"/>
    <s v="Gland Seal Pump Set (#6) Semi-Annual Inspect/Test"/>
    <s v="Gland Seal Pump Set (#6)"/>
    <s v="EQUIPMENT"/>
    <s v="C"/>
    <s v="C"/>
    <s v="Running Work List"/>
    <s v="Hydraulic Dredge"/>
    <s v="Gland Seal Pump Set (#6)"/>
    <s v="Gland Seal*Gland Seal Pump Set (#6)"/>
    <x v="8"/>
    <x v="0"/>
  </r>
  <r>
    <x v="2"/>
    <s v="0110"/>
    <s v="Gland Seal Pump Set (#5) Semi-Annual Inspect/Test"/>
    <s v="Gland Seal Pump Set (#5)"/>
    <s v="EQUIPMENT"/>
    <s v="C"/>
    <s v="C"/>
    <s v="Running Work List"/>
    <s v="Hydraulic Dredge"/>
    <s v="Gland Seal Pump Set (#5)"/>
    <s v="Gland Seal*Gland Seal Pump Set (#5)"/>
    <x v="8"/>
    <x v="0"/>
  </r>
  <r>
    <x v="2"/>
    <s v="0110"/>
    <s v="Gland Seal Pump Set (#4) Semi-Annual Inspect/Test"/>
    <s v="Gland Seal Pump Set (#4)"/>
    <s v="EQUIPMENT"/>
    <s v="C"/>
    <s v="C"/>
    <s v="Running Work List"/>
    <s v="Hydraulic Dredge"/>
    <s v="Gland Seal Pump Set (#4)"/>
    <s v="Gland Seal*Gland Seal Pump Set (#4)"/>
    <x v="8"/>
    <x v="0"/>
  </r>
  <r>
    <x v="2"/>
    <s v="0110"/>
    <s v="Gland Seal Pump Set (#3) Semi-Annual Inspect/Test"/>
    <s v="Gland Seal Pump Set (#3)"/>
    <s v="EQUIPMENT"/>
    <s v="C"/>
    <s v="C"/>
    <s v="Running Work List"/>
    <s v="Hydraulic Dredge"/>
    <s v="Gland Seal Pump Set (#3)"/>
    <s v="Gland Seal*Gland Seal Pump Set (#3)"/>
    <x v="8"/>
    <x v="0"/>
  </r>
  <r>
    <x v="2"/>
    <s v="0110"/>
    <s v="Service Water Pump (#2) Semi-Annual Inspect/Test"/>
    <s v="Service Water Pump (#2)"/>
    <s v="EQUIPMENT"/>
    <s v="C"/>
    <s v="D"/>
    <s v="Running Work List"/>
    <s v="Hydraulic Dredge"/>
    <s v="Service Water Pump (#2)"/>
    <s v="Raw Water*Service Water Pump (#2)"/>
    <x v="16"/>
    <x v="0"/>
  </r>
  <r>
    <x v="2"/>
    <s v="0110"/>
    <s v="Service Water Pump (#1) Semi-Annual Inspect/Test"/>
    <s v="Service Water Pump (#1)"/>
    <s v="EQUIPMENT"/>
    <s v="C"/>
    <s v="D"/>
    <s v="Running Work List"/>
    <s v="Hydraulic Dredge"/>
    <s v="Service Water Pump (#1)"/>
    <s v="Raw Water*Service Water Pump (#1)"/>
    <x v="16"/>
    <x v="0"/>
  </r>
  <r>
    <x v="2"/>
    <s v="0110"/>
    <s v="Dredge Pump (Stbd) Impeller Clearance Adjust"/>
    <s v="Dredge Pump (Stbd)"/>
    <s v="EQUIPMENT"/>
    <s v="B"/>
    <s v="B"/>
    <s v="Downtime Opportunity"/>
    <s v="Hydraulic Dredge"/>
    <s v="Dredge Pump (Stbd)"/>
    <s v="Pump, Dredge (Stbd)*Dredge Pump (Stbd)"/>
    <x v="28"/>
    <x v="0"/>
  </r>
  <r>
    <x v="2"/>
    <s v="0110"/>
    <s v="Dredge Pump (Port) Impeller Clearance Adjust"/>
    <s v="Dredge Pump (Port)"/>
    <s v="EQUIPMENT"/>
    <s v="B"/>
    <s v="B"/>
    <s v="Downtime Opportunity"/>
    <s v="Hydraulic Dredge"/>
    <s v="Dredge Pump (Port)"/>
    <s v="Pump, Dredge (Port)*Dredge Pump (Port)"/>
    <x v="29"/>
    <x v="0"/>
  </r>
  <r>
    <x v="2"/>
    <s v="0110"/>
    <s v="D/P Engine Stbd 8000 HR PM (Job # 1)"/>
    <s v="Dredge Pump Engine (Stbd) (EMD 645)"/>
    <s v="EQUIPMENT"/>
    <s v="B"/>
    <s v="B"/>
    <s v="Downtime Opportunity"/>
    <s v="Hydraulic Dredge"/>
    <s v="Dredge Pump Engine (Stbd) (EMD 645)"/>
    <s v="Pump, Dredge (Stbd)*Dredge Pump Engine (Stbd) (EMD 645)"/>
    <x v="28"/>
    <x v="0"/>
  </r>
  <r>
    <x v="2"/>
    <s v="0110"/>
    <s v="D/P Engine Port 8000 HR PM (Job # 1)"/>
    <s v="Dredge Pump Engine Port (EMD 645)"/>
    <s v="EQUIPMENT"/>
    <s v="B"/>
    <s v="B"/>
    <s v="Downtime Opportunity"/>
    <s v="Hydraulic Dredge"/>
    <s v="Dredge Pump Engine Port (EMD 645)"/>
    <s v="Pump, Dredge (Port)*Dredge Pump Engine Port (EMD 645)"/>
    <x v="29"/>
    <x v="0"/>
  </r>
  <r>
    <x v="2"/>
    <s v="0110"/>
    <s v="Main Generator Engine (Stbd) (EMD 645) 8000 HR PM (Job # 1)"/>
    <s v="Main Generator Engine (Stbd) (EMD 645)"/>
    <s v="EQUIPMENT"/>
    <s v="B"/>
    <s v="A"/>
    <s v="Downtime Opportunity"/>
    <s v="Hydraulic Dredge"/>
    <s v="Main Generator Engine (Stbd) (EMD 645)"/>
    <s v="Generators*Main Genset (Stbd)*Main Generator Engine (Stbd) (EMD 645)"/>
    <x v="4"/>
    <x v="0"/>
  </r>
  <r>
    <x v="2"/>
    <s v="0110"/>
    <s v="Main Generator Engine (Port) (EMD 645) 8000 HR PM (Job # 1)"/>
    <s v="Main Generator Engine (Port) (EMD 645)"/>
    <s v="EQUIPMENT"/>
    <s v="B"/>
    <s v="A"/>
    <s v="Downtime Opportunity"/>
    <s v="Hydraulic Dredge"/>
    <s v="Main Generator Engine (Port) (EMD 645)"/>
    <s v="Generators*Main Genset (Port)*Main Generator Engine (Port) (EMD 645)"/>
    <x v="4"/>
    <x v="0"/>
  </r>
  <r>
    <x v="2"/>
    <s v="0110"/>
    <s v="Multi-Pak 2 Cyl Air Cart Monthly Inspection"/>
    <s v="Multi-Pak 2 Cyl Air Cart"/>
    <s v="EQUIPMENT"/>
    <s v="A"/>
    <s v="A"/>
    <s v="Regulatory Requirement"/>
    <s v="Hydraulic Dredge"/>
    <s v="Multi-Pak 2 Cyl Air Cart"/>
    <s v="Safety Lifesaving*Multi-Pak 2 Cyl Air Cart"/>
    <x v="1"/>
    <x v="0"/>
  </r>
  <r>
    <x v="2"/>
    <s v="0110"/>
    <s v="Multi-Pak 2 Cyl Air Cart Annual Inspection"/>
    <s v="Multi-Pak 2 Cyl Air Cart"/>
    <s v="EQUIPMENT"/>
    <s v="A"/>
    <s v="A"/>
    <s v="Regulatory Requirement"/>
    <s v="Hydraulic Dredge"/>
    <s v="Multi-Pak 2 Cyl Air Cart"/>
    <s v="Safety Lifesaving*Multi-Pak 2 Cyl Air Cart"/>
    <x v="1"/>
    <x v="0"/>
  </r>
  <r>
    <x v="2"/>
    <s v="0110"/>
    <s v="Multi-Pak 2 Cyl Air Cart 4-Year Inspection"/>
    <s v="Multi-Pak 2 Cyl Air Cart"/>
    <s v="EQUIPMENT"/>
    <s v="A"/>
    <s v="A"/>
    <s v="Regulatory Requirement"/>
    <s v="Hydraulic Dredge"/>
    <s v="Multi-Pak 2 Cyl Air Cart"/>
    <s v="Safety Lifesaving*Multi-Pak 2 Cyl Air Cart"/>
    <x v="1"/>
    <x v="0"/>
  </r>
  <r>
    <x v="2"/>
    <s v="0110"/>
    <s v="Cutter Motor (GE 567) (Port) 1000 HR PM"/>
    <s v="Cutter Motor (GE 567) (Port)"/>
    <s v="EQUIPMENT"/>
    <s v="D"/>
    <s v="D"/>
    <s v="Downtime Opportunity"/>
    <s v="Hydraulic Dredge"/>
    <s v="Cutter Motor (GE 567) (Port)"/>
    <s v="Cutter Machinery*Cutter Motor (GE 567) (Port)"/>
    <x v="6"/>
    <x v="0"/>
  </r>
  <r>
    <x v="2"/>
    <s v="0110"/>
    <s v="Cutter Motor (GE 567) (Port) 5000 HR PM (Overhaul)"/>
    <s v="Cutter Motor (GE 567) (Port)"/>
    <s v="EQUIPMENT"/>
    <s v="D"/>
    <s v="D"/>
    <s v="Downtime Opportunity"/>
    <s v="Hydraulic Dredge"/>
    <s v="Cutter Motor (GE 567) (Port)"/>
    <s v="Cutter Machinery*Cutter Motor (GE 567) (Port)"/>
    <x v="6"/>
    <x v="0"/>
  </r>
  <r>
    <x v="2"/>
    <s v="0110"/>
    <s v="Tailshaft, Cutter Removal"/>
    <s v="Tailshaft, Cutter"/>
    <s v="EQUIPMENT"/>
    <s v="B"/>
    <s v="D"/>
    <s v="Downtime Opportunity"/>
    <s v="Hydraulic Dredge"/>
    <s v="Tailshaft, Cutter"/>
    <s v="Cutter Machinery*Tailshaft, Cutter"/>
    <x v="6"/>
    <x v="0"/>
  </r>
  <r>
    <x v="2"/>
    <s v="0110"/>
    <s v="Tailshaft, Cutter Installation"/>
    <s v="Tailshaft, Cutter"/>
    <s v="EQUIPMENT"/>
    <s v="B"/>
    <s v="D"/>
    <s v="Draft"/>
    <s v="Hydraulic Dredge"/>
    <s v="Tailshaft, Cutter"/>
    <s v="Cutter Machinery*Tailshaft, Cutter"/>
    <x v="6"/>
    <x v="0"/>
  </r>
  <r>
    <x v="2"/>
    <s v="0110"/>
    <s v="Tailshaft, Cutter Rebuild"/>
    <s v="Tailshaft, Cutter"/>
    <s v="EQUIPMENT"/>
    <s v="B"/>
    <s v="D"/>
    <s v="To Be Written"/>
    <s v="Hydraulic Dredge"/>
    <s v="Tailshaft, Cutter"/>
    <s v="Cutter Machinery*Tailshaft, Cutter"/>
    <x v="6"/>
    <x v="1"/>
  </r>
  <r>
    <x v="2"/>
    <s v="0110"/>
    <s v="Thrust Bearing Assembly Rebuild"/>
    <s v="Thrust Bearing"/>
    <s v="EQUIPMENT"/>
    <s v="B"/>
    <s v="D"/>
    <s v="Downtime Opportunity"/>
    <s v="Hydraulic Dredge"/>
    <s v="Thrust Bearing"/>
    <s v="Cutter Machinery*Thrust Bearing"/>
    <x v="6"/>
    <x v="0"/>
  </r>
  <r>
    <x v="2"/>
    <s v="0110"/>
    <s v="Thrust Bearing Assembly Installation"/>
    <s v="Thrust Bearing"/>
    <s v="EQUIPMENT"/>
    <s v="B"/>
    <s v="D"/>
    <s v="Downtime Opportunity"/>
    <s v="Hydraulic Dredge"/>
    <s v="Thrust Bearing"/>
    <s v="Cutter Machinery*Thrust Bearing"/>
    <x v="6"/>
    <x v="0"/>
  </r>
  <r>
    <x v="2"/>
    <s v="0110"/>
    <s v="Thrust Bearing Assembly Finish Machining"/>
    <s v="Thrust Bearing"/>
    <s v="EQUIPMENT"/>
    <s v="B"/>
    <s v="D"/>
    <s v="Spares Rebuild"/>
    <s v="Hydraulic Dredge"/>
    <s v="Thrust Bearing"/>
    <s v="Cutter Machinery*Thrust Bearing"/>
    <x v="6"/>
    <x v="0"/>
  </r>
  <r>
    <x v="2"/>
    <s v="0110"/>
    <s v="Cutter Motor (GE 567) (Stbd) 1000 HR PM"/>
    <s v="Cutter Motor (GE 567) (Stbd)"/>
    <s v="EQUIPMENT"/>
    <s v="D"/>
    <s v="D"/>
    <s v="Downtime Opportunity"/>
    <s v="Hydraulic Dredge"/>
    <s v="Cutter Motor (GE 567) (Stbd)"/>
    <s v="Cutter Machinery*Cutter Motor (GE 567) (Stbd)"/>
    <x v="6"/>
    <x v="0"/>
  </r>
  <r>
    <x v="2"/>
    <s v="0110"/>
    <s v="Cutter Motor (GE 567) (Stbd) 5000 HR PM (Overhaul)"/>
    <s v="Cutter Motor (GE 567) (Stbd)"/>
    <s v="EQUIPMENT"/>
    <s v="D"/>
    <s v="D"/>
    <s v="Downtime Opportunity"/>
    <s v="Hydraulic Dredge"/>
    <s v="Cutter Motor (GE 567) (Stbd)"/>
    <s v="Cutter Machinery*Cutter Motor (GE 567) (Stbd)"/>
    <x v="6"/>
    <x v="0"/>
  </r>
  <r>
    <x v="2"/>
    <s v="0110"/>
    <s v="Air Compressor (#3) Annual PM/Inspection"/>
    <s v="Air Compressor (#3)"/>
    <s v="EQUIPMENT"/>
    <s v="C"/>
    <s v="D"/>
    <s v="Running Work List"/>
    <s v="Hydraulic Dredge"/>
    <s v="Air Compressor (#3)"/>
    <s v="Compressed Air*Air Compressor Set (#3)*Air Compressor (#3)"/>
    <x v="10"/>
    <x v="0"/>
  </r>
  <r>
    <x v="2"/>
    <s v="0110"/>
    <s v="Air Compressor (#2) Annual PM/Inspection"/>
    <s v="Air Compressor (#2)"/>
    <s v="EQUIPMENT"/>
    <s v="C"/>
    <s v="D"/>
    <s v="Running Work List"/>
    <s v="Hydraulic Dredge"/>
    <s v="Air Compressor (#2)"/>
    <s v="Compressed Air*Air Compressor Set (#2)*Air Compressor (#2)"/>
    <x v="10"/>
    <x v="0"/>
  </r>
  <r>
    <x v="2"/>
    <s v="0110"/>
    <s v="Air Compressor (#1) Annual PM/Inspection"/>
    <s v="Air Compressor (#1)"/>
    <s v="EQUIPMENT"/>
    <s v="C"/>
    <s v="D"/>
    <s v="Running Work List"/>
    <s v="Hydraulic Dredge"/>
    <s v="Air Compressor (#1)"/>
    <s v="Compressed Air*Air Compressor Set (#1)*Air Compressor (#1)"/>
    <x v="10"/>
    <x v="0"/>
  </r>
  <r>
    <x v="2"/>
    <s v="0110"/>
    <s v="Air Compressor (#3) Semi-Annual PM/Inspection"/>
    <s v="Air Compressor (#3)"/>
    <s v="EQUIPMENT"/>
    <s v="C"/>
    <s v="D"/>
    <s v="Running Work List"/>
    <s v="Hydraulic Dredge"/>
    <s v="Air Compressor (#3)"/>
    <s v="Compressed Air*Air Compressor Set (#3)*Air Compressor (#3)"/>
    <x v="10"/>
    <x v="0"/>
  </r>
  <r>
    <x v="2"/>
    <s v="0110"/>
    <s v="Air Compressor (#2) Semi-Annual PM/Inspection"/>
    <s v="Air Compressor (#2)"/>
    <s v="EQUIPMENT"/>
    <s v="C"/>
    <s v="D"/>
    <s v="Running Work List"/>
    <s v="Hydraulic Dredge"/>
    <s v="Air Compressor (#2)"/>
    <s v="Compressed Air*Air Compressor Set (#2)*Air Compressor (#2)"/>
    <x v="10"/>
    <x v="0"/>
  </r>
  <r>
    <x v="2"/>
    <s v="0110"/>
    <s v="Air Compressor (#1) Semi-Annual PM/Inspection"/>
    <s v="Air Compressor (#1)"/>
    <s v="EQUIPMENT"/>
    <s v="C"/>
    <s v="D"/>
    <s v="Running Work List"/>
    <s v="Hydraulic Dredge"/>
    <s v="Air Compressor (#1)"/>
    <s v="Compressed Air*Air Compressor Set (#1)*Air Compressor (#1)"/>
    <x v="10"/>
    <x v="0"/>
  </r>
  <r>
    <x v="2"/>
    <s v="0110"/>
    <s v="Ladder Head Section 1000 HR PM"/>
    <s v="Ladder Head Section"/>
    <s v="EQUIPMENT"/>
    <s v="B"/>
    <s v="B"/>
    <s v="Downtime Opportunity"/>
    <s v="Hydraulic Dredge"/>
    <s v="Ladder Head Section"/>
    <s v="Ladder System*Ladder*Ladder Head Section"/>
    <x v="5"/>
    <x v="0"/>
  </r>
  <r>
    <x v="2"/>
    <s v="0110"/>
    <s v="Ladder Head Section 5000 HR PM"/>
    <s v="Ladder Head Section"/>
    <s v="EQUIPMENT"/>
    <s v="B"/>
    <s v="B"/>
    <s v="Downtime Opportunity"/>
    <s v="Hydraulic Dredge"/>
    <s v="Ladder Head Section"/>
    <s v="Ladder System*Ladder*Ladder Head Section"/>
    <x v="5"/>
    <x v="0"/>
  </r>
  <r>
    <x v="2"/>
    <s v="0110"/>
    <s v="Gyro Compass Semi-Annual PM/Inspection"/>
    <s v="Gyro Compass"/>
    <s v="EQUIPMENT"/>
    <s v="B"/>
    <s v="B"/>
    <s v="To Be Written"/>
    <s v="Hydraulic Dredge"/>
    <s v="Gyro Compass"/>
    <s v="Navigation/Communication*Gyro Compass"/>
    <x v="27"/>
    <x v="1"/>
  </r>
  <r>
    <x v="2"/>
    <s v="0110"/>
    <s v="Bilge Pumpset (#4) (Gen Hld) Annual PM/Inspection"/>
    <s v="Bilge Pumpset (#4) (Gen Hld)"/>
    <s v="EQUIPMENT"/>
    <s v="A"/>
    <s v="D"/>
    <s v="Draft"/>
    <s v="Hydraulic Dredge"/>
    <s v="Bilge Pumpset (#4) (Gen Hld)"/>
    <s v="Bilge/Ballast*Bilge Pumpset (#4) (Gen Hld)"/>
    <x v="21"/>
    <x v="0"/>
  </r>
  <r>
    <x v="2"/>
    <s v="0110"/>
    <s v="Bilge Pumpset (#3) (Fwd Pump) Annual PM/Inspection"/>
    <s v="Bilge Pumpset (#3) (Fwd Pump)"/>
    <s v="EQUIPMENT"/>
    <s v="A"/>
    <s v="D"/>
    <s v="Draft"/>
    <s v="Hydraulic Dredge"/>
    <s v="Bilge Pumpset (#3) (Fwd Pump)"/>
    <s v="Bilge/Ballast*Bilge Pumpset (#3) (Fwd Pump)"/>
    <x v="21"/>
    <x v="0"/>
  </r>
  <r>
    <x v="2"/>
    <s v="0110"/>
    <s v="Bilge Pumpset (#2) (Mp Bilge) Annual PM/Inspection"/>
    <s v="Bilge Pumpset (#2) (Mp Bilge)"/>
    <s v="EQUIPMENT"/>
    <s v="A"/>
    <s v="D"/>
    <s v="Draft"/>
    <s v="Hydraulic Dredge"/>
    <s v="Bilge Pumpset (#2) (Mp Bilge)"/>
    <s v="Bilge/Ballast*Bilge Pumpset (#2) (Mp Bilge)"/>
    <x v="21"/>
    <x v="0"/>
  </r>
  <r>
    <x v="2"/>
    <s v="0110"/>
    <s v="Bilge Pumpset (#1) (Mp Bilge) Annual PM/Inspection"/>
    <s v="Bilge Pumpset (#1) (Mp Bilge)"/>
    <s v="EQUIPMENT"/>
    <s v="A"/>
    <s v="D"/>
    <s v="Draft"/>
    <s v="Hydraulic Dredge"/>
    <s v="Bilge Pumpset (#1) (Mp Bilge)"/>
    <s v="Bilge/Ballast*Bilge Pumpset (#1) (Mp Bilge)"/>
    <x v="21"/>
    <x v="0"/>
  </r>
  <r>
    <x v="2"/>
    <s v="0110"/>
    <s v="Dredge Pump (Stbd) Pressure/Flow Test"/>
    <s v="Dredge Pump (Stbd)"/>
    <s v="EQUIPMENT"/>
    <s v="B"/>
    <s v="B"/>
    <s v="To Be Written"/>
    <s v="Hydraulic Dredge"/>
    <s v="Dredge Pump (Stbd)"/>
    <s v="Pump, Dredge (Stbd)*Dredge Pump (Stbd)"/>
    <x v="28"/>
    <x v="1"/>
  </r>
  <r>
    <x v="2"/>
    <s v="0110"/>
    <s v="Dredge Pump (Port) Pressure/Flow Test"/>
    <s v="Dredge Pump (Port)"/>
    <s v="EQUIPMENT"/>
    <s v="B"/>
    <s v="B"/>
    <s v="To Be Written"/>
    <s v="Hydraulic Dredge"/>
    <s v="Dredge Pump (Port)"/>
    <s v="Pump, Dredge (Port)*Dredge Pump (Port)"/>
    <x v="29"/>
    <x v="1"/>
  </r>
  <r>
    <x v="2"/>
    <s v="0110"/>
    <s v="Main Generator (Stbd) Installation"/>
    <s v="Main Generator (Stbd)"/>
    <s v="EQUIPMENT"/>
    <s v="B"/>
    <s v="B"/>
    <s v="Draft"/>
    <s v="Hydraulic Dredge"/>
    <s v="Main Generator (Stbd)"/>
    <s v="Generators*Main Genset (Stbd)*Main Generator (Stbd)"/>
    <x v="4"/>
    <x v="0"/>
  </r>
  <r>
    <x v="2"/>
    <s v="0110"/>
    <s v="Main Generator (Port) Installation"/>
    <s v="Main Generator (Port)"/>
    <s v="EQUIPMENT"/>
    <s v="B"/>
    <s v="B"/>
    <s v="Draft"/>
    <s v="Hydraulic Dredge"/>
    <s v="Main Generator (Port)"/>
    <s v="Generators*Main Genset (Port)*Main Generator (Port)"/>
    <x v="4"/>
    <x v="0"/>
  </r>
  <r>
    <x v="2"/>
    <s v="0110"/>
    <s v="Main Generator (Stbd) Alignment"/>
    <s v="Main Generator (Stbd)"/>
    <s v="EQUIPMENT"/>
    <s v="B"/>
    <s v="B"/>
    <s v="Downtime Opportunity"/>
    <s v="Hydraulic Dredge"/>
    <s v="Main Generator (Stbd)"/>
    <s v="Generators*Main Genset (Stbd)*Main Generator (Stbd)"/>
    <x v="4"/>
    <x v="0"/>
  </r>
  <r>
    <x v="2"/>
    <s v="0110"/>
    <s v="Main Generator (Port) Alignment"/>
    <s v="Main Generator (Port)"/>
    <s v="EQUIPMENT"/>
    <s v="B"/>
    <s v="B"/>
    <s v="Downtime Opportunity"/>
    <s v="Hydraulic Dredge"/>
    <s v="Main Generator (Port)"/>
    <s v="Generators*Main Genset (Port)*Main Generator (Port)"/>
    <x v="4"/>
    <x v="0"/>
  </r>
  <r>
    <x v="2"/>
    <s v="0110"/>
    <s v="Main Generator (Stbd) 60000 HR (Overhaul)"/>
    <s v="Main Generator (Stbd)"/>
    <s v="EQUIPMENT"/>
    <s v="B"/>
    <s v="B"/>
    <s v="Spares Rebuild"/>
    <s v="Hydraulic Dredge"/>
    <s v="Main Generator (Stbd)"/>
    <s v="Generators*Main Genset (Stbd)*Main Generator (Stbd)"/>
    <x v="4"/>
    <x v="0"/>
  </r>
  <r>
    <x v="2"/>
    <s v="0110"/>
    <s v="Main Generator (Port) 60000 HR (Overhaul)"/>
    <s v="Main Generator (Port)"/>
    <s v="EQUIPMENT"/>
    <s v="B"/>
    <s v="B"/>
    <s v="Spares Rebuild"/>
    <s v="Hydraulic Dredge"/>
    <s v="Main Generator (Port)"/>
    <s v="Generators*Main Genset (Port)*Main Generator (Port)"/>
    <x v="4"/>
    <x v="0"/>
  </r>
  <r>
    <x v="2"/>
    <s v="0110"/>
    <s v="Aux Generator Engine (Cat 3508) 20000 HR PM (Overhaul)"/>
    <s v="Aux Generator Engine (Cat 3508)"/>
    <s v="EQUIPMENT"/>
    <s v="A"/>
    <s v="A"/>
    <s v="Idle/Inactive Period"/>
    <s v="Hydraulic Dredge"/>
    <s v="Aux Generator Engine (Cat 3508)"/>
    <s v="Generators*Auxiliary Genset*Aux Generator Engine (Cat 3508)"/>
    <x v="4"/>
    <x v="0"/>
  </r>
  <r>
    <x v="2"/>
    <s v="0110"/>
    <s v="Cutter Motor (GE 567) (Port) 500 HR PM"/>
    <s v="Cutter Motor (GE 567) (Port)"/>
    <s v="EQUIPMENT"/>
    <s v="D"/>
    <s v="D"/>
    <s v="Downtime Opportunity"/>
    <s v="Hydraulic Dredge"/>
    <s v="Cutter Motor (GE 567) (Port)"/>
    <s v="Cutter Machinery*Cutter Motor (GE 567) (Port)"/>
    <x v="6"/>
    <x v="0"/>
  </r>
  <r>
    <x v="2"/>
    <s v="0110"/>
    <s v="Dredge Pump Gearbox (Stbd) 5000 HR PM"/>
    <s v="Dredge Pump Gearbox (Stbd)"/>
    <s v="EQUIPMENT"/>
    <s v="B"/>
    <s v="B"/>
    <s v="Downtime Opportunity"/>
    <s v="Hydraulic Dredge"/>
    <s v="Dredge Pump Gearbox (Stbd)"/>
    <s v="Pump, Dredge (Stbd)*Dredge Pump Gearbox (Stbd)"/>
    <x v="28"/>
    <x v="0"/>
  </r>
  <r>
    <x v="2"/>
    <s v="0110"/>
    <s v="Dredge Pump Gearbox (Port) 5000 HR PM"/>
    <s v="Dredge Pump Gearbox (Port)"/>
    <s v="EQUIPMENT"/>
    <s v="B"/>
    <s v="D"/>
    <s v="Downtime Opportunity"/>
    <s v="Hydraulic Dredge"/>
    <s v="Dredge Pump Gearbox (Port)"/>
    <s v="Pump, Dredge (Port)*Dredge Pump Gearbox (Port)"/>
    <x v="29"/>
    <x v="0"/>
  </r>
  <r>
    <x v="2"/>
    <s v="0110"/>
    <s v="Ladder Pump Gearbox 5000 HR PM"/>
    <s v="Ladder Pump Gearbox"/>
    <s v="EQUIPMENT"/>
    <s v="B"/>
    <s v="B"/>
    <s v="Downtime Opportunity"/>
    <s v="Hydraulic Dredge"/>
    <s v="Ladder Pump Gearbox"/>
    <s v="Pump, Ladder*Ladder Pump Gearbox"/>
    <x v="11"/>
    <x v="0"/>
  </r>
  <r>
    <x v="2"/>
    <s v="0110"/>
    <s v="Main Generator (Stbd) Removal"/>
    <s v="Main Generator (Stbd)"/>
    <s v="EQUIPMENT"/>
    <s v="B"/>
    <s v="D"/>
    <s v="Draft"/>
    <s v="Hydraulic Dredge"/>
    <s v="Main Generator (Stbd)"/>
    <s v="Generators*Main Genset (Stbd)*Main Generator (Stbd)"/>
    <x v="4"/>
    <x v="0"/>
  </r>
  <r>
    <x v="2"/>
    <s v="0110"/>
    <s v="Main Generator (Port) Removal"/>
    <s v="Main Generator (Port)"/>
    <s v="EQUIPMENT"/>
    <s v="B"/>
    <s v="D"/>
    <s v="Draft"/>
    <s v="Hydraulic Dredge"/>
    <s v="Main Generator (Port)"/>
    <s v="Generators*Main Genset (Port)*Main Generator (Port)"/>
    <x v="4"/>
    <x v="0"/>
  </r>
  <r>
    <x v="2"/>
    <s v="0110"/>
    <s v="Dredge Pump (Port) Rebuild"/>
    <s v="Dredge Pump (Port)"/>
    <s v="EQUIPMENT"/>
    <s v="B"/>
    <s v="D"/>
    <s v="Downtime Opportunity"/>
    <s v="Hydraulic Dredge"/>
    <s v="Dredge Pump (Port)"/>
    <s v="Pump, Dredge (Port)*Dredge Pump (Port)"/>
    <x v="29"/>
    <x v="0"/>
  </r>
  <r>
    <x v="2"/>
    <s v="0110"/>
    <s v="D/P Engine Stbd 1400 HR PM"/>
    <s v="Dredge Pump Engine (Stbd) (EMD 645)"/>
    <s v="EQUIPMENT"/>
    <s v="B"/>
    <s v="D"/>
    <s v="Downtime Opportunity"/>
    <s v="Hydraulic Dredge"/>
    <s v="Dredge Pump Engine (Stbd) (EMD 645)"/>
    <s v="Pump, Dredge (Stbd)*Dredge Pump Engine (Stbd) (EMD 645)"/>
    <x v="28"/>
    <x v="0"/>
  </r>
  <r>
    <x v="2"/>
    <s v="0110"/>
    <s v="D/P Engine Port 1400 HR PM"/>
    <s v="Dredge Pump Engine Port (EMD 645)"/>
    <s v="EQUIPMENT"/>
    <s v="B"/>
    <s v="D"/>
    <s v="Downtime Opportunity"/>
    <s v="Hydraulic Dredge"/>
    <s v="Dredge Pump Engine Port (EMD 645)"/>
    <s v="Pump, Dredge (Port)*Dredge Pump Engine Port (EMD 645)"/>
    <x v="29"/>
    <x v="0"/>
  </r>
  <r>
    <x v="2"/>
    <s v="0110"/>
    <s v="Main Generator Engine (Stbd) (EMD 645) 1400 HR PM"/>
    <s v="Main Generator Engine (Stbd) (EMD 645)"/>
    <s v="EQUIPMENT"/>
    <s v="B"/>
    <s v="D"/>
    <s v="Downtime Opportunity"/>
    <s v="Hydraulic Dredge"/>
    <s v="Main Generator Engine (Stbd) (EMD 645)"/>
    <s v="Generators*Main Genset (Stbd)*Main Generator Engine (Stbd) (EMD 645)"/>
    <x v="4"/>
    <x v="0"/>
  </r>
  <r>
    <x v="2"/>
    <s v="0110"/>
    <s v="Main Generator Engine (Port) (EMD 645) 1400 HR PM"/>
    <s v="Main Generator Engine (Port) (EMD 645)"/>
    <s v="EQUIPMENT"/>
    <s v="B"/>
    <s v="A"/>
    <s v="Downtime Opportunity"/>
    <s v="Hydraulic Dredge"/>
    <s v="Main Generator Engine (Port) (EMD 645)"/>
    <s v="Generators*Main Genset (Port)*Main Generator Engine (Port) (EMD 645)"/>
    <x v="4"/>
    <x v="0"/>
  </r>
  <r>
    <x v="2"/>
    <s v="0110"/>
    <s v="Cutter Motor (GE 567) (Port) Installation"/>
    <s v="Cutter Motor (GE 567) (Port)"/>
    <s v="EQUIPMENT"/>
    <s v="D"/>
    <s v="D"/>
    <s v="Downtime Opportunity"/>
    <s v="Hydraulic Dredge"/>
    <s v="Cutter Motor (GE 567) (Port)"/>
    <s v="Cutter Machinery*Cutter Motor (GE 567) (Port)"/>
    <x v="6"/>
    <x v="0"/>
  </r>
  <r>
    <x v="2"/>
    <s v="0110"/>
    <s v="Cutter Motor (GE 567) (Stbd) Installation"/>
    <s v="Cutter Motor (GE 567) (Stbd)"/>
    <s v="EQUIPMENT"/>
    <s v="D"/>
    <s v="D"/>
    <s v="Downtime Opportunity"/>
    <s v="Hydraulic Dredge"/>
    <s v="Cutter Motor (GE 567) (Stbd)"/>
    <s v="Cutter Machinery*Cutter Motor (GE 567) (Stbd)"/>
    <x v="6"/>
    <x v="0"/>
  </r>
  <r>
    <x v="2"/>
    <s v="0110"/>
    <s v="Swing Winch Motor (GE) Brush Inspection"/>
    <s v="Swing Winch Motor (GE)"/>
    <s v="EQUIPMENT"/>
    <s v="B"/>
    <s v="D"/>
    <s v="Downtime Opportunity"/>
    <s v="Hydraulic Dredge"/>
    <s v="Swing Winch Motor (GE)"/>
    <s v="Swing*Swing Winch (Port)*Swing Winch Motor (GE)"/>
    <x v="19"/>
    <x v="0"/>
  </r>
  <r>
    <x v="2"/>
    <s v="0110"/>
    <s v="Ladder Hoist Motor (GE-752) Brush Inspection"/>
    <s v="Ladder Hoist Motor (GE-752)"/>
    <s v="EQUIPMENT"/>
    <s v="B"/>
    <s v="B"/>
    <s v="Downtime Opportunity"/>
    <s v="Hydraulic Dredge"/>
    <s v="Ladder Hoist Motor (GE-752)"/>
    <s v="Ladder System*Ladder Hoist Winch*Ladder Hoist Motor (GE-752)"/>
    <x v="5"/>
    <x v="0"/>
  </r>
  <r>
    <x v="2"/>
    <s v="0110"/>
    <s v="Cutter Motor (GE 567) (Stbd) Megger Test Elec. Motors"/>
    <s v="Cutter Motor (GE 567) (Stbd)"/>
    <s v="EQUIPMENT"/>
    <s v="D"/>
    <s v="D"/>
    <s v="Downtime Opportunity"/>
    <s v="Hydraulic Dredge"/>
    <s v="Cutter Motor (GE 567) (Stbd)"/>
    <s v="Cutter Machinery*Cutter Motor (GE 567) (Stbd)"/>
    <x v="6"/>
    <x v="0"/>
  </r>
  <r>
    <x v="2"/>
    <s v="0110"/>
    <s v="Cutter Motor (GE 567) (Port) Megger Test Elec. Motors"/>
    <s v="Cutter Motor (GE 567) (Port)"/>
    <s v="EQUIPMENT"/>
    <s v="D"/>
    <s v="D"/>
    <s v="Downtime Opportunity"/>
    <s v="Hydraulic Dredge"/>
    <s v="Cutter Motor (GE 567) (Port)"/>
    <s v="Cutter Machinery*Cutter Motor (GE 567) (Port)"/>
    <x v="6"/>
    <x v="0"/>
  </r>
  <r>
    <x v="2"/>
    <s v="0110"/>
    <s v="Swing Sheave (Stbd) Removal"/>
    <s v="Swing Sheave (Stbd)"/>
    <s v="EQUIPMENT"/>
    <s v="B"/>
    <s v="D"/>
    <s v="Draft"/>
    <s v="Hydraulic Dredge"/>
    <s v="Swing Sheave (Stbd)"/>
    <s v="Swing*Swing Sheave (Stbd)"/>
    <x v="19"/>
    <x v="0"/>
  </r>
  <r>
    <x v="2"/>
    <s v="0110"/>
    <s v="Swing Sheave (Port) Removal"/>
    <s v="Swing Sheave (Port)"/>
    <s v="EQUIPMENT"/>
    <s v="B"/>
    <s v="D"/>
    <s v="Draft"/>
    <s v="Hydraulic Dredge"/>
    <s v="Swing Sheave (Port)"/>
    <s v="Swing*Swing Sheave (Port)"/>
    <x v="19"/>
    <x v="0"/>
  </r>
  <r>
    <x v="2"/>
    <s v="0110"/>
    <s v="Cutter Motor (GE 567) (Stbd) 500 HR PM"/>
    <s v="Cutter Motor (GE 567) (Stbd)"/>
    <s v="EQUIPMENT"/>
    <s v="D"/>
    <s v="D"/>
    <s v="Downtime Opportunity"/>
    <s v="Hydraulic Dredge"/>
    <s v="Cutter Motor (GE 567) (Stbd)"/>
    <s v="Cutter Machinery*Cutter Motor (GE 567) (Stbd)"/>
    <x v="6"/>
    <x v="0"/>
  </r>
  <r>
    <x v="2"/>
    <s v="0110"/>
    <s v="Main Generator (Port) Alternator Removal"/>
    <s v="Main Generator (Port)"/>
    <s v="EQUIPMENT"/>
    <s v="B"/>
    <s v="D"/>
    <s v="Downtime Opportunity"/>
    <s v="Hydraulic Dredge"/>
    <s v="Main Generator (Port)"/>
    <s v="Generators*Main Genset (Port)*Main Generator (Port)"/>
    <x v="4"/>
    <x v="0"/>
  </r>
  <r>
    <x v="2"/>
    <s v="0110"/>
    <s v="Main Generator (Stbd) Alternator Removal"/>
    <s v="Main Generator (Stbd)"/>
    <s v="EQUIPMENT"/>
    <s v="B"/>
    <s v="D"/>
    <s v="Downtime Opportunity"/>
    <s v="Hydraulic Dredge"/>
    <s v="Main Generator (Stbd)"/>
    <s v="Generators*Main Genset (Stbd)*Main Generator (Stbd)"/>
    <x v="4"/>
    <x v="0"/>
  </r>
  <r>
    <x v="2"/>
    <s v="0110"/>
    <s v="Turbo Charger (T2) 4000 HR PM/Inspection"/>
    <s v="Turbo Charger (T2)"/>
    <s v="EQUIPMENT"/>
    <s v="B"/>
    <s v="B"/>
    <s v="Downtime Opportunity"/>
    <s v="Hydraulic Dredge"/>
    <s v="Turbo Charger (T2)"/>
    <s v="Pump, Dredge (Stbd)*Dredge Pump Engine (Stbd) (EMD 645)*Turbo Charger (T2)"/>
    <x v="28"/>
    <x v="0"/>
  </r>
  <r>
    <x v="2"/>
    <s v="0110"/>
    <s v="Turbo Charger (T2) 4000 HR PM/Inspection"/>
    <s v="Turbo Charger (T2)"/>
    <s v="EQUIPMENT"/>
    <s v="B"/>
    <s v="B"/>
    <s v="Downtime Opportunity"/>
    <s v="Hydraulic Dredge"/>
    <s v="Turbo Charger (T2)"/>
    <s v="Pump, Dredge (Port)*Dredge Pump Engine Port (EMD 645)*Turbo Charger (T2)"/>
    <x v="29"/>
    <x v="0"/>
  </r>
  <r>
    <x v="2"/>
    <s v="0110"/>
    <s v="Turbo Charger (T2) 4000 HR PM/Inspection"/>
    <s v="Turbo Charger (T2)"/>
    <s v="EQUIPMENT"/>
    <s v="B"/>
    <s v="B"/>
    <s v="Downtime Opportunity"/>
    <s v="Hydraulic Dredge"/>
    <s v="Turbo Charger (T2)"/>
    <s v="Generators*Main Genset (Stbd)*Main Generator Engine (Stbd) (EMD 645)*Turbo Charger (T2)"/>
    <x v="4"/>
    <x v="0"/>
  </r>
  <r>
    <x v="2"/>
    <s v="0110"/>
    <s v="Turbo Charger (T2) 4000 HR PM/Inspection"/>
    <s v="Turbo Charger (T2)"/>
    <s v="EQUIPMENT"/>
    <s v="B"/>
    <s v="B"/>
    <s v="Downtime Opportunity"/>
    <s v="Hydraulic Dredge"/>
    <s v="Turbo Charger (T2)"/>
    <s v="Generators*Main Genset (Port)*Main Generator Engine (Port) (EMD 645)*Turbo Charger (T2)"/>
    <x v="4"/>
    <x v="0"/>
  </r>
  <r>
    <x v="2"/>
    <s v="0110"/>
    <s v="Turbo Charger (T2) 8000 HR PM/Inspection"/>
    <s v="Turbo Charger (T2)"/>
    <s v="EQUIPMENT"/>
    <s v="B"/>
    <s v="B"/>
    <s v="Downtime Opportunity"/>
    <s v="Hydraulic Dredge"/>
    <s v="Turbo Charger (T2)"/>
    <s v="Pump, Dredge (Stbd)*Dredge Pump Engine (Stbd) (EMD 645)*Turbo Charger (T2)"/>
    <x v="28"/>
    <x v="0"/>
  </r>
  <r>
    <x v="2"/>
    <s v="0110"/>
    <s v="Turbo Charger (T2) 8000 HR PM/Inspection"/>
    <s v="Turbo Charger (T2)"/>
    <s v="EQUIPMENT"/>
    <s v="B"/>
    <s v="B"/>
    <s v="Downtime Opportunity"/>
    <s v="Hydraulic Dredge"/>
    <s v="Turbo Charger (T2)"/>
    <s v="Pump, Dredge (Port)*Dredge Pump Engine Port (EMD 645)*Turbo Charger (T2)"/>
    <x v="29"/>
    <x v="0"/>
  </r>
  <r>
    <x v="2"/>
    <s v="0110"/>
    <s v="Turbo Charger (T2) 8000 HR PM/Inspection"/>
    <s v="Turbo Charger (T2)"/>
    <s v="EQUIPMENT"/>
    <s v="B"/>
    <s v="B"/>
    <s v="Downtime Opportunity"/>
    <s v="Hydraulic Dredge"/>
    <s v="Turbo Charger (T2)"/>
    <s v="Generators*Main Genset (Stbd)*Main Generator Engine (Stbd) (EMD 645)*Turbo Charger (T2)"/>
    <x v="4"/>
    <x v="0"/>
  </r>
  <r>
    <x v="2"/>
    <s v="0110"/>
    <s v="Turbo Charger (T2) 8000 HR PM/Inspection"/>
    <s v="Turbo Charger (T2)"/>
    <s v="EQUIPMENT"/>
    <s v="B"/>
    <s v="B"/>
    <s v="Downtime Opportunity"/>
    <s v="Hydraulic Dredge"/>
    <s v="Turbo Charger (T2)"/>
    <s v="Generators*Main Genset (Port)*Main Generator Engine (Port) (EMD 645)*Turbo Charger (T2)"/>
    <x v="4"/>
    <x v="0"/>
  </r>
  <r>
    <x v="2"/>
    <s v="0110"/>
    <s v="52D/58D Cutter (Combo) Removal"/>
    <s v="52D/58D Cutter (Combo)"/>
    <s v="EQUIPMENT"/>
    <s v="C"/>
    <s v="C"/>
    <s v="Downtime Opportunity"/>
    <s v="Hydraulic Dredge"/>
    <s v="52D/58D Cutter (Combo)"/>
    <s v="Cutterheads*52D/58D Cutter (Combo)"/>
    <x v="20"/>
    <x v="0"/>
  </r>
  <r>
    <x v="2"/>
    <s v="0110"/>
    <s v="52D Cutter (Rock STD) Removal"/>
    <s v="52D Cutter (Rock STD)"/>
    <s v="EQUIPMENT"/>
    <s v="C"/>
    <s v="C"/>
    <s v="Downtime Opportunity"/>
    <s v="Hydraulic Dredge"/>
    <s v="52D Cutter (Rock STD)"/>
    <s v="Cutterheads*52D Cutter (Rock STD)"/>
    <x v="20"/>
    <x v="0"/>
  </r>
  <r>
    <x v="2"/>
    <s v="0110"/>
    <s v="52D Cutter (Pumping) Removal"/>
    <s v="52D Cutter (Pumping)"/>
    <s v="EQUIPMENT"/>
    <s v="C"/>
    <s v="C"/>
    <s v="Downtime Opportunity"/>
    <s v="Hydraulic Dredge"/>
    <s v="52D Cutter (Pumping)"/>
    <s v="Cutterheads*52D Cutter (Pumping)"/>
    <x v="20"/>
    <x v="0"/>
  </r>
  <r>
    <x v="2"/>
    <s v="0110"/>
    <s v="52D 6 Arm (Multi Service) Removal"/>
    <s v="52D 6 Arm (Multi Service)"/>
    <s v="EQUIPMENT"/>
    <s v="C"/>
    <s v="C"/>
    <s v="To Be Captured"/>
    <s v="Hydraulic Dredge"/>
    <s v="52D 6 Arm (Multi Service)"/>
    <s v="Cutterheads*52D 6 Arm (Multi Service)"/>
    <x v="20"/>
    <x v="1"/>
  </r>
  <r>
    <x v="2"/>
    <s v="0110"/>
    <s v="48Ds Cutter (Sand/Clay) Removal"/>
    <s v="48Ds Cutter (Sand/Clay)"/>
    <s v="EQUIPMENT"/>
    <s v="C"/>
    <s v="C"/>
    <s v="Downtime Opportunity"/>
    <s v="Hydraulic Dredge"/>
    <s v="48Ds Cutter (Sand/Clay)"/>
    <s v="Cutterheads*48Ds Cutter (Sand/Clay)"/>
    <x v="20"/>
    <x v="0"/>
  </r>
  <r>
    <x v="2"/>
    <s v="0110"/>
    <s v="52D/58D Cutter (Combo) Cutter Head Installation"/>
    <s v="52D/58D Cutter (Combo)"/>
    <s v="EQUIPMENT"/>
    <s v="C"/>
    <s v="C"/>
    <s v="Downtime Opportunity"/>
    <s v="Hydraulic Dredge"/>
    <s v="52D/58D Cutter (Combo)"/>
    <s v="Cutterheads*52D/58D Cutter (Combo)"/>
    <x v="20"/>
    <x v="0"/>
  </r>
  <r>
    <x v="2"/>
    <s v="0110"/>
    <s v="52D Cutter (Rock STD) Cutter Head Installation"/>
    <s v="52D Cutter (Rock STD)"/>
    <s v="EQUIPMENT"/>
    <s v="C"/>
    <s v="C"/>
    <s v="Downtime Opportunity"/>
    <s v="Hydraulic Dredge"/>
    <s v="52D Cutter (Rock STD)"/>
    <s v="Cutterheads*52D Cutter (Rock STD)"/>
    <x v="20"/>
    <x v="0"/>
  </r>
  <r>
    <x v="2"/>
    <s v="0110"/>
    <s v="52D Cutter (Pumping) Cutter Head Installation"/>
    <s v="52D Cutter (Pumping)"/>
    <s v="EQUIPMENT"/>
    <s v="C"/>
    <s v="C"/>
    <s v="Downtime Opportunity"/>
    <s v="Hydraulic Dredge"/>
    <s v="52D Cutter (Pumping)"/>
    <s v="Cutterheads*52D Cutter (Pumping)"/>
    <x v="20"/>
    <x v="0"/>
  </r>
  <r>
    <x v="2"/>
    <s v="0110"/>
    <s v="52D 6 Arm (Multi Service) Cutter Head Installation"/>
    <s v="52D 6 Arm (Multi Service)"/>
    <s v="EQUIPMENT"/>
    <s v="C"/>
    <s v="C"/>
    <s v="Downtime Opportunity"/>
    <s v="Hydraulic Dredge"/>
    <s v="52D 6 Arm (Multi Service)"/>
    <s v="Cutterheads*52D 6 Arm (Multi Service)"/>
    <x v="20"/>
    <x v="0"/>
  </r>
  <r>
    <x v="2"/>
    <s v="0110"/>
    <s v="48Ds Cutter (Sand/Clay) Cutter Head Installation"/>
    <s v="48Ds Cutter (Sand/Clay)"/>
    <s v="EQUIPMENT"/>
    <s v="C"/>
    <s v="C"/>
    <s v="Downtime Opportunity"/>
    <s v="Hydraulic Dredge"/>
    <s v="48Ds Cutter (Sand/Clay)"/>
    <s v="Cutterheads*48Ds Cutter (Sand/Clay)"/>
    <x v="20"/>
    <x v="0"/>
  </r>
  <r>
    <x v="2"/>
    <s v="0110"/>
    <s v="52D Cutter (Rock STD) Tooth Replacement"/>
    <s v="52D Cutter (Rock STD)"/>
    <s v="EQUIPMENT"/>
    <s v="C"/>
    <s v="C"/>
    <s v="Unscheduled Work"/>
    <s v="Hydraulic Dredge"/>
    <s v="52D Cutter (Rock STD)"/>
    <s v="Cutterheads*52D Cutter (Rock STD)"/>
    <x v="20"/>
    <x v="0"/>
  </r>
  <r>
    <x v="2"/>
    <s v="0110"/>
    <s v="52D/58D Cutter (Combo) Tooth Replacement"/>
    <s v="52D/58D Cutter (Combo)"/>
    <s v="EQUIPMENT"/>
    <s v="C"/>
    <s v="C"/>
    <s v="Unscheduled Work"/>
    <s v="Hydraulic Dredge"/>
    <s v="52D/58D Cutter (Combo)"/>
    <s v="Cutterheads*52D/58D Cutter (Combo)"/>
    <x v="20"/>
    <x v="0"/>
  </r>
  <r>
    <x v="2"/>
    <s v="0110"/>
    <s v="52D Cutter (Pumping) Tooth Replacement"/>
    <s v="52D Cutter (Pumping)"/>
    <s v="EQUIPMENT"/>
    <s v="C"/>
    <s v="C"/>
    <s v="Unscheduled Work"/>
    <s v="Hydraulic Dredge"/>
    <s v="52D Cutter (Pumping)"/>
    <s v="Cutterheads*52D Cutter (Pumping)"/>
    <x v="20"/>
    <x v="0"/>
  </r>
  <r>
    <x v="2"/>
    <s v="0110"/>
    <s v="52D 6 Arm (Multi Service) Tooth Replacement"/>
    <s v="52D 6 Arm (Multi Service)"/>
    <s v="EQUIPMENT"/>
    <s v="C"/>
    <s v="C"/>
    <s v="Unscheduled Work"/>
    <s v="Hydraulic Dredge"/>
    <s v="52D 6 Arm (Multi Service)"/>
    <s v="Cutterheads*52D 6 Arm (Multi Service)"/>
    <x v="20"/>
    <x v="0"/>
  </r>
  <r>
    <x v="2"/>
    <s v="0110"/>
    <s v="48Ds Cutter (Sand/Clay) Tooth Replacement"/>
    <s v="48Ds Cutter (Sand/Clay)"/>
    <s v="EQUIPMENT"/>
    <s v="C"/>
    <s v="C"/>
    <s v="Unscheduled Work"/>
    <s v="Hydraulic Dredge"/>
    <s v="48Ds Cutter (Sand/Clay)"/>
    <s v="Cutterheads*48Ds Cutter (Sand/Clay)"/>
    <x v="20"/>
    <x v="0"/>
  </r>
  <r>
    <x v="2"/>
    <s v="0110"/>
    <s v="Gen-Purpose Cutter (6-Blade) Removal"/>
    <s v="Gen-Purpose Cutter (6-Blade)"/>
    <s v="EQUIPMENT"/>
    <s v="C"/>
    <s v="C"/>
    <s v="Downtime Opportunity"/>
    <s v="Hydraulic Dredge"/>
    <s v="Gen-Purpose Cutter (6-Blade)"/>
    <s v="Cutterheads*Gen-Purpose Cutter (6-Blade)"/>
    <x v="20"/>
    <x v="0"/>
  </r>
  <r>
    <x v="2"/>
    <s v="0110"/>
    <s v="T4.30 Cutter (Rock) (Vosta) Removal"/>
    <s v="T4.30 Cutter (Rock) (Vosta)"/>
    <s v="EQUIPMENT"/>
    <s v="C"/>
    <s v="C"/>
    <s v="Downtime Opportunity"/>
    <s v="Hydraulic Dredge"/>
    <s v="T4.30 Cutter (Rock) (Vosta)"/>
    <s v="Cutterheads*T4.30 Cutter (Rock) (Vosta)"/>
    <x v="20"/>
    <x v="0"/>
  </r>
  <r>
    <x v="2"/>
    <s v="0110"/>
    <s v="T4.32 5 Arm (Sand/Clay) Vosta Removal"/>
    <s v="T4.32 5 Arm (Sand/Clay) Vosta"/>
    <s v="EQUIPMENT"/>
    <s v="C"/>
    <s v="C"/>
    <s v="Draft"/>
    <s v="Hydraulic Dredge"/>
    <s v="T4.32 5 Arm (Sand/Clay) Vosta"/>
    <s v="Cutterheads*T4.32 5 Arm (Sand/Clay) Vosta"/>
    <x v="20"/>
    <x v="0"/>
  </r>
  <r>
    <x v="2"/>
    <s v="0110"/>
    <s v="Gen-Purpose Cutter (5-Blade) Removal"/>
    <s v="Gen-Purpose Cutter (5-Blade)"/>
    <s v="EQUIPMENT"/>
    <s v="C"/>
    <s v="C"/>
    <s v="Downtime Opportunity"/>
    <s v="Hydraulic Dredge"/>
    <s v="Gen-Purpose Cutter (5-Blade)"/>
    <s v="Cutterheads*Gen-Purpose Cutter (5-Blade)"/>
    <x v="20"/>
    <x v="0"/>
  </r>
  <r>
    <x v="2"/>
    <s v="0110"/>
    <s v="T4.32 5 Arm (Sand/Clay) Vosta Installation"/>
    <s v="T4.32 5 Arm (Sand/Clay) Vosta"/>
    <s v="EQUIPMENT"/>
    <s v="C"/>
    <s v="C"/>
    <s v="To Be Captured"/>
    <s v="Hydraulic Dredge"/>
    <s v="T4.32 5 Arm (Sand/Clay) Vosta"/>
    <s v="Cutterheads*T4.32 5 Arm (Sand/Clay) Vosta"/>
    <x v="20"/>
    <x v="1"/>
  </r>
  <r>
    <x v="2"/>
    <s v="0110"/>
    <s v="T4.30 Cutter (Rock) (Vosta) Installation"/>
    <s v="T4.30 Cutter (Rock) (Vosta)"/>
    <s v="EQUIPMENT"/>
    <s v="C"/>
    <s v="C"/>
    <s v="Downtime Opportunity"/>
    <s v="Hydraulic Dredge"/>
    <s v="T4.30 Cutter (Rock) (Vosta)"/>
    <s v="Cutterheads*T4.30 Cutter (Rock) (Vosta)"/>
    <x v="20"/>
    <x v="0"/>
  </r>
  <r>
    <x v="2"/>
    <s v="0110"/>
    <s v="Gen-Purpose Cutter (6-Blade) Installation"/>
    <s v="Gen-Purpose Cutter (6-Blade)"/>
    <s v="EQUIPMENT"/>
    <s v="C"/>
    <s v="C"/>
    <s v="Downtime Opportunity"/>
    <s v="Hydraulic Dredge"/>
    <s v="Gen-Purpose Cutter (6-Blade)"/>
    <s v="Cutterheads*Gen-Purpose Cutter (6-Blade)"/>
    <x v="20"/>
    <x v="0"/>
  </r>
  <r>
    <x v="2"/>
    <s v="0110"/>
    <s v="Gen-Purpose Cutter (5-Blade) Installation"/>
    <s v="Gen-Purpose Cutter (5-Blade)"/>
    <s v="EQUIPMENT"/>
    <s v="C"/>
    <s v="C"/>
    <s v="Downtime Opportunity"/>
    <s v="Hydraulic Dredge"/>
    <s v="Gen-Purpose Cutter (5-Blade)"/>
    <s v="Cutterheads*Gen-Purpose Cutter (5-Blade)"/>
    <x v="20"/>
    <x v="0"/>
  </r>
  <r>
    <x v="2"/>
    <s v="0110"/>
    <s v="T4.30 Cutter (Rock) (Vosta) Tooth Replacement"/>
    <s v="T4.30 Cutter (Rock) (Vosta)"/>
    <s v="EQUIPMENT"/>
    <s v="C"/>
    <s v="C"/>
    <s v="Draft"/>
    <s v="Hydraulic Dredge"/>
    <s v="T4.30 Cutter (Rock) (Vosta)"/>
    <s v="Cutterheads*T4.30 Cutter (Rock) (Vosta)"/>
    <x v="20"/>
    <x v="0"/>
  </r>
  <r>
    <x v="2"/>
    <s v="0110"/>
    <s v="T4.32 5 Arm (Sand/Clay) Vosta Tooth Replacement"/>
    <s v="T4.32 5 Arm (Sand/Clay) Vosta"/>
    <s v="EQUIPMENT"/>
    <s v="C"/>
    <s v="C"/>
    <s v="Downtime Opportunity"/>
    <s v="Hydraulic Dredge"/>
    <s v="T4.32 5 Arm (Sand/Clay) Vosta"/>
    <s v="Cutterheads*T4.32 5 Arm (Sand/Clay) Vosta"/>
    <x v="20"/>
    <x v="0"/>
  </r>
  <r>
    <x v="2"/>
    <s v="0110"/>
    <s v="Gen-Purpose Cutter (6-Blade) Tooth Replacement"/>
    <s v="Gen-Purpose Cutter (6-Blade)"/>
    <s v="EQUIPMENT"/>
    <s v="C"/>
    <s v="C"/>
    <s v="Unscheduled Work"/>
    <s v="Hydraulic Dredge"/>
    <s v="Gen-Purpose Cutter (6-Blade)"/>
    <s v="Cutterheads*Gen-Purpose Cutter (6-Blade)"/>
    <x v="20"/>
    <x v="0"/>
  </r>
  <r>
    <x v="2"/>
    <s v="0110"/>
    <s v="Gen-Purpose Cutter (5-Blade) Tooth Replacement"/>
    <s v="Gen-Purpose Cutter (5-Blade)"/>
    <s v="EQUIPMENT"/>
    <s v="C"/>
    <s v="C"/>
    <s v="Unscheduled Work"/>
    <s v="Hydraulic Dredge"/>
    <s v="Gen-Purpose Cutter (5-Blade)"/>
    <s v="Cutterheads*Gen-Purpose Cutter (5-Blade)"/>
    <x v="20"/>
    <x v="0"/>
  </r>
  <r>
    <x v="2"/>
    <s v="0110"/>
    <s v="Motor Control Center (#2) Annual Clean/Inspect"/>
    <s v="Motor Control Center (#2)"/>
    <s v="EQUIPMENT"/>
    <s v="D"/>
    <s v="D"/>
    <s v="Draft"/>
    <s v="Hydraulic Dredge"/>
    <s v="Motor Control Center (#2)"/>
    <s v="Electrical*Motor Control Centers*Motor Control Center (#2)"/>
    <x v="9"/>
    <x v="0"/>
  </r>
  <r>
    <x v="2"/>
    <s v="0110"/>
    <s v="Motor Control Center (#1) Annual Clean/Inspect"/>
    <s v="Motor Control Center (#1)"/>
    <s v="EQUIPMENT"/>
    <s v="D"/>
    <s v="D"/>
    <s v="Draft"/>
    <s v="Hydraulic Dredge"/>
    <s v="Motor Control Center (#1)"/>
    <s v="Electrical*Motor Control Centers*Motor Control Center (#1)"/>
    <x v="9"/>
    <x v="0"/>
  </r>
  <r>
    <x v="2"/>
    <s v="0110"/>
    <s v="Fuel Oil Transfer Pump (#2) Annual PM/Inspection"/>
    <s v="Fuel Oil Transfer Pump (#2)"/>
    <s v="EQUIPMENT"/>
    <s v="C"/>
    <s v="D"/>
    <s v="Draft"/>
    <s v="Hydraulic Dredge"/>
    <s v="Fuel Oil Transfer Pump (#2)"/>
    <s v="Fuel Oil Transfer*Fuel Oil Transfer Pump (#2)"/>
    <x v="12"/>
    <x v="0"/>
  </r>
  <r>
    <x v="2"/>
    <s v="0110"/>
    <s v="Fuel Oil Transfer Pump (#1) Annual PM/Inspection"/>
    <s v="Fuel Oil Transfer Pump (#1)"/>
    <s v="EQUIPMENT"/>
    <s v="C"/>
    <s v="D"/>
    <s v="Draft"/>
    <s v="Hydraulic Dredge"/>
    <s v="Fuel Oil Transfer Pump (#1)"/>
    <s v="Fuel Oil Transfer*Fuel Oil Transfer Pump (#1)"/>
    <x v="12"/>
    <x v="0"/>
  </r>
  <r>
    <x v="2"/>
    <s v="0110"/>
    <s v="Emergency Generator Basic Overhaul"/>
    <s v="Emergency Generator"/>
    <s v="EQUIPMENT"/>
    <s v="A"/>
    <s v="D"/>
    <s v="To Be Written"/>
    <s v="Hydraulic Dredge"/>
    <s v="Emergency Generator"/>
    <s v="Generators*Emergency Genset*Emergency Generator"/>
    <x v="4"/>
    <x v="1"/>
  </r>
  <r>
    <x v="2"/>
    <s v="0110"/>
    <s v="Emergency Generator Engine (Cat D330) 500 HR PM"/>
    <s v="Emergency Generator Engine (Cat D330)"/>
    <s v="EQUIPMENT"/>
    <s v="A"/>
    <s v="A"/>
    <s v="Downtime Opportunity"/>
    <s v="Hydraulic Dredge"/>
    <s v="Emergency Generator Engine (Cat D330)"/>
    <s v="Generators*Emergency Genset*Emergency Generator Engine (Cat D330)"/>
    <x v="4"/>
    <x v="0"/>
  </r>
  <r>
    <x v="2"/>
    <s v="0110"/>
    <s v="Emergency Generator Engine (Cat D330) 1000 HR PM"/>
    <s v="Emergency Generator Engine (Cat D330)"/>
    <s v="EQUIPMENT"/>
    <s v="A"/>
    <s v="A"/>
    <s v="Downtime Opportunity"/>
    <s v="Hydraulic Dredge"/>
    <s v="Emergency Generator Engine (Cat D330)"/>
    <s v="Generators*Emergency Genset*Emergency Generator Engine (Cat D330)"/>
    <x v="4"/>
    <x v="0"/>
  </r>
  <r>
    <x v="2"/>
    <s v="0110"/>
    <s v="Emergency Generator Engine (Cat D330) 3000 HR PM"/>
    <s v="Emergency Generator Engine (Cat D330)"/>
    <s v="EQUIPMENT"/>
    <s v="A"/>
    <s v="A"/>
    <s v="Downtime Opportunity"/>
    <s v="Hydraulic Dredge"/>
    <s v="Emergency Generator Engine (Cat D330)"/>
    <s v="Generators*Emergency Genset*Emergency Generator Engine (Cat D330)"/>
    <x v="4"/>
    <x v="0"/>
  </r>
  <r>
    <x v="2"/>
    <s v="0110"/>
    <s v="Emergency Generator Engine (Cat D330) 5000 HR PM"/>
    <s v="Emergency Generator Engine (Cat D330)"/>
    <s v="EQUIPMENT"/>
    <s v="A"/>
    <s v="A"/>
    <s v="To Be Written"/>
    <s v="Hydraulic Dredge"/>
    <s v="Emergency Generator Engine (Cat D330)"/>
    <s v="Generators*Emergency Genset*Emergency Generator Engine (Cat D330)"/>
    <x v="4"/>
    <x v="1"/>
  </r>
  <r>
    <x v="2"/>
    <s v="0110"/>
    <s v="Emergency Generator Engine (Cat D330) 10000 HR PM (Overhaul)"/>
    <s v="Emergency Generator Engine (Cat D330)"/>
    <s v="EQUIPMENT"/>
    <s v="A"/>
    <s v="A"/>
    <s v="To Be Written"/>
    <s v="Hydraulic Dredge"/>
    <s v="Emergency Generator Engine (Cat D330)"/>
    <s v="Generators*Emergency Genset*Emergency Generator Engine (Cat D330)"/>
    <x v="4"/>
    <x v="1"/>
  </r>
  <r>
    <x v="2"/>
    <s v="0110"/>
    <s v="Gland Seal Pump Set (#7) Annual Inspection"/>
    <s v="Gland Seal Pump Set (#7)"/>
    <s v="EQUIPMENT"/>
    <s v="D"/>
    <s v="C"/>
    <s v="Draft"/>
    <s v="Hydraulic Dredge"/>
    <s v="Gland Seal Pump Set (#7)"/>
    <s v="Gland Seal*Gland Seal Pump Set (#7)"/>
    <x v="8"/>
    <x v="0"/>
  </r>
  <r>
    <x v="2"/>
    <s v="0110"/>
    <s v="Gland Seal Pump Set (#6) Annual Inspection"/>
    <s v="Gland Seal Pump Set (#6)"/>
    <s v="EQUIPMENT"/>
    <s v="C"/>
    <s v="C"/>
    <s v="Draft"/>
    <s v="Hydraulic Dredge"/>
    <s v="Gland Seal Pump Set (#6)"/>
    <s v="Gland Seal*Gland Seal Pump Set (#6)"/>
    <x v="8"/>
    <x v="0"/>
  </r>
  <r>
    <x v="2"/>
    <s v="0110"/>
    <s v="Gland Seal Pump Set (#5) Annual Inspection"/>
    <s v="Gland Seal Pump Set (#5)"/>
    <s v="EQUIPMENT"/>
    <s v="C"/>
    <s v="C"/>
    <s v="Draft"/>
    <s v="Hydraulic Dredge"/>
    <s v="Gland Seal Pump Set (#5)"/>
    <s v="Gland Seal*Gland Seal Pump Set (#5)"/>
    <x v="8"/>
    <x v="0"/>
  </r>
  <r>
    <x v="2"/>
    <s v="0110"/>
    <s v="Gland Seal Pump Set (#4) Annual Inspection"/>
    <s v="Gland Seal Pump Set (#4)"/>
    <s v="EQUIPMENT"/>
    <s v="C"/>
    <s v="C"/>
    <s v="Draft"/>
    <s v="Hydraulic Dredge"/>
    <s v="Gland Seal Pump Set (#4)"/>
    <s v="Gland Seal*Gland Seal Pump Set (#4)"/>
    <x v="8"/>
    <x v="0"/>
  </r>
  <r>
    <x v="2"/>
    <s v="0110"/>
    <s v="Gland Seal Pump Set (#3) Annual Inspection"/>
    <s v="Gland Seal Pump Set (#3)"/>
    <s v="EQUIPMENT"/>
    <s v="C"/>
    <s v="C"/>
    <s v="Draft"/>
    <s v="Hydraulic Dredge"/>
    <s v="Gland Seal Pump Set (#3)"/>
    <s v="Gland Seal*Gland Seal Pump Set (#3)"/>
    <x v="8"/>
    <x v="0"/>
  </r>
  <r>
    <x v="2"/>
    <s v="0110"/>
    <s v="Cathodic Protection Cathodic Protect Replace"/>
    <s v="Cathodic Protection"/>
    <s v="EQUIPMENT"/>
    <s v="D"/>
    <s v="C"/>
    <s v="To Be Written"/>
    <s v="Hydraulic Dredge"/>
    <s v="Cathodic Protection"/>
    <s v="Hull/Structure*Cathodic Protection"/>
    <x v="23"/>
    <x v="1"/>
  </r>
  <r>
    <x v="2"/>
    <s v="0110"/>
    <s v="A/C Unit Galley Quarterly PM/Inspection"/>
    <s v="A/C Unit Galley"/>
    <s v="EQUIPMENT"/>
    <s v="D"/>
    <s v="D"/>
    <s v="Draft"/>
    <s v="Hydraulic Dredge"/>
    <s v="A/C Unit Galley"/>
    <s v="HVAC*Air Conditioning*A/C Unit Galley"/>
    <x v="13"/>
    <x v="0"/>
  </r>
  <r>
    <x v="2"/>
    <s v="0110"/>
    <s v="A/C Unit 3rd Deck Quarterly PM/Inspection"/>
    <s v="A/C Unit 3rd Deck"/>
    <s v="EQUIPMENT"/>
    <s v="D"/>
    <s v="D"/>
    <s v="Draft"/>
    <s v="Hydraulic Dredge"/>
    <s v="A/C Unit 3rd Deck"/>
    <s v="HVAC*Air Conditioning*A/C Unit 3rd Deck"/>
    <x v="13"/>
    <x v="0"/>
  </r>
  <r>
    <x v="2"/>
    <s v="0110"/>
    <s v="A/C Unit 2nd Deck Quarterly PM/Inspection"/>
    <s v="A/C Unit 2nd Deck"/>
    <s v="EQUIPMENT"/>
    <s v="D"/>
    <s v="D"/>
    <s v="Draft"/>
    <s v="Hydraulic Dredge"/>
    <s v="A/C Unit 2nd Deck"/>
    <s v="HVAC*Air Conditioning*A/C Unit 2nd Deck"/>
    <x v="13"/>
    <x v="0"/>
  </r>
  <r>
    <x v="2"/>
    <s v="0110"/>
    <s v="A/C Unit 1st Deck Quarterly PM/Inspection"/>
    <s v="A/C Unit 1st Deck"/>
    <s v="EQUIPMENT"/>
    <s v="D"/>
    <s v="D"/>
    <s v="Draft"/>
    <s v="Hydraulic Dredge"/>
    <s v="A/C Unit 1st Deck"/>
    <s v="HVAC*Air Conditioning*A/C Unit 1st Deck"/>
    <x v="13"/>
    <x v="0"/>
  </r>
  <r>
    <x v="2"/>
    <s v="0110"/>
    <s v="A/C Unit Galley Annual Service"/>
    <s v="A/C Unit Galley"/>
    <s v="EQUIPMENT"/>
    <s v="D"/>
    <s v="D"/>
    <s v="Draft"/>
    <s v="Hydraulic Dredge"/>
    <s v="A/C Unit Galley"/>
    <s v="HVAC*Air Conditioning*A/C Unit Galley"/>
    <x v="13"/>
    <x v="0"/>
  </r>
  <r>
    <x v="2"/>
    <s v="0110"/>
    <s v="A/C Unit 3rd Deck Annual Service"/>
    <s v="A/C Unit 3rd Deck"/>
    <s v="EQUIPMENT"/>
    <s v="D"/>
    <s v="D"/>
    <s v="Draft"/>
    <s v="Hydraulic Dredge"/>
    <s v="A/C Unit 3rd Deck"/>
    <s v="HVAC*Air Conditioning*A/C Unit 3rd Deck"/>
    <x v="13"/>
    <x v="0"/>
  </r>
  <r>
    <x v="2"/>
    <s v="0110"/>
    <s v="A/C Unit 2nd Deck Annual Service"/>
    <s v="A/C Unit 2nd Deck"/>
    <s v="EQUIPMENT"/>
    <s v="D"/>
    <s v="D"/>
    <s v="Draft"/>
    <s v="Hydraulic Dredge"/>
    <s v="A/C Unit 2nd Deck"/>
    <s v="HVAC*Air Conditioning*A/C Unit 2nd Deck"/>
    <x v="13"/>
    <x v="0"/>
  </r>
  <r>
    <x v="2"/>
    <s v="0110"/>
    <s v="A/C Unit 1st Deck Annual Service"/>
    <s v="A/C Unit 1st Deck"/>
    <s v="EQUIPMENT"/>
    <s v="D"/>
    <s v="D"/>
    <s v="Draft"/>
    <s v="Hydraulic Dredge"/>
    <s v="A/C Unit 1st Deck"/>
    <s v="HVAC*Air Conditioning*A/C Unit 1st Deck"/>
    <x v="13"/>
    <x v="0"/>
  </r>
  <r>
    <x v="2"/>
    <s v="0110"/>
    <s v="Block, Travel OVERHAUL"/>
    <s v="Block, Travel"/>
    <s v="EQUIPMENT"/>
    <s v="B"/>
    <s v="B"/>
    <s v="To Be Captured"/>
    <s v="Hydraulic Dredge"/>
    <s v="Block, Travel"/>
    <s v="Ladder System*Block, Travel"/>
    <x v="5"/>
    <x v="1"/>
  </r>
  <r>
    <x v="2"/>
    <s v="0110"/>
    <s v="Block, Crown OVERHAUL"/>
    <s v="Block, Crown"/>
    <s v="EQUIPMENT"/>
    <s v="B"/>
    <s v="B"/>
    <s v="To Be Captured"/>
    <s v="Hydraulic Dredge"/>
    <s v="Block, Crown"/>
    <s v="Ladder System*Block, Crown"/>
    <x v="5"/>
    <x v="1"/>
  </r>
  <r>
    <x v="2"/>
    <s v="0110"/>
    <s v="Block, Travel Sheave Repair"/>
    <s v="Block, Travel"/>
    <s v="EQUIPMENT"/>
    <s v="B"/>
    <s v="B"/>
    <s v="To Be Captured"/>
    <s v="Hydraulic Dredge"/>
    <s v="Block, Travel"/>
    <s v="Ladder System*Block, Travel"/>
    <x v="5"/>
    <x v="1"/>
  </r>
  <r>
    <x v="2"/>
    <s v="0110"/>
    <s v="Block, Crown Sheave Repair"/>
    <s v="Block, Crown"/>
    <s v="EQUIPMENT"/>
    <s v="B"/>
    <s v="B"/>
    <s v="To Be Captured"/>
    <s v="Hydraulic Dredge"/>
    <s v="Block, Crown"/>
    <s v="Ladder System*Block, Crown"/>
    <x v="5"/>
    <x v="1"/>
  </r>
  <r>
    <x v="2"/>
    <s v="0110"/>
    <s v="Drive, SCR (Ladder Hoist) Annual Clean/Inspect"/>
    <s v="Drive, SCR (Ladder Hoist)"/>
    <s v="EQUIPMENT"/>
    <s v="B"/>
    <s v="B"/>
    <s v="Draft"/>
    <s v="Hydraulic Dredge"/>
    <s v="Drive, SCR (Ladder Hoist)"/>
    <s v="Ladder System*Drive, SCR (Ladder Hoist)"/>
    <x v="5"/>
    <x v="0"/>
  </r>
  <r>
    <x v="2"/>
    <s v="0110"/>
    <s v="Ladder Hoist Winch Wire Change"/>
    <s v="Ladder Hoist Winch"/>
    <s v="EQUIPMENT"/>
    <s v="B"/>
    <s v="B"/>
    <s v="Draft"/>
    <s v="Hydraulic Dredge"/>
    <s v="Ladder Hoist Winch"/>
    <s v="Ladder System*Ladder Hoist Winch"/>
    <x v="5"/>
    <x v="0"/>
  </r>
  <r>
    <x v="2"/>
    <s v="0110"/>
    <s v="Gearbox, Ladder Hoist Annual PM/Inspection"/>
    <s v="Gearbox, Ladder Hoist"/>
    <s v="EQUIPMENT"/>
    <s v="B"/>
    <s v="B"/>
    <s v="Draft"/>
    <s v="Hydraulic Dredge"/>
    <s v="Gearbox, Ladder Hoist"/>
    <s v="Ladder System*Ladder Hoist Winch*Gearbox, Ladder Hoist"/>
    <x v="5"/>
    <x v="0"/>
  </r>
  <r>
    <x v="2"/>
    <s v="0110"/>
    <s v="Ladder Hoist Motor (GE-752) Semi-Annual PM/Inspection"/>
    <s v="Ladder Hoist Motor (GE-752)"/>
    <s v="EQUIPMENT"/>
    <s v="B"/>
    <s v="B"/>
    <s v="Draft"/>
    <s v="Hydraulic Dredge"/>
    <s v="Ladder Hoist Motor (GE-752)"/>
    <s v="Ladder System*Ladder Hoist Winch*Ladder Hoist Motor (GE-752)"/>
    <x v="5"/>
    <x v="0"/>
  </r>
  <r>
    <x v="2"/>
    <s v="0110"/>
    <s v="Ladder Hoist Motor (GE-752) Overhaul"/>
    <s v="Ladder Hoist Motor (GE-752)"/>
    <s v="EQUIPMENT"/>
    <s v="B"/>
    <s v="B"/>
    <s v="Draft"/>
    <s v="Hydraulic Dredge"/>
    <s v="Ladder Hoist Motor (GE-752)"/>
    <s v="Ladder System*Ladder Hoist Winch*Ladder Hoist Motor (GE-752)"/>
    <x v="5"/>
    <x v="0"/>
  </r>
  <r>
    <x v="2"/>
    <s v="0110"/>
    <s v="Ladder Hoist Motor (GE-752) Installation"/>
    <s v="Ladder Hoist Motor (GE-752)"/>
    <s v="EQUIPMENT"/>
    <s v="B"/>
    <s v="B"/>
    <s v="Downtime Opportunity"/>
    <s v="Hydraulic Dredge"/>
    <s v="Ladder Hoist Motor (GE-752)"/>
    <s v="Ladder System*Ladder Hoist Winch*Ladder Hoist Motor (GE-752)"/>
    <x v="5"/>
    <x v="0"/>
  </r>
  <r>
    <x v="2"/>
    <s v="0110"/>
    <s v="EPIRB Annual Service"/>
    <s v="EPIRB"/>
    <s v="EQUIPMENT"/>
    <s v="A"/>
    <s v="A"/>
    <s v="Draft"/>
    <s v="Hydraulic Dredge"/>
    <s v="EPIRB"/>
    <s v="Navigation/Communication*EPIRB"/>
    <x v="27"/>
    <x v="0"/>
  </r>
  <r>
    <x v="2"/>
    <s v="0110"/>
    <s v="Drive, Soft Start (L/P) (Motor) Annual Clean/Inspect"/>
    <s v="Drive, Soft Start (L/P) (Motor)"/>
    <s v="EQUIPMENT"/>
    <s v="B"/>
    <s v="D"/>
    <s v="Draft"/>
    <s v="Hydraulic Dredge"/>
    <s v="Drive, Soft Start (L/P) (Motor)"/>
    <s v="Pump, Ladder*Drive, Soft Start (L/P) (Motor)"/>
    <x v="11"/>
    <x v="0"/>
  </r>
  <r>
    <x v="2"/>
    <s v="0110"/>
    <s v="Ladder Pump Rebuild"/>
    <s v="Ladder Pump"/>
    <s v="EQUIPMENT"/>
    <s v="B"/>
    <s v="D"/>
    <s v="To Be Written"/>
    <s v="Hydraulic Dredge"/>
    <s v="Ladder Pump"/>
    <s v="Pump, Ladder*Ladder Pump"/>
    <x v="11"/>
    <x v="1"/>
  </r>
  <r>
    <x v="2"/>
    <s v="0110"/>
    <s v="Flush Valve, Pump Annual Test &amp; Inspection"/>
    <s v="Flush Valve, Pump"/>
    <s v="EQUIPMENT"/>
    <s v="C"/>
    <s v="D"/>
    <s v="Draft"/>
    <s v="Hydraulic Dredge"/>
    <s v="Flush Valve, Pump"/>
    <s v="Raw Water*Flush Valve, Pump"/>
    <x v="16"/>
    <x v="0"/>
  </r>
  <r>
    <x v="2"/>
    <s v="0110"/>
    <s v="(R/W) Cooling Pump Set (M/E) Annual Test &amp; Inspection"/>
    <s v="(R/W) Cooling Pump Set (M/E)"/>
    <s v="EQUIPMENT"/>
    <s v="C"/>
    <s v="D"/>
    <s v="Draft"/>
    <s v="Hydraulic Dredge"/>
    <s v="(R/W) Cooling Pump Set (M/E)"/>
    <s v="Raw Water*(R/W) Cooling Pump Set (M/E)"/>
    <x v="16"/>
    <x v="0"/>
  </r>
  <r>
    <x v="2"/>
    <s v="0110"/>
    <s v="(R/W) Cooling Pump Set (G/E) Annual Test &amp; Inspection"/>
    <s v="(R/W) Cooling Pump Set (G/E)"/>
    <s v="EQUIPMENT"/>
    <s v="C"/>
    <s v="D"/>
    <s v="Draft"/>
    <s v="Hydraulic Dredge"/>
    <s v="(R/W) Cooling Pump Set (G/E)"/>
    <s v="Raw Water*(R/W) Cooling Pump Set (G/E)"/>
    <x v="16"/>
    <x v="0"/>
  </r>
  <r>
    <x v="2"/>
    <s v="0110"/>
    <s v="Service Water Pump (#2) Annual PM/Inspection"/>
    <s v="Service Water Pump (#2)"/>
    <s v="EQUIPMENT"/>
    <s v="C"/>
    <s v="D"/>
    <s v="Draft"/>
    <s v="Hydraulic Dredge"/>
    <s v="Service Water Pump (#2)"/>
    <s v="Raw Water*Service Water Pump (#2)"/>
    <x v="16"/>
    <x v="0"/>
  </r>
  <r>
    <x v="2"/>
    <s v="0110"/>
    <s v="Service Water Pump (#1) Annual PM/Inspection"/>
    <s v="Service Water Pump (#1)"/>
    <s v="EQUIPMENT"/>
    <s v="C"/>
    <s v="D"/>
    <s v="Draft"/>
    <s v="Hydraulic Dredge"/>
    <s v="Service Water Pump (#1)"/>
    <s v="Raw Water*Service Water Pump (#1)"/>
    <x v="16"/>
    <x v="0"/>
  </r>
  <r>
    <x v="2"/>
    <s v="0110"/>
    <s v="Flush Valve, Pump Annual PM/Inspection"/>
    <s v="Flush Valve, Pump"/>
    <s v="EQUIPMENT"/>
    <s v="C"/>
    <s v="D"/>
    <s v="Draft"/>
    <s v="Hydraulic Dredge"/>
    <s v="Flush Valve, Pump"/>
    <s v="Raw Water*Flush Valve, Pump"/>
    <x v="16"/>
    <x v="0"/>
  </r>
  <r>
    <x v="2"/>
    <s v="0110"/>
    <s v="(R/W) Cooling Pump Set (M/E) Annual PM/Inspection"/>
    <s v="(R/W) Cooling Pump Set (M/E)"/>
    <s v="EQUIPMENT"/>
    <s v="C"/>
    <s v="D"/>
    <s v="Draft"/>
    <s v="Hydraulic Dredge"/>
    <s v="(R/W) Cooling Pump Set (M/E)"/>
    <s v="Raw Water*(R/W) Cooling Pump Set (M/E)"/>
    <x v="16"/>
    <x v="0"/>
  </r>
  <r>
    <x v="2"/>
    <s v="0110"/>
    <s v="(R/W) Cooling Pump Set (G/E) Annual PM/Inspection"/>
    <s v="(R/W) Cooling Pump Set (G/E)"/>
    <s v="EQUIPMENT"/>
    <s v="C"/>
    <s v="D"/>
    <s v="Draft"/>
    <s v="Hydraulic Dredge"/>
    <s v="(R/W) Cooling Pump Set (G/E)"/>
    <s v="Raw Water*(R/W) Cooling Pump Set (G/E)"/>
    <x v="16"/>
    <x v="0"/>
  </r>
  <r>
    <x v="2"/>
    <s v="0110"/>
    <s v="Christmas Tree Quarterly Inspection"/>
    <s v="Christmas Tree"/>
    <s v="EQUIPMENT"/>
    <s v="B"/>
    <s v="D"/>
    <s v="Draft"/>
    <s v="Hydraulic Dredge"/>
    <s v="Christmas Tree"/>
    <s v="Spud System*Christmas Tree"/>
    <x v="18"/>
    <x v="0"/>
  </r>
  <r>
    <x v="2"/>
    <s v="0110"/>
    <s v="Drive, SCR (Spud Hoist) Annual Clean/Inspect/Test"/>
    <s v="Drive, SCR (Spud Hoist)"/>
    <s v="EQUIPMENT"/>
    <s v="B"/>
    <s v="D"/>
    <s v="Downtime Opportunity"/>
    <s v="Hydraulic Dredge"/>
    <s v="Drive, SCR (Spud Hoist)"/>
    <s v="Spud System*Drive, SCR (Spud Hoist)"/>
    <x v="18"/>
    <x v="0"/>
  </r>
  <r>
    <x v="2"/>
    <s v="0110"/>
    <s v="Brake Assembly Brake Inspection/Adjust"/>
    <s v="Brake Assembly"/>
    <s v="EQUIPMENT"/>
    <s v="B"/>
    <s v="D"/>
    <s v="Draft"/>
    <s v="Hydraulic Dredge"/>
    <s v="Brake Assembly"/>
    <s v="Spud System*Spud Hoist Winch*Brake Assembly"/>
    <x v="18"/>
    <x v="0"/>
  </r>
  <r>
    <x v="2"/>
    <s v="0110"/>
    <s v="Motor, Spud Hoist Brush Inspection"/>
    <s v="Motor, Spud Hoist"/>
    <s v="EQUIPMENT"/>
    <s v="B"/>
    <s v="D"/>
    <s v="Draft"/>
    <s v="Hydraulic Dredge"/>
    <s v="Motor, Spud Hoist"/>
    <s v="Spud System*Spud Hoist Winch*Motor, Spud Hoist"/>
    <x v="18"/>
    <x v="0"/>
  </r>
  <r>
    <x v="2"/>
    <s v="0110"/>
    <s v="Swing Sheave (Port) Installation"/>
    <s v="Swing Sheave (Port)"/>
    <s v="EQUIPMENT"/>
    <s v="B"/>
    <s v="D"/>
    <s v="To Be Captured"/>
    <s v="Hydraulic Dredge"/>
    <s v="Swing Sheave (Port)"/>
    <s v="Swing*Swing Sheave (Port)"/>
    <x v="19"/>
    <x v="1"/>
  </r>
  <r>
    <x v="2"/>
    <s v="0110"/>
    <s v="Swing Sheave (Stbd) Installation"/>
    <s v="Swing Sheave (Stbd)"/>
    <s v="EQUIPMENT"/>
    <s v="B"/>
    <s v="B"/>
    <s v="To Be Captured"/>
    <s v="Hydraulic Dredge"/>
    <s v="Swing Sheave (Stbd)"/>
    <s v="Swing*Swing Sheave (Stbd)"/>
    <x v="19"/>
    <x v="1"/>
  </r>
  <r>
    <x v="2"/>
    <s v="0110"/>
    <s v="Swing Winch (Stbd) Wire Change"/>
    <s v="Swing Winch (Stbd) **"/>
    <s v="EQUIPMENT"/>
    <s v="B"/>
    <s v="B"/>
    <s v="Draft"/>
    <s v="Hydraulic Dredge"/>
    <s v="Swing Winch (Stbd) **"/>
    <s v="Swing*Swing Winch (Stbd) **"/>
    <x v="19"/>
    <x v="0"/>
  </r>
  <r>
    <x v="2"/>
    <s v="0110"/>
    <s v="Swing Winch (Port) Wire Change"/>
    <s v="Swing Winch (Port)"/>
    <s v="EQUIPMENT"/>
    <s v="B"/>
    <s v="D"/>
    <s v="Draft"/>
    <s v="Hydraulic Dredge"/>
    <s v="Swing Winch (Port)"/>
    <s v="Swing*Swing Winch (Port)"/>
    <x v="19"/>
    <x v="0"/>
  </r>
  <r>
    <x v="2"/>
    <s v="0110"/>
    <s v="Motor, Swing (Stbd) Brush Inspection"/>
    <s v="Motor, Swing (Stbd)"/>
    <s v="EQUIPMENT"/>
    <s v="B"/>
    <s v="D"/>
    <s v="Draft"/>
    <s v="Hydraulic Dredge"/>
    <s v="Motor, Swing (Stbd)"/>
    <s v="Swing*Swing Winch (Stbd) ***Motor, Swing (Stbd)"/>
    <x v="19"/>
    <x v="0"/>
  </r>
  <r>
    <x v="2"/>
    <s v="0110"/>
    <s v="Motor, Swing (Port) Brush Inspection"/>
    <s v="Motor, Swing (Port)"/>
    <s v="EQUIPMENT"/>
    <s v="B"/>
    <s v="D"/>
    <s v="Draft"/>
    <s v="Hydraulic Dredge"/>
    <s v="Motor, Swing (Port)"/>
    <s v="Swing*Swing Winch (Port)*Motor, Swing (Port)"/>
    <x v="19"/>
    <x v="0"/>
  </r>
  <r>
    <x v="2"/>
    <s v="0110"/>
    <s v="Aux Generator Engine (Cat 3508) 750 HR PM/Inspection"/>
    <s v="Aux Generator Engine (Cat 3508)"/>
    <s v="EQUIPMENT"/>
    <s v="A"/>
    <s v="A"/>
    <s v="Draft"/>
    <s v="Hydraulic Dredge"/>
    <s v="Aux Generator Engine (Cat 3508)"/>
    <s v="Generators*Auxiliary Genset*Aux Generator Engine (Cat 3508)"/>
    <x v="4"/>
    <x v="0"/>
  </r>
  <r>
    <x v="2"/>
    <s v="0110"/>
    <s v="Fuel Oil Transfer Pump (#2) Annual PM, Test, Inspect"/>
    <s v="Fuel Oil Transfer Pump (#2)"/>
    <s v="EQUIPMENT"/>
    <s v="C"/>
    <s v="D"/>
    <s v="Draft"/>
    <s v="Hydraulic Dredge"/>
    <s v="Fuel Oil Transfer Pump (#2)"/>
    <s v="Fuel Oil Transfer*Fuel Oil Transfer Pump (#2)"/>
    <x v="12"/>
    <x v="0"/>
  </r>
  <r>
    <x v="2"/>
    <s v="0110"/>
    <s v="Fuel Oil Transfer Pump (#1) Annual PM, Test, Inspect"/>
    <s v="Fuel Oil Transfer Pump (#1)"/>
    <s v="EQUIPMENT"/>
    <s v="C"/>
    <s v="D"/>
    <s v="Draft"/>
    <s v="Hydraulic Dredge"/>
    <s v="Fuel Oil Transfer Pump (#1)"/>
    <s v="Fuel Oil Transfer*Fuel Oil Transfer Pump (#1)"/>
    <x v="12"/>
    <x v="0"/>
  </r>
  <r>
    <x v="2"/>
    <s v="0110"/>
    <s v="Electrical Distribution Annual Inspection"/>
    <s v="Electrical Distribution"/>
    <s v="EQUIPMENT"/>
    <s v="D"/>
    <s v="D"/>
    <s v="Draft"/>
    <s v="Hydraulic Dredge"/>
    <s v="Electrical Distribution"/>
    <s v="Electrical*Electrical Distribution"/>
    <x v="9"/>
    <x v="0"/>
  </r>
  <r>
    <x v="2"/>
    <s v="0110"/>
    <s v="Lifting Hook, Impeller (CARL-1) Annual Inspection"/>
    <s v="Ladder Pump"/>
    <s v="EQUIPMENT"/>
    <s v="B"/>
    <s v="D"/>
    <s v="Running Work List"/>
    <s v="Hydraulic Dredge"/>
    <s v="Ladder Pump"/>
    <s v="Pump, Ladder*Ladder Pump"/>
    <x v="11"/>
    <x v="0"/>
  </r>
  <r>
    <x v="2"/>
    <s v="0110"/>
    <s v="Lifting Hook, Impeller (CARM-2) Annual Inspection"/>
    <s v="Dredge Pump (Port)"/>
    <s v="EQUIPMENT"/>
    <s v="B"/>
    <s v="D"/>
    <s v="Running Work List"/>
    <s v="Hydraulic Dredge"/>
    <s v="Dredge Pump (Port)"/>
    <s v="Pump, Dredge (Port)*Dredge Pump (Port)"/>
    <x v="29"/>
    <x v="0"/>
  </r>
  <r>
    <x v="2"/>
    <s v="0110"/>
    <s v="D11-01) Victaulic Coupling (36&quot;-Style 44) Removal &amp; Installation"/>
    <s v="D11-01) Victaulic Coupling (36&quot;-Style 44)"/>
    <s v="EQUIPMENT"/>
    <s v="D"/>
    <s v="D"/>
    <s v="Downtime Opportunity"/>
    <s v="Hydraulic Dredge"/>
    <s v="D11-01) Victaulic Coupling (36&quot;-Style 44)"/>
    <s v="Piping (Dredge)*D) Piping (Hull To #1 Pump)*D11-01) Victaulic Coupling (36&quot;-Style 44)"/>
    <x v="25"/>
    <x v="0"/>
  </r>
  <r>
    <x v="2"/>
    <s v="0110"/>
    <s v="Dredge Pump (Stbd) Rebuild"/>
    <s v="Dredge Pump (Stbd)"/>
    <s v="EQUIPMENT"/>
    <s v="B"/>
    <s v="D"/>
    <s v="Downtime Opportunity"/>
    <s v="Hydraulic Dredge"/>
    <s v="Dredge Pump (Stbd)"/>
    <s v="Pump, Dredge (Stbd)*Dredge Pump (Stbd)"/>
    <x v="28"/>
    <x v="0"/>
  </r>
  <r>
    <x v="2"/>
    <s v="0110"/>
    <s v="Gen-Purpose Cutter (5-Blade) Clean/Inspect"/>
    <s v="Gen-Purpose Cutter (5-Blade)"/>
    <s v="EQUIPMENT"/>
    <s v="C"/>
    <s v="D"/>
    <s v="Draft"/>
    <s v="Hydraulic Dredge"/>
    <s v="Gen-Purpose Cutter (5-Blade)"/>
    <s v="Cutterheads*Gen-Purpose Cutter (5-Blade)"/>
    <x v="20"/>
    <x v="0"/>
  </r>
  <r>
    <x v="2"/>
    <s v="0110"/>
    <s v="Gen-Purpose Cutter (6-Blade) Clean/Inspect"/>
    <s v="Gen-Purpose Cutter (6-Blade)"/>
    <s v="EQUIPMENT"/>
    <s v="C"/>
    <s v="D"/>
    <s v="Draft"/>
    <s v="Hydraulic Dredge"/>
    <s v="Gen-Purpose Cutter (6-Blade)"/>
    <s v="Cutterheads*Gen-Purpose Cutter (6-Blade)"/>
    <x v="20"/>
    <x v="0"/>
  </r>
  <r>
    <x v="2"/>
    <s v="0110"/>
    <s v="Milling Cutter Clean/Inspect"/>
    <s v="Milling Cutter"/>
    <s v="EQUIPMENT"/>
    <s v="C"/>
    <s v="D"/>
    <s v="Draft"/>
    <s v="Hydraulic Dredge"/>
    <s v="Milling Cutter"/>
    <s v="Cutterheads*Milling Cutter"/>
    <x v="20"/>
    <x v="0"/>
  </r>
  <r>
    <x v="2"/>
    <s v="0110"/>
    <s v="T4.30 Cutter (Rock) (Vosta) Clean/Inspect"/>
    <s v="T4.30 Cutter (Rock) (Vosta)"/>
    <s v="EQUIPMENT"/>
    <s v="C"/>
    <s v="D"/>
    <s v="Draft"/>
    <s v="Hydraulic Dredge"/>
    <s v="T4.30 Cutter (Rock) (Vosta)"/>
    <s v="Cutterheads*T4.30 Cutter (Rock) (Vosta)"/>
    <x v="20"/>
    <x v="0"/>
  </r>
  <r>
    <x v="2"/>
    <s v="0110"/>
    <s v="T6 Cutter (Rock) Clean/Inspect"/>
    <s v="T6 Cutter (Rock)"/>
    <s v="EQUIPMENT"/>
    <s v="C"/>
    <s v="D"/>
    <s v="Draft"/>
    <s v="Hydraulic Dredge"/>
    <s v="T6 Cutter (Rock)"/>
    <s v="Cutterheads*T6 Cutter (Rock)"/>
    <x v="20"/>
    <x v="0"/>
  </r>
  <r>
    <x v="2"/>
    <s v="0110"/>
    <s v="52D/58D Cutter (Combo) Clean/Inspect"/>
    <s v="52D/58D Cutter (Combo)"/>
    <s v="EQUIPMENT"/>
    <s v="C"/>
    <s v="D"/>
    <s v="Draft"/>
    <s v="Hydraulic Dredge"/>
    <s v="52D/58D Cutter (Combo)"/>
    <s v="Cutterheads*52D/58D Cutter (Combo)"/>
    <x v="20"/>
    <x v="0"/>
  </r>
  <r>
    <x v="2"/>
    <s v="0110"/>
    <s v="52D Cutter (Rock STD) Clean/Inspect"/>
    <s v="52D Cutter (Rock STD)"/>
    <s v="EQUIPMENT"/>
    <s v="C"/>
    <s v="D"/>
    <s v="Draft"/>
    <s v="Hydraulic Dredge"/>
    <s v="52D Cutter (Rock STD)"/>
    <s v="Cutterheads*52D Cutter (Rock STD)"/>
    <x v="20"/>
    <x v="0"/>
  </r>
  <r>
    <x v="2"/>
    <s v="0110"/>
    <s v="52D Cutter (Pumping) Clean/Inspect"/>
    <s v="52D Cutter (Pumping)"/>
    <s v="EQUIPMENT"/>
    <s v="C"/>
    <s v="D"/>
    <s v="Draft"/>
    <s v="Hydraulic Dredge"/>
    <s v="52D Cutter (Pumping)"/>
    <s v="Cutterheads*52D Cutter (Pumping)"/>
    <x v="20"/>
    <x v="0"/>
  </r>
  <r>
    <x v="2"/>
    <s v="0110"/>
    <s v="52D 6 Arm (Multi Service) Clean/Inspect"/>
    <s v="52D 6 Arm (Multi Service)"/>
    <s v="EQUIPMENT"/>
    <s v="C"/>
    <s v="D"/>
    <s v="Draft"/>
    <s v="Hydraulic Dredge"/>
    <s v="52D 6 Arm (Multi Service)"/>
    <s v="Cutterheads*52D 6 Arm (Multi Service)"/>
    <x v="20"/>
    <x v="0"/>
  </r>
  <r>
    <x v="2"/>
    <s v="0110"/>
    <s v="48Ds Cutter (Sand/Clay) Clean/Inspect"/>
    <s v="48Ds Cutter (Sand/Clay)"/>
    <s v="EQUIPMENT"/>
    <s v="C"/>
    <s v="D"/>
    <s v="Draft"/>
    <s v="Hydraulic Dredge"/>
    <s v="48Ds Cutter (Sand/Clay)"/>
    <s v="Cutterheads*48Ds Cutter (Sand/Clay)"/>
    <x v="20"/>
    <x v="0"/>
  </r>
  <r>
    <x v="2"/>
    <s v="0110"/>
    <s v="B10) Hose, 34&quot; (Ladder Suction) Quarterly Inspection"/>
    <s v="B10) Hose, 34&quot; (Ladder Suction)"/>
    <s v="EQUIPMENT"/>
    <s v="D"/>
    <s v="D"/>
    <s v="Draft"/>
    <s v="Hydraulic Dredge"/>
    <s v="B10) Hose, 34&quot; (Ladder Suction)"/>
    <s v="Piping (Dredge)*B) Piping (Ladder Pump To Hull)*B10) Hose, 34&quot; (Ladder Suction)"/>
    <x v="25"/>
    <x v="0"/>
  </r>
  <r>
    <x v="2"/>
    <s v="0110"/>
    <s v="Drive, SCR (Swing) (Stbd) Annual Clean/Inspect"/>
    <s v="Drive, SCR (Swing) (Stbd)"/>
    <s v="EQUIPMENT"/>
    <s v="D"/>
    <s v="B"/>
    <s v="Draft"/>
    <s v="Hydraulic Dredge"/>
    <s v="Drive, SCR (Swing) (Stbd)"/>
    <s v="Swing*Drive, SCR (Swing) (Stbd)"/>
    <x v="19"/>
    <x v="0"/>
  </r>
  <r>
    <x v="2"/>
    <s v="0110"/>
    <s v="Drive, SCR (Swing) (Port) Annual Clean/Inspect"/>
    <s v="Drive, SCR (Swing) (Port)"/>
    <s v="EQUIPMENT"/>
    <s v="B"/>
    <s v="B"/>
    <s v="Draft"/>
    <s v="Hydraulic Dredge"/>
    <s v="Drive, SCR (Swing) (Port)"/>
    <s v="Swing*Drive, SCR (Swing) (Port)"/>
    <x v="19"/>
    <x v="0"/>
  </r>
  <r>
    <x v="2"/>
    <s v="0110"/>
    <s v="Drive, SCR (Cutter) (Stbd) Annual Clean/Inspect"/>
    <s v="Drive, SCR (Cutter) (Stbd)"/>
    <s v="EQUIPMENT"/>
    <s v="B"/>
    <s v="B"/>
    <s v="Draft"/>
    <s v="Hydraulic Dredge"/>
    <s v="Drive, SCR (Cutter) (Stbd)"/>
    <s v="Cutter Machinery*Drive, SCR (Cutter) (Stbd)"/>
    <x v="6"/>
    <x v="0"/>
  </r>
  <r>
    <x v="2"/>
    <s v="0110"/>
    <s v="Drive, SCR (Cutter) (Port) Annual Clean/Inspect"/>
    <s v="Drive, SCR (Cutter) (Port)"/>
    <s v="EQUIPMENT"/>
    <s v="B"/>
    <s v="B"/>
    <s v="Draft"/>
    <s v="Hydraulic Dredge"/>
    <s v="Drive, SCR (Cutter) (Port)"/>
    <s v="Cutter Machinery*Drive, SCR (Cutter) (Port)"/>
    <x v="6"/>
    <x v="0"/>
  </r>
  <r>
    <x v="2"/>
    <s v="0110"/>
    <s v="Watertight Doors/Hatches/Portholes Set-Up/Prep For Tow"/>
    <s v="Watertight Doors/Hatches/Portholes"/>
    <s v="EQUIPMENT"/>
    <s v="A"/>
    <s v="D"/>
    <s v="Draft"/>
    <s v="Hydraulic Dredge"/>
    <s v="Watertight Doors/Hatches/Portholes"/>
    <s v="Hull/Structure*Watertight Doors/Hatches/Portholes"/>
    <x v="23"/>
    <x v="0"/>
  </r>
  <r>
    <x v="2"/>
    <s v="0110"/>
    <s v="Christmas Tree Installation"/>
    <s v="Christmas Tree"/>
    <s v="EQUIPMENT"/>
    <s v="B"/>
    <s v="D"/>
    <s v="Unscheduled Work"/>
    <s v="Hydraulic Dredge"/>
    <s v="Christmas Tree"/>
    <s v="Spud System*Christmas Tree"/>
    <x v="18"/>
    <x v="0"/>
  </r>
  <r>
    <x v="2"/>
    <s v="0110"/>
    <s v="B) Piping (Ladder Pump To Hull) Semi-Annual Inspection"/>
    <s v="B) Piping (Ladder Pump To Hull)"/>
    <s v="EQUIPMENT"/>
    <s v="D"/>
    <s v="D"/>
    <s v="Running Work List"/>
    <s v="Hydraulic Dredge"/>
    <s v="B) Piping (Ladder Pump To Hull)"/>
    <s v="Piping (Dredge)*B) Piping (Ladder Pump To Hull)"/>
    <x v="25"/>
    <x v="0"/>
  </r>
  <r>
    <x v="2"/>
    <s v="0110"/>
    <s v="D) Piping (Hull To #1 Pump) U/T Soundings"/>
    <s v="D) Piping (Hull To #1 Pump)"/>
    <s v="EQUIPMENT"/>
    <s v="D"/>
    <s v="D"/>
    <s v="Running Work List"/>
    <s v="Hydraulic Dredge"/>
    <s v="D) Piping (Hull To #1 Pump)"/>
    <s v="Piping (Dredge)*D) Piping (Hull To #1 Pump)"/>
    <x v="25"/>
    <x v="0"/>
  </r>
  <r>
    <x v="2"/>
    <s v="0110"/>
    <s v="F) Piping (#2 Pump To Stern) U/T Soundings"/>
    <s v="F) Piping (#2 Pump To Stern)"/>
    <s v="EQUIPMENT"/>
    <s v="D"/>
    <s v="D"/>
    <s v="Draft"/>
    <s v="Hydraulic Dredge"/>
    <s v="F) Piping (#2 Pump To Stern)"/>
    <s v="Piping (Dredge)*F) Piping (#2 Pump To Stern)"/>
    <x v="25"/>
    <x v="0"/>
  </r>
  <r>
    <x v="2"/>
    <s v="0110"/>
    <s v="Thrust Bearing Assembly Element Replacement"/>
    <s v="Thrust Bearing"/>
    <s v="EQUIPMENT"/>
    <s v="B"/>
    <s v="D"/>
    <s v="Downtime Opportunity"/>
    <s v="Hydraulic Dredge"/>
    <s v="Thrust Bearing"/>
    <s v="Cutter Machinery*Thrust Bearing"/>
    <x v="6"/>
    <x v="0"/>
  </r>
  <r>
    <x v="2"/>
    <s v="0110"/>
    <s v="Thrust Bearing Assembly Inspection"/>
    <s v="Thrust Bearing"/>
    <s v="EQUIPMENT"/>
    <s v="B"/>
    <s v="D"/>
    <s v="Downtime Opportunity"/>
    <s v="Hydraulic Dredge"/>
    <s v="Thrust Bearing"/>
    <s v="Cutter Machinery*Thrust Bearing"/>
    <x v="6"/>
    <x v="0"/>
  </r>
  <r>
    <x v="2"/>
    <s v="0110"/>
    <s v="Thrust Bearing Assembly Commissioning"/>
    <s v="Thrust Bearing"/>
    <s v="EQUIPMENT"/>
    <s v="B"/>
    <s v="D"/>
    <s v="Downtime Opportunity"/>
    <s v="Hydraulic Dredge"/>
    <s v="Thrust Bearing"/>
    <s v="Cutter Machinery*Thrust Bearing"/>
    <x v="6"/>
    <x v="0"/>
  </r>
  <r>
    <x v="2"/>
    <s v="0110"/>
    <s v="Pump Bearing Assembly (L/P) Installation and Alignment"/>
    <s v="Pump Bearing Assembly (L/P)"/>
    <s v="EQUIPMENT"/>
    <s v="B"/>
    <s v="D"/>
    <s v="Downtime Opportunity"/>
    <s v="Hydraulic Dredge"/>
    <s v="Pump Bearing Assembly (L/P)"/>
    <s v="Pump, Ladder*Shafting*Pump Bearing Assembly (L/P)"/>
    <x v="11"/>
    <x v="0"/>
  </r>
  <r>
    <x v="2"/>
    <s v="0110"/>
    <s v="LifeRaft (Stbd # 02) Annual Exchange"/>
    <s v="LifeRaft (Stbd # 02)"/>
    <s v="EQUIPMENT"/>
    <s v="A"/>
    <s v="D"/>
    <s v="Regulatory Requirement"/>
    <s v="Hydraulic Dredge"/>
    <s v="LifeRaft (Stbd # 02)"/>
    <s v="Safety Lifesaving*LifeRaft (Stbd # 02)"/>
    <x v="1"/>
    <x v="0"/>
  </r>
  <r>
    <x v="2"/>
    <s v="0110"/>
    <s v="LifeRaft (Port # 02) Annual Exchange"/>
    <s v="LifeRaft (Port # 02)"/>
    <s v="EQUIPMENT"/>
    <s v="A"/>
    <s v="D"/>
    <s v="Regulatory Requirement"/>
    <s v="Hydraulic Dredge"/>
    <s v="LifeRaft (Port # 02)"/>
    <s v="Safety Lifesaving*LifeRaft (Port # 02)"/>
    <x v="1"/>
    <x v="0"/>
  </r>
  <r>
    <x v="2"/>
    <s v="0110"/>
    <s v="Cutter Motor (GE 567) (Stbd) Cutter Motor Meg Test"/>
    <s v="Cutter Motor (GE 567) (Stbd)"/>
    <s v="EQUIPMENT"/>
    <s v="D"/>
    <s v="D"/>
    <s v="Downtime Opportunity"/>
    <s v="Hydraulic Dredge"/>
    <s v="Cutter Motor (GE 567) (Stbd)"/>
    <s v="Cutter Machinery*Cutter Motor (GE 567) (Stbd)"/>
    <x v="6"/>
    <x v="0"/>
  </r>
  <r>
    <x v="2"/>
    <s v="0110"/>
    <s v="Cutter Motor (GE 567) (Port) Cutter Motor Meg Test"/>
    <s v="Cutter Motor (GE 567) (Port)"/>
    <s v="EQUIPMENT"/>
    <s v="D"/>
    <s v="D"/>
    <s v="Downtime Opportunity"/>
    <s v="Hydraulic Dredge"/>
    <s v="Cutter Motor (GE 567) (Port)"/>
    <s v="Cutter Machinery*Cutter Motor (GE 567) (Port)"/>
    <x v="6"/>
    <x v="0"/>
  </r>
  <r>
    <x v="2"/>
    <s v="0110"/>
    <s v="Universal Coupling Winch Wire Change"/>
    <s v="Universal Coupling Winch"/>
    <s v="EQUIPMENT"/>
    <s v="C"/>
    <s v="D"/>
    <s v="Draft"/>
    <s v="Hydraulic Dredge"/>
    <s v="Universal Coupling Winch"/>
    <s v="Crane/Hoists*Universal Coupling Winch"/>
    <x v="7"/>
    <x v="0"/>
  </r>
  <r>
    <x v="2"/>
    <s v="0110"/>
    <s v="Spud Hoist Winch Monthly PM"/>
    <s v="Spud Hoist Winch"/>
    <s v="EQUIPMENT"/>
    <s v="B"/>
    <s v="D"/>
    <s v="Downtime Opportunity"/>
    <s v="Hydraulic Dredge"/>
    <s v="Spud Hoist Winch"/>
    <s v="Spud System*Spud Hoist Winch"/>
    <x v="18"/>
    <x v="0"/>
  </r>
  <r>
    <x v="2"/>
    <s v="0110"/>
    <s v="D/P Engine Stbd Removal &amp; Installation"/>
    <s v="Dredge Pump Engine (Stbd) (EMD 645)"/>
    <s v="EQUIPMENT"/>
    <s v="B"/>
    <s v="D"/>
    <s v="Downtime Opportunity"/>
    <s v="Hydraulic Dredge"/>
    <s v="Dredge Pump Engine (Stbd) (EMD 645)"/>
    <s v="Pump, Dredge (Stbd)*Dredge Pump Engine (Stbd) (EMD 645)"/>
    <x v="28"/>
    <x v="0"/>
  </r>
  <r>
    <x v="2"/>
    <s v="0110"/>
    <s v="D/P Engine Port Removal &amp; Installation"/>
    <s v="Dredge Pump Engine Port (EMD 645)"/>
    <s v="EQUIPMENT"/>
    <s v="B"/>
    <s v="D"/>
    <s v="Downtime Opportunity"/>
    <s v="Hydraulic Dredge"/>
    <s v="Dredge Pump Engine Port (EMD 645)"/>
    <s v="Pump, Dredge (Port)*Dredge Pump Engine Port (EMD 645)"/>
    <x v="29"/>
    <x v="0"/>
  </r>
  <r>
    <x v="2"/>
    <s v="0110"/>
    <s v="Main Generator Engine (Stbd) (EMD 645) Removal &amp; Installation"/>
    <s v="Main Generator Engine (Stbd) (EMD 645)"/>
    <s v="EQUIPMENT"/>
    <s v="B"/>
    <s v="D"/>
    <s v="Downtime Opportunity"/>
    <s v="Hydraulic Dredge"/>
    <s v="Main Generator Engine (Stbd) (EMD 645)"/>
    <s v="Generators*Main Genset (Stbd)*Main Generator Engine (Stbd) (EMD 645)"/>
    <x v="4"/>
    <x v="0"/>
  </r>
  <r>
    <x v="2"/>
    <s v="0110"/>
    <s v="Main Generator Engine (Port) (EMD 645) Removal &amp; Installation"/>
    <s v="Main Generator Engine (Port) (EMD 645)"/>
    <s v="EQUIPMENT"/>
    <s v="B"/>
    <s v="D"/>
    <s v="Downtime Opportunity"/>
    <s v="Hydraulic Dredge"/>
    <s v="Main Generator Engine (Port) (EMD 645)"/>
    <s v="Generators*Main Genset (Port)*Main Generator Engine (Port) (EMD 645)"/>
    <x v="4"/>
    <x v="0"/>
  </r>
  <r>
    <x v="2"/>
    <s v="0110"/>
    <s v="Cutter Motor (GE 567) (Stbd) 2500 HR PM"/>
    <s v="Cutter Motor (GE 567) (Stbd)"/>
    <s v="EQUIPMENT"/>
    <s v="D"/>
    <s v="D"/>
    <s v="Downtime Opportunity"/>
    <s v="Hydraulic Dredge"/>
    <s v="Cutter Motor (GE 567) (Stbd)"/>
    <s v="Cutter Machinery*Cutter Motor (GE 567) (Stbd)"/>
    <x v="6"/>
    <x v="0"/>
  </r>
  <r>
    <x v="2"/>
    <s v="0110"/>
    <s v="Cutter Motor (GE 567) (Port) 2500 HR PM"/>
    <s v="Cutter Motor (GE 567) (Port)"/>
    <s v="EQUIPMENT"/>
    <s v="D"/>
    <s v="D"/>
    <s v="Downtime Opportunity"/>
    <s v="Hydraulic Dredge"/>
    <s v="Cutter Motor (GE 567) (Port)"/>
    <s v="Cutter Machinery*Cutter Motor (GE 567) (Port)"/>
    <x v="6"/>
    <x v="0"/>
  </r>
  <r>
    <x v="2"/>
    <s v="0110"/>
    <s v="Cutter Motor (GE 567) (Stbd) Removal"/>
    <s v="Cutter Motor (GE 567) (Stbd)"/>
    <s v="EQUIPMENT"/>
    <s v="D"/>
    <s v="B"/>
    <s v="Downtime Opportunity"/>
    <s v="Hydraulic Dredge"/>
    <s v="Cutter Motor (GE 567) (Stbd)"/>
    <s v="Cutter Machinery*Cutter Motor (GE 567) (Stbd)"/>
    <x v="6"/>
    <x v="0"/>
  </r>
  <r>
    <x v="2"/>
    <s v="0110"/>
    <s v="Cutter Motor (GE 567) (Port) Removal"/>
    <s v="Cutter Motor (GE 567) (Port)"/>
    <s v="EQUIPMENT"/>
    <s v="D"/>
    <s v="B"/>
    <s v="Downtime Opportunity"/>
    <s v="Hydraulic Dredge"/>
    <s v="Cutter Motor (GE 567) (Port)"/>
    <s v="Cutter Machinery*Cutter Motor (GE 567) (Port)"/>
    <x v="6"/>
    <x v="0"/>
  </r>
  <r>
    <x v="2"/>
    <s v="0110"/>
    <s v="Ladder Pump Motor (Port) 1000 HR PM"/>
    <s v="Ladder Pump Motor (Port)"/>
    <s v="EQUIPMENT"/>
    <s v="B"/>
    <s v="B"/>
    <s v="Downtime Opportunity"/>
    <s v="Hydraulic Dredge"/>
    <s v="Ladder Pump Motor (Port)"/>
    <s v="Pump, Ladder*Ladder Pump Motor (Port)"/>
    <x v="11"/>
    <x v="0"/>
  </r>
  <r>
    <x v="2"/>
    <s v="0110"/>
    <s v="Ladder Pump Motor (Port) 3000 HR PM"/>
    <s v="Ladder Pump Motor (Port)"/>
    <s v="EQUIPMENT"/>
    <s v="B"/>
    <s v="B"/>
    <s v="Downtime Opportunity"/>
    <s v="Hydraulic Dredge"/>
    <s v="Ladder Pump Motor (Port)"/>
    <s v="Pump, Ladder*Ladder Pump Motor (Port)"/>
    <x v="11"/>
    <x v="0"/>
  </r>
  <r>
    <x v="2"/>
    <s v="0110"/>
    <s v="Ladder Pump Motor (Stbd) Removal"/>
    <s v="Ladder Pump Motor (Stbd)"/>
    <s v="EQUIPMENT"/>
    <s v="B"/>
    <s v="D"/>
    <s v="Downtime Opportunity"/>
    <s v="Hydraulic Dredge"/>
    <s v="Ladder Pump Motor (Stbd)"/>
    <s v="Pump, Ladder*Ladder Pump Motor (Stbd)"/>
    <x v="11"/>
    <x v="0"/>
  </r>
  <r>
    <x v="2"/>
    <s v="0110"/>
    <s v="Ladder Pump Motor (Port) Removal"/>
    <s v="Ladder Pump Motor (Port)"/>
    <s v="EQUIPMENT"/>
    <s v="B"/>
    <s v="D"/>
    <s v="Downtime Opportunity"/>
    <s v="Hydraulic Dredge"/>
    <s v="Ladder Pump Motor (Port)"/>
    <s v="Pump, Ladder*Ladder Pump Motor (Port)"/>
    <x v="11"/>
    <x v="0"/>
  </r>
  <r>
    <x v="2"/>
    <s v="0110"/>
    <s v="Ladder Pump Motor (Stbd) Installation"/>
    <s v="Ladder Pump Motor (Stbd)"/>
    <s v="EQUIPMENT"/>
    <s v="B"/>
    <s v="D"/>
    <s v="Downtime Opportunity"/>
    <s v="Hydraulic Dredge"/>
    <s v="Ladder Pump Motor (Stbd)"/>
    <s v="Pump, Ladder*Ladder Pump Motor (Stbd)"/>
    <x v="11"/>
    <x v="0"/>
  </r>
  <r>
    <x v="2"/>
    <s v="0110"/>
    <s v="Ladder Pump Motor (Port) Installation"/>
    <s v="Ladder Pump Motor (Port)"/>
    <s v="EQUIPMENT"/>
    <s v="B"/>
    <s v="D"/>
    <s v="Downtime Opportunity"/>
    <s v="Hydraulic Dredge"/>
    <s v="Ladder Pump Motor (Port)"/>
    <s v="Pump, Ladder*Ladder Pump Motor (Port)"/>
    <x v="11"/>
    <x v="0"/>
  </r>
  <r>
    <x v="3"/>
    <s v="0118"/>
    <s v="Life Raft (Port) (#1) Annual Exchange"/>
    <s v="Life Raft (Port) (#1)"/>
    <s v="EQUIPMENT"/>
    <s v="A"/>
    <s v="A"/>
    <s v="Regulatory Requirement"/>
    <s v="Hydraulic Dredge"/>
    <s v="Life Raft (Port) (#1)"/>
    <s v="Safety Lifesaving*Life Raft (Port) (#1)"/>
    <x v="1"/>
    <x v="0"/>
  </r>
  <r>
    <x v="3"/>
    <s v="0118"/>
    <s v="Life Raft (Stbd) (#1) Annual Exchange"/>
    <s v="Life Raft (Stbd) (#1)"/>
    <s v="EQUIPMENT"/>
    <s v="A"/>
    <s v="A"/>
    <s v="Regulatory Requirement"/>
    <s v="Hydraulic Dredge"/>
    <s v="Life Raft (Stbd) (#1)"/>
    <s v="Safety Lifesaving*Life Raft (Stbd) (#1)"/>
    <x v="1"/>
    <x v="0"/>
  </r>
  <r>
    <x v="3"/>
    <s v="0118"/>
    <s v="Air Compressor Set (Aft) Semi-Annual PM/Inspection"/>
    <s v="Air Compressor Set (Aft)"/>
    <s v="EQUIPMENT"/>
    <s v="C"/>
    <s v="B"/>
    <s v="Draft"/>
    <s v="Hydraulic Dredge"/>
    <s v="Air Compressor Set (Aft)"/>
    <s v="Compressed Air*Air Compressor Set (Aft)"/>
    <x v="10"/>
    <x v="0"/>
  </r>
  <r>
    <x v="3"/>
    <s v="0118"/>
    <s v="Air Compressor Set (Aft) Annual PM/Inspection"/>
    <s v="Air Compressor Set (Aft)"/>
    <s v="EQUIPMENT"/>
    <s v="C"/>
    <s v="B"/>
    <s v="Draft"/>
    <s v="Hydraulic Dredge"/>
    <s v="Air Compressor Set (Aft)"/>
    <s v="Compressed Air*Air Compressor Set (Aft)"/>
    <x v="10"/>
    <x v="0"/>
  </r>
  <r>
    <x v="3"/>
    <s v="0118"/>
    <s v="Life Raft (Stbd) (#3) Annual Exchange"/>
    <s v="Life Raft (Stbd) (#3)"/>
    <s v="EQUIPMENT"/>
    <s v="A"/>
    <s v="A"/>
    <s v="Regulatory Requirement"/>
    <s v="Hydraulic Dredge"/>
    <s v="Life Raft (Stbd) (#3)"/>
    <s v="Safety Lifesaving*Life Raft (Stbd) (#3)"/>
    <x v="1"/>
    <x v="0"/>
  </r>
  <r>
    <x v="3"/>
    <s v="0118"/>
    <s v="Life Raft (Port) (#2) Annual Exchange"/>
    <s v="Life Raft (Port) (#2)"/>
    <s v="EQUIPMENT"/>
    <s v="A"/>
    <s v="A"/>
    <s v="Regulatory Requirement"/>
    <s v="Hydraulic Dredge"/>
    <s v="Life Raft (Port) (#2)"/>
    <s v="Safety Lifesaving*Life Raft (Port) (#2)"/>
    <x v="1"/>
    <x v="0"/>
  </r>
  <r>
    <x v="3"/>
    <s v="0118"/>
    <s v="Life Raft (Port) (#3) Annual Exchange"/>
    <s v="Life Raft (Port) (#3)"/>
    <s v="EQUIPMENT"/>
    <s v="A"/>
    <s v="A"/>
    <s v="Regulatory Requirement"/>
    <s v="Hydraulic Dredge"/>
    <s v="Life Raft (Port) (#3)"/>
    <s v="Safety Lifesaving*Life Raft (Port) (#3)"/>
    <x v="1"/>
    <x v="0"/>
  </r>
  <r>
    <x v="3"/>
    <s v="0118"/>
    <s v="Life Raft (Stbd) (#2) Annual Exchange"/>
    <s v="Life Raft (Stbd) (#2)"/>
    <s v="EQUIPMENT"/>
    <s v="A"/>
    <s v="A"/>
    <s v="Regulatory Requirement"/>
    <s v="Hydraulic Dredge"/>
    <s v="Life Raft (Stbd) (#2)"/>
    <s v="Safety Lifesaving*Life Raft (Stbd) (#2)"/>
    <x v="1"/>
    <x v="0"/>
  </r>
  <r>
    <x v="3"/>
    <s v="0118"/>
    <s v="Fixed Fire System (Halon) Annual Certification"/>
    <s v="Fixed Fire System (Halon)"/>
    <s v="EQUIPMENT"/>
    <s v="B"/>
    <s v="A"/>
    <s v="Draft"/>
    <s v="Hydraulic Dredge"/>
    <s v="Fixed Fire System (Halon)"/>
    <s v="Safety Firefighting*Fixed Fire System (Halon)"/>
    <x v="0"/>
    <x v="0"/>
  </r>
  <r>
    <x v="3"/>
    <s v="0118"/>
    <s v="Air Compressor Set (Fwd) Semi-Annual PM/Inspection"/>
    <s v="Air Compressor Set (Fwd)"/>
    <s v="EQUIPMENT"/>
    <s v="C"/>
    <s v="B"/>
    <s v="Draft"/>
    <s v="Hydraulic Dredge"/>
    <s v="Air Compressor Set (Fwd)"/>
    <s v="Compressed Air*Air Compressor Set (Fwd)"/>
    <x v="10"/>
    <x v="0"/>
  </r>
  <r>
    <x v="3"/>
    <s v="0118"/>
    <s v="Air Compressor Set (Fwd) Annual PM/Inspection"/>
    <s v="Air Compressor Set (Fwd)"/>
    <s v="EQUIPMENT"/>
    <s v="C"/>
    <s v="B"/>
    <s v="Draft"/>
    <s v="Hydraulic Dredge"/>
    <s v="Air Compressor Set (Fwd)"/>
    <s v="Compressed Air*Air Compressor Set (Fwd)"/>
    <x v="10"/>
    <x v="0"/>
  </r>
  <r>
    <x v="3"/>
    <s v="0118"/>
    <s v="Gyro Compass Annual PM/Inspection"/>
    <s v="Gyro Compass"/>
    <s v="EQUIPMENT"/>
    <s v="C"/>
    <s v="B"/>
    <s v="Running Work List"/>
    <s v="Hydraulic Dredge"/>
    <s v="Gyro Compass"/>
    <s v="Navigation/Communication*Gyro Compass"/>
    <x v="27"/>
    <x v="0"/>
  </r>
  <r>
    <x v="3"/>
    <s v="0118"/>
    <s v="Bilge Pump Set (Pump Room) Annual PM/Inspection"/>
    <s v="Bilge Pump Set (Pump Room)"/>
    <s v="EQUIPMENT"/>
    <s v="A"/>
    <s v="A"/>
    <s v="Running Work List"/>
    <s v="Hydraulic Dredge"/>
    <s v="Bilge Pump Set (Pump Room)"/>
    <s v="Bilge/Ballast*Bilge Pump Set (Pump Room)"/>
    <x v="21"/>
    <x v="0"/>
  </r>
  <r>
    <x v="3"/>
    <s v="0118"/>
    <s v="Cutter Gearbox 1000 HR PM"/>
    <s v="Cutter Gearbox"/>
    <s v="EQUIPMENT"/>
    <s v="A"/>
    <s v="D"/>
    <s v="Downtime Opportunity"/>
    <s v="Hydraulic Dredge"/>
    <s v="Cutter Gearbox"/>
    <s v="Cutter Machinery*Cutter Gearbox"/>
    <x v="6"/>
    <x v="0"/>
  </r>
  <r>
    <x v="3"/>
    <s v="0118"/>
    <s v="Cutter Gearbox 6000 HR PM"/>
    <s v="Cutter Gearbox"/>
    <s v="EQUIPMENT"/>
    <s v="A"/>
    <s v="D"/>
    <s v="Downtime Opportunity"/>
    <s v="Hydraulic Dredge"/>
    <s v="Cutter Gearbox"/>
    <s v="Cutter Machinery*Cutter Gearbox"/>
    <x v="6"/>
    <x v="0"/>
  </r>
  <r>
    <x v="3"/>
    <s v="0118"/>
    <s v="Thrust Bearing/Shaft (Cutter) 1000 HR PM"/>
    <s v="Thrust Bearing (Cutter)"/>
    <s v="EQUIPMENT"/>
    <s v="A"/>
    <s v="D"/>
    <s v="Downtime Opportunity"/>
    <s v="Hydraulic Dredge"/>
    <s v="Thrust Bearing (Cutter)"/>
    <s v="Cutter Machinery*Thrust Bearing (Cutter)"/>
    <x v="6"/>
    <x v="0"/>
  </r>
  <r>
    <x v="3"/>
    <s v="0118"/>
    <s v="Thrust Bearing/Shaft (Cutter) 5000 HR PM"/>
    <s v="Thrust Bearing (Cutter)"/>
    <s v="EQUIPMENT"/>
    <s v="A"/>
    <s v="D"/>
    <s v="Downtime Opportunity"/>
    <s v="Hydraulic Dredge"/>
    <s v="Thrust Bearing (Cutter)"/>
    <s v="Cutter Machinery*Thrust Bearing (Cutter)"/>
    <x v="6"/>
    <x v="0"/>
  </r>
  <r>
    <x v="3"/>
    <s v="0118"/>
    <s v="D/P Engine Stbd 1000 HR PM"/>
    <s v="Dredge Pump Engine Stbd (EMD 645)"/>
    <s v="EQUIPMENT"/>
    <s v="A"/>
    <s v="B"/>
    <s v="Downtime Opportunity"/>
    <s v="Hydraulic Dredge"/>
    <s v="Dredge Pump Engine Stbd (EMD 645)"/>
    <s v="Pump, Dredge*Dredge Pump Engine Stbd (EMD 645)"/>
    <x v="3"/>
    <x v="0"/>
  </r>
  <r>
    <x v="3"/>
    <s v="0118"/>
    <s v="D/P Engine Port 1000 HR PM"/>
    <s v="Dredge Pump Engine Port (EMD 645)"/>
    <s v="EQUIPMENT"/>
    <s v="A"/>
    <s v="B"/>
    <s v="Downtime Opportunity"/>
    <s v="Hydraulic Dredge"/>
    <s v="Dredge Pump Engine Port (EMD 645)"/>
    <s v="Pump, Dredge*Dredge Pump Engine Port (EMD 645)"/>
    <x v="3"/>
    <x v="0"/>
  </r>
  <r>
    <x v="3"/>
    <s v="0118"/>
    <s v="Main Generator Engine (Stbd) 1000 HR PM"/>
    <s v="Main Generator Engine (Stbd)"/>
    <s v="EQUIPMENT"/>
    <s v="A"/>
    <s v="A"/>
    <s v="Downtime Opportunity"/>
    <s v="Hydraulic Dredge"/>
    <s v="Main Generator Engine (Stbd)"/>
    <s v="Generators*Main Genset (Stbd)*Main Generator Engine (Stbd)"/>
    <x v="4"/>
    <x v="0"/>
  </r>
  <r>
    <x v="3"/>
    <s v="0118"/>
    <s v="Main Generator Engine (Port) 1000 HR PM"/>
    <s v="Main Generator Engine (Port)"/>
    <s v="EQUIPMENT"/>
    <s v="A"/>
    <s v="A"/>
    <s v="Downtime Opportunity"/>
    <s v="Hydraulic Dredge"/>
    <s v="Main Generator Engine (Port)"/>
    <s v="Generators*Main Genset (Port)*Main Generator Engine (Port)"/>
    <x v="4"/>
    <x v="0"/>
  </r>
  <r>
    <x v="3"/>
    <s v="0118"/>
    <s v="D/P Engine Stbd 4000 HR PM/Inspection"/>
    <s v="Dredge Pump Engine Stbd (EMD 645)"/>
    <s v="EQUIPMENT"/>
    <s v="A"/>
    <s v="B"/>
    <s v="Downtime Opportunity"/>
    <s v="Hydraulic Dredge"/>
    <s v="Dredge Pump Engine Stbd (EMD 645)"/>
    <s v="Pump, Dredge*Dredge Pump Engine Stbd (EMD 645)"/>
    <x v="3"/>
    <x v="0"/>
  </r>
  <r>
    <x v="3"/>
    <s v="0118"/>
    <s v="D/P Engine Port 4000 HR PM/Inspection"/>
    <s v="Dredge Pump Engine Port (EMD 645)"/>
    <s v="EQUIPMENT"/>
    <s v="A"/>
    <s v="B"/>
    <s v="Downtime Opportunity"/>
    <s v="Hydraulic Dredge"/>
    <s v="Dredge Pump Engine Port (EMD 645)"/>
    <s v="Pump, Dredge*Dredge Pump Engine Port (EMD 645)"/>
    <x v="3"/>
    <x v="0"/>
  </r>
  <r>
    <x v="3"/>
    <s v="0118"/>
    <s v="Main Generator Engine (Stbd) 4000 HR PM/Inspection"/>
    <s v="Main Generator Engine (Stbd)"/>
    <s v="EQUIPMENT"/>
    <s v="A"/>
    <s v="A"/>
    <s v="Downtime Opportunity"/>
    <s v="Hydraulic Dredge"/>
    <s v="Main Generator Engine (Stbd)"/>
    <s v="Generators*Main Genset (Stbd)*Main Generator Engine (Stbd)"/>
    <x v="4"/>
    <x v="0"/>
  </r>
  <r>
    <x v="3"/>
    <s v="0118"/>
    <s v="Main Generator Engine (Port) 4000 HR PM/Inspection"/>
    <s v="Main Generator Engine (Port)"/>
    <s v="EQUIPMENT"/>
    <s v="A"/>
    <s v="A"/>
    <s v="Downtime Opportunity"/>
    <s v="Hydraulic Dredge"/>
    <s v="Main Generator Engine (Port)"/>
    <s v="Generators*Main Genset (Port)*Main Generator Engine (Port)"/>
    <x v="4"/>
    <x v="0"/>
  </r>
  <r>
    <x v="3"/>
    <s v="0118"/>
    <s v="D/P Engine Stbd 8000 HR PM (Job # 2)"/>
    <s v="Dredge Pump Engine Stbd (EMD 645)"/>
    <s v="EQUIPMENT"/>
    <s v="A"/>
    <s v="B"/>
    <s v="Downtime Opportunity"/>
    <s v="Hydraulic Dredge"/>
    <s v="Dredge Pump Engine Stbd (EMD 645)"/>
    <s v="Pump, Dredge*Dredge Pump Engine Stbd (EMD 645)"/>
    <x v="3"/>
    <x v="0"/>
  </r>
  <r>
    <x v="3"/>
    <s v="0118"/>
    <s v="D/P Engine Port 8000 HR PM (Job # 2)"/>
    <s v="Dredge Pump Engine Port (EMD 645)"/>
    <s v="EQUIPMENT"/>
    <s v="A"/>
    <s v="B"/>
    <s v="Downtime Opportunity"/>
    <s v="Hydraulic Dredge"/>
    <s v="Dredge Pump Engine Port (EMD 645)"/>
    <s v="Pump, Dredge*Dredge Pump Engine Port (EMD 645)"/>
    <x v="3"/>
    <x v="0"/>
  </r>
  <r>
    <x v="3"/>
    <s v="0118"/>
    <s v="Main Generator Engine (Stbd) 8000 HR PM (Job # 2)"/>
    <s v="Main Generator Engine (Stbd)"/>
    <s v="EQUIPMENT"/>
    <s v="A"/>
    <s v="A"/>
    <s v="Downtime Opportunity"/>
    <s v="Hydraulic Dredge"/>
    <s v="Main Generator Engine (Stbd)"/>
    <s v="Generators*Main Genset (Stbd)*Main Generator Engine (Stbd)"/>
    <x v="4"/>
    <x v="0"/>
  </r>
  <r>
    <x v="3"/>
    <s v="0118"/>
    <s v="Main Generator Engine (Port) 8000 HR PM (Job # 2)"/>
    <s v="Main Generator Engine (Port)"/>
    <s v="EQUIPMENT"/>
    <s v="A"/>
    <s v="A"/>
    <s v="Downtime Opportunity"/>
    <s v="Hydraulic Dredge"/>
    <s v="Main Generator Engine (Port)"/>
    <s v="Generators*Main Genset (Port)*Main Generator Engine (Port)"/>
    <x v="4"/>
    <x v="0"/>
  </r>
  <r>
    <x v="3"/>
    <s v="0118"/>
    <s v="D/P Engine Stbd Inspection"/>
    <s v="Dredge Pump Engine Stbd (EMD 645)"/>
    <s v="EQUIPMENT"/>
    <s v="A"/>
    <s v="B"/>
    <s v="Downtime Opportunity"/>
    <s v="Hydraulic Dredge"/>
    <s v="Dredge Pump Engine Stbd (EMD 645)"/>
    <s v="Pump, Dredge*Dredge Pump Engine Stbd (EMD 645)"/>
    <x v="3"/>
    <x v="0"/>
  </r>
  <r>
    <x v="3"/>
    <s v="0118"/>
    <s v="D/P Engine Port Inspection"/>
    <s v="Dredge Pump Engine Port (EMD 645)"/>
    <s v="EQUIPMENT"/>
    <s v="A"/>
    <s v="B"/>
    <s v="Downtime Opportunity"/>
    <s v="Hydraulic Dredge"/>
    <s v="Dredge Pump Engine Port (EMD 645)"/>
    <s v="Pump, Dredge*Dredge Pump Engine Port (EMD 645)"/>
    <x v="3"/>
    <x v="0"/>
  </r>
  <r>
    <x v="3"/>
    <s v="0118"/>
    <s v="Main Generator Engine (Stbd) Inspection"/>
    <s v="Main Generator Engine (Stbd)"/>
    <s v="EQUIPMENT"/>
    <s v="A"/>
    <s v="A"/>
    <s v="Downtime Opportunity"/>
    <s v="Hydraulic Dredge"/>
    <s v="Main Generator Engine (Stbd)"/>
    <s v="Generators*Main Genset (Stbd)*Main Generator Engine (Stbd)"/>
    <x v="4"/>
    <x v="0"/>
  </r>
  <r>
    <x v="3"/>
    <s v="0118"/>
    <s v="Main Generator Engine (Port) Inspection"/>
    <s v="Main Generator Engine (Port)"/>
    <s v="EQUIPMENT"/>
    <s v="A"/>
    <s v="A"/>
    <s v="Downtime Opportunity"/>
    <s v="Hydraulic Dredge"/>
    <s v="Main Generator Engine (Port)"/>
    <s v="Generators*Main Genset (Port)*Main Generator Engine (Port)"/>
    <x v="4"/>
    <x v="0"/>
  </r>
  <r>
    <x v="3"/>
    <s v="0118"/>
    <s v="D/P Engine Stbd 30000 HR PM (Overhaul)"/>
    <s v="Dredge Pump Engine Stbd (EMD 645)"/>
    <s v="EQUIPMENT"/>
    <s v="A"/>
    <s v="B"/>
    <s v="Idle/Inactive Period"/>
    <s v="Hydraulic Dredge"/>
    <s v="Dredge Pump Engine Stbd (EMD 645)"/>
    <s v="Pump, Dredge*Dredge Pump Engine Stbd (EMD 645)"/>
    <x v="3"/>
    <x v="0"/>
  </r>
  <r>
    <x v="3"/>
    <s v="0118"/>
    <s v="D/P Engine Port 30000 HR PM (Overhaul)"/>
    <s v="Dredge Pump Engine Port (EMD 645)"/>
    <s v="EQUIPMENT"/>
    <s v="A"/>
    <s v="B"/>
    <s v="Idle/Inactive Period"/>
    <s v="Hydraulic Dredge"/>
    <s v="Dredge Pump Engine Port (EMD 645)"/>
    <s v="Pump, Dredge*Dredge Pump Engine Port (EMD 645)"/>
    <x v="3"/>
    <x v="0"/>
  </r>
  <r>
    <x v="3"/>
    <s v="0118"/>
    <s v="Main Generator Engine (Stbd) 30000 HR PM (Overhaul)"/>
    <s v="Main Generator Engine (Stbd)"/>
    <s v="EQUIPMENT"/>
    <s v="A"/>
    <s v="A"/>
    <s v="Idle/Inactive Period"/>
    <s v="Hydraulic Dredge"/>
    <s v="Main Generator Engine (Stbd)"/>
    <s v="Generators*Main Genset (Stbd)*Main Generator Engine (Stbd)"/>
    <x v="4"/>
    <x v="0"/>
  </r>
  <r>
    <x v="3"/>
    <s v="0118"/>
    <s v="Main Generator Engine (Port) 30000 HR PM (Overhaul)"/>
    <s v="Main Generator Engine (Port)"/>
    <s v="EQUIPMENT"/>
    <s v="A"/>
    <s v="A"/>
    <s v="Idle/Inactive Period"/>
    <s v="Hydraulic Dredge"/>
    <s v="Main Generator Engine (Port)"/>
    <s v="Generators*Main Genset (Port)*Main Generator Engine (Port)"/>
    <x v="4"/>
    <x v="0"/>
  </r>
  <r>
    <x v="3"/>
    <s v="0118"/>
    <s v="Clutch (Stbd) (33VC650) 3000 HR PM"/>
    <s v="Clutch (Stbd) (33VC650)"/>
    <s v="EQUIPMENT"/>
    <s v="B"/>
    <s v="D"/>
    <s v="Downtime Opportunity"/>
    <s v="Hydraulic Dredge"/>
    <s v="Clutch (Stbd) (33VC650)"/>
    <s v="Pump, Dredge*Dredge Pump Engine Stbd (EMD 645)*Clutch (Stbd) (33VC650)"/>
    <x v="3"/>
    <x v="0"/>
  </r>
  <r>
    <x v="3"/>
    <s v="0118"/>
    <s v="Clutch (Stbd) (33VC650) 12000 HR PM"/>
    <s v="Clutch (Stbd) (33VC650)"/>
    <s v="EQUIPMENT"/>
    <s v="B"/>
    <s v="D"/>
    <s v="Downtime Opportunity"/>
    <s v="Hydraulic Dredge"/>
    <s v="Clutch (Stbd) (33VC650)"/>
    <s v="Pump, Dredge*Dredge Pump Engine Stbd (EMD 645)*Clutch (Stbd) (33VC650)"/>
    <x v="3"/>
    <x v="0"/>
  </r>
  <r>
    <x v="3"/>
    <s v="0118"/>
    <s v="Pump Bearing Assembly (L/P) 500 HR PM"/>
    <s v="Pump Bearing Assembly (L/P)"/>
    <s v="EQUIPMENT"/>
    <s v="B"/>
    <s v="D"/>
    <s v="Downtime Opportunity"/>
    <s v="Hydraulic Dredge"/>
    <s v="Pump Bearing Assembly (L/P)"/>
    <s v="Pump, Ladder*Shafting*Pump Bearing Assembly (L/P)"/>
    <x v="11"/>
    <x v="0"/>
  </r>
  <r>
    <x v="3"/>
    <s v="0118"/>
    <s v="Pump Bearing Assembly (L/P) 1000 HR PM"/>
    <s v="Pump Bearing Assembly (L/P)"/>
    <s v="EQUIPMENT"/>
    <s v="B"/>
    <s v="D"/>
    <s v="Downtime Opportunity"/>
    <s v="Hydraulic Dredge"/>
    <s v="Pump Bearing Assembly (L/P)"/>
    <s v="Pump, Ladder*Shafting*Pump Bearing Assembly (L/P)"/>
    <x v="11"/>
    <x v="0"/>
  </r>
  <r>
    <x v="3"/>
    <s v="0118"/>
    <s v="Thrust Bearing (FF Type) (#6) Quarterly PM/Inspection"/>
    <s v="Thrust Bearing (FF Type) (#6)"/>
    <s v="EQUIPMENT"/>
    <s v="A"/>
    <s v="D"/>
    <s v="Downtime Opportunity"/>
    <s v="Hydraulic Dredge"/>
    <s v="Thrust Bearing (FF Type) (#6)"/>
    <s v="Pump, Dredge*Shafting*Thrust Shaft*Thrust Bearing (FF Type) (#6)"/>
    <x v="3"/>
    <x v="0"/>
  </r>
  <r>
    <x v="3"/>
    <s v="0118"/>
    <s v="Ladder Head Section 1000 HR PM"/>
    <s v="Ladder Head Section"/>
    <s v="EQUIPMENT"/>
    <s v="C"/>
    <s v="D"/>
    <s v="Downtime Opportunity"/>
    <s v="Hydraulic Dredge"/>
    <s v="Ladder Head Section"/>
    <s v="Ladder System*Ladder*Ladder Head Section"/>
    <x v="5"/>
    <x v="0"/>
  </r>
  <r>
    <x v="3"/>
    <s v="0118"/>
    <s v="Ladder Head Section 5000 HR PM"/>
    <s v="Ladder Head Section"/>
    <s v="EQUIPMENT"/>
    <s v="C"/>
    <s v="D"/>
    <s v="Downtime Opportunity"/>
    <s v="Hydraulic Dredge"/>
    <s v="Ladder Head Section"/>
    <s v="Ladder System*Ladder*Ladder Head Section"/>
    <x v="5"/>
    <x v="0"/>
  </r>
  <r>
    <x v="3"/>
    <s v="0118"/>
    <s v="Ladder Pump Motor 1000 HR PM"/>
    <s v="Ladder Pump Motor (2000 HP)"/>
    <s v="EQUIPMENT"/>
    <s v="B"/>
    <s v="D"/>
    <s v="To Be Written"/>
    <s v="Hydraulic Dredge"/>
    <s v="Ladder Pump Motor (2000 HP)"/>
    <s v="Pump, Ladder*Ladder Pump Motor (2000 HP)"/>
    <x v="11"/>
    <x v="1"/>
  </r>
  <r>
    <x v="3"/>
    <s v="0118"/>
    <s v="Ladder Pump Motor 2500 HR PM"/>
    <s v="Ladder Pump Motor (2000 HP)"/>
    <s v="EQUIPMENT"/>
    <s v="B"/>
    <s v="D"/>
    <s v="Downtime Opportunity"/>
    <s v="Hydraulic Dredge"/>
    <s v="Ladder Pump Motor (2000 HP)"/>
    <s v="Pump, Ladder*Ladder Pump Motor (2000 HP)"/>
    <x v="11"/>
    <x v="0"/>
  </r>
  <r>
    <x v="3"/>
    <s v="0118"/>
    <s v="Aux. Gen Engine 500 HR PM"/>
    <s v="Auxiliary Generator Engine (Cat 3406)"/>
    <s v="EQUIPMENT"/>
    <s v="B"/>
    <s v="A"/>
    <s v="Running Work List"/>
    <s v="Hydraulic Dredge"/>
    <s v="Auxiliary Generator Engine (Cat 3406)"/>
    <s v="Generators*Auxiliary Genset*Auxiliary Generator Engine (Cat 3406)"/>
    <x v="4"/>
    <x v="0"/>
  </r>
  <r>
    <x v="3"/>
    <s v="0118"/>
    <s v="Aux. Gen Engine 1000 HR PM"/>
    <s v="Auxiliary Generator Engine (Cat 3406)"/>
    <s v="EQUIPMENT"/>
    <s v="B"/>
    <s v="A"/>
    <s v="Running Work List"/>
    <s v="Hydraulic Dredge"/>
    <s v="Auxiliary Generator Engine (Cat 3406)"/>
    <s v="Generators*Auxiliary Genset*Auxiliary Generator Engine (Cat 3406)"/>
    <x v="4"/>
    <x v="0"/>
  </r>
  <r>
    <x v="3"/>
    <s v="0118"/>
    <s v="Aux. Gen Engine 3000 HR PM"/>
    <s v="Auxiliary Generator Engine (Cat 3406)"/>
    <s v="EQUIPMENT"/>
    <s v="B"/>
    <s v="A"/>
    <s v="Running Work List"/>
    <s v="Hydraulic Dredge"/>
    <s v="Auxiliary Generator Engine (Cat 3406)"/>
    <s v="Generators*Auxiliary Genset*Auxiliary Generator Engine (Cat 3406)"/>
    <x v="4"/>
    <x v="0"/>
  </r>
  <r>
    <x v="3"/>
    <s v="0118"/>
    <s v="Aux. Gen Engine 5000 HR PM"/>
    <s v="Auxiliary Generator Engine (Cat 3406)"/>
    <s v="EQUIPMENT"/>
    <s v="B"/>
    <s v="A"/>
    <s v="Running Work List"/>
    <s v="Hydraulic Dredge"/>
    <s v="Auxiliary Generator Engine (Cat 3406)"/>
    <s v="Generators*Auxiliary Genset*Auxiliary Generator Engine (Cat 3406)"/>
    <x v="4"/>
    <x v="0"/>
  </r>
  <r>
    <x v="3"/>
    <s v="0118"/>
    <s v="Aux. Gen Engine 10000 HR PM (Overhaul)"/>
    <s v="Auxiliary Generator Engine (Cat 3406)"/>
    <s v="EQUIPMENT"/>
    <s v="B"/>
    <s v="A"/>
    <s v="Idle/Inactive Period"/>
    <s v="Hydraulic Dredge"/>
    <s v="Auxiliary Generator Engine (Cat 3406)"/>
    <s v="Generators*Auxiliary Genset*Auxiliary Generator Engine (Cat 3406)"/>
    <x v="4"/>
    <x v="0"/>
  </r>
  <r>
    <x v="3"/>
    <s v="0118"/>
    <s v="Svc Gen Engine 750 HR PM/Inspection"/>
    <s v="Service Generator Engine (Cat 3512)"/>
    <s v="EQUIPMENT"/>
    <s v="B"/>
    <s v="A"/>
    <s v="Running Work List"/>
    <s v="Hydraulic Dredge"/>
    <s v="Service Generator Engine (Cat 3512)"/>
    <s v="Generators*Service Genset*Service Generator Engine (Cat 3512)"/>
    <x v="4"/>
    <x v="0"/>
  </r>
  <r>
    <x v="3"/>
    <s v="0118"/>
    <s v="Svc Gen Engine 1500 HR PM/Inspection"/>
    <s v="Service Generator Engine (Cat 3512)"/>
    <s v="EQUIPMENT"/>
    <s v="B"/>
    <s v="A"/>
    <s v="Running Work List"/>
    <s v="Hydraulic Dredge"/>
    <s v="Service Generator Engine (Cat 3512)"/>
    <s v="Generators*Service Genset*Service Generator Engine (Cat 3512)"/>
    <x v="4"/>
    <x v="0"/>
  </r>
  <r>
    <x v="3"/>
    <s v="0118"/>
    <s v="Svc Gen Engine 3000 HR PM"/>
    <s v="Service Generator Engine (Cat 3512)"/>
    <s v="EQUIPMENT"/>
    <s v="B"/>
    <s v="A"/>
    <s v="Running Work List"/>
    <s v="Hydraulic Dredge"/>
    <s v="Service Generator Engine (Cat 3512)"/>
    <s v="Generators*Service Genset*Service Generator Engine (Cat 3512)"/>
    <x v="4"/>
    <x v="0"/>
  </r>
  <r>
    <x v="3"/>
    <s v="0118"/>
    <s v="Svc Gen Engine 11000 HR PM (Top End OH)"/>
    <s v="Service Generator Engine (Cat 3512)"/>
    <s v="EQUIPMENT"/>
    <s v="B"/>
    <s v="A"/>
    <s v="Idle/Inactive Period"/>
    <s v="Hydraulic Dredge"/>
    <s v="Service Generator Engine (Cat 3512)"/>
    <s v="Generators*Service Genset*Service Generator Engine (Cat 3512)"/>
    <x v="4"/>
    <x v="0"/>
  </r>
  <r>
    <x v="3"/>
    <s v="0118"/>
    <s v="Svc Gen Engine 22500 HR PM (Overhaul)"/>
    <s v="Service Generator Engine (Cat 3512)"/>
    <s v="EQUIPMENT"/>
    <s v="B"/>
    <s v="A"/>
    <s v="Idle/Inactive Period"/>
    <s v="Hydraulic Dredge"/>
    <s v="Service Generator Engine (Cat 3512)"/>
    <s v="Generators*Service Genset*Service Generator Engine (Cat 3512)"/>
    <x v="4"/>
    <x v="0"/>
  </r>
  <r>
    <x v="3"/>
    <s v="0118"/>
    <s v="Line Shaft Bearing (#3) 1000 HR PM"/>
    <s v="Line Shaft Bearing (#3)"/>
    <s v="EQUIPMENT"/>
    <s v="A"/>
    <s v="D"/>
    <s v="Downtime Opportunity"/>
    <s v="Hydraulic Dredge"/>
    <s v="Line Shaft Bearing (#3)"/>
    <s v="Pump, Dredge*Shafting*Line Shaft (#2)*Line Shaft Bearing (#3)"/>
    <x v="3"/>
    <x v="0"/>
  </r>
  <r>
    <x v="3"/>
    <s v="0118"/>
    <s v="Line Shaft Bearing (#2) 1000 HR PM"/>
    <s v="Line Shaft Bearing (#2)"/>
    <s v="EQUIPMENT"/>
    <s v="A"/>
    <s v="D"/>
    <s v="Downtime Opportunity"/>
    <s v="Hydraulic Dredge"/>
    <s v="Line Shaft Bearing (#2)"/>
    <s v="Pump, Dredge*Shafting*Line Shaft (#1)*Line Shaft Bearing (#2)"/>
    <x v="3"/>
    <x v="0"/>
  </r>
  <r>
    <x v="3"/>
    <s v="0118"/>
    <s v="Line Shaft Bearing (#1) 1000 HR PM"/>
    <s v="Line Shaft Bearing (#1)"/>
    <s v="EQUIPMENT"/>
    <s v="A"/>
    <s v="D"/>
    <s v="Downtime Opportunity"/>
    <s v="Hydraulic Dredge"/>
    <s v="Line Shaft Bearing (#1)"/>
    <s v="Pump, Dredge*Shafting*Line Shaft (#1)*Line Shaft Bearing (#1)"/>
    <x v="3"/>
    <x v="0"/>
  </r>
  <r>
    <x v="3"/>
    <s v="0118"/>
    <s v="Line Shaft Bearing (#5) 1000 HR PM"/>
    <s v="Line Shaft Bearing (#5)"/>
    <s v="EQUIPMENT"/>
    <s v="A"/>
    <s v="D"/>
    <s v="Downtime Opportunity"/>
    <s v="Hydraulic Dredge"/>
    <s v="Line Shaft Bearing (#5)"/>
    <s v="Pump, Dredge*Shafting*Intermediate Drive Shaft*Line Shaft Bearing (#5)"/>
    <x v="3"/>
    <x v="0"/>
  </r>
  <r>
    <x v="3"/>
    <s v="0118"/>
    <s v="Line Shaft Bearing (#4) 1000 HR PM"/>
    <s v="Line Shaft Bearing (#4)"/>
    <s v="EQUIPMENT"/>
    <s v="A"/>
    <s v="D"/>
    <s v="Downtime Opportunity"/>
    <s v="Hydraulic Dredge"/>
    <s v="Line Shaft Bearing (#4)"/>
    <s v="Pump, Dredge*Shafting*Intermediate Drive Shaft*Line Shaft Bearing (#4)"/>
    <x v="3"/>
    <x v="0"/>
  </r>
  <r>
    <x v="3"/>
    <s v="0118"/>
    <s v="Spring Bearing (L-27) (# 07) 1000 HR PM"/>
    <s v="Spring Bearing (L-27) (# 07)"/>
    <s v="EQUIPMENT"/>
    <s v="A"/>
    <s v="D"/>
    <s v="Downtime Opportunity"/>
    <s v="Hydraulic Dredge"/>
    <s v="Spring Bearing (L-27) (# 07)"/>
    <s v="Pump, Dredge*Shafting*Impeller Shaft*Spring Bearing (L-27) (# 07)"/>
    <x v="3"/>
    <x v="0"/>
  </r>
  <r>
    <x v="3"/>
    <s v="0118"/>
    <s v="Line Shaft Bearing (#3) 4000 HR PM/Inspection"/>
    <s v="Line Shaft Bearing (#3)"/>
    <s v="EQUIPMENT"/>
    <s v="A"/>
    <s v="D"/>
    <s v="Downtime Opportunity"/>
    <s v="Hydraulic Dredge"/>
    <s v="Line Shaft Bearing (#3)"/>
    <s v="Pump, Dredge*Shafting*Line Shaft (#2)*Line Shaft Bearing (#3)"/>
    <x v="3"/>
    <x v="0"/>
  </r>
  <r>
    <x v="3"/>
    <s v="0118"/>
    <s v="Line Shaft Bearing (#2) 4000 HR PM/Inspection"/>
    <s v="Line Shaft Bearing (#2)"/>
    <s v="EQUIPMENT"/>
    <s v="A"/>
    <s v="D"/>
    <s v="Downtime Opportunity"/>
    <s v="Hydraulic Dredge"/>
    <s v="Line Shaft Bearing (#2)"/>
    <s v="Pump, Dredge*Shafting*Line Shaft (#1)*Line Shaft Bearing (#2)"/>
    <x v="3"/>
    <x v="0"/>
  </r>
  <r>
    <x v="3"/>
    <s v="0118"/>
    <s v="Line Shaft Bearing (#1) 4000 HR PM/Inspection"/>
    <s v="Line Shaft Bearing (#1)"/>
    <s v="EQUIPMENT"/>
    <s v="A"/>
    <s v="D"/>
    <s v="Downtime Opportunity"/>
    <s v="Hydraulic Dredge"/>
    <s v="Line Shaft Bearing (#1)"/>
    <s v="Pump, Dredge*Shafting*Line Shaft (#1)*Line Shaft Bearing (#1)"/>
    <x v="3"/>
    <x v="0"/>
  </r>
  <r>
    <x v="3"/>
    <s v="0118"/>
    <s v="Line Shaft Bearing (#5) 4000 HR PM/Inspection"/>
    <s v="Line Shaft Bearing (#5)"/>
    <s v="EQUIPMENT"/>
    <s v="A"/>
    <s v="D"/>
    <s v="Downtime Opportunity"/>
    <s v="Hydraulic Dredge"/>
    <s v="Line Shaft Bearing (#5)"/>
    <s v="Pump, Dredge*Shafting*Intermediate Drive Shaft*Line Shaft Bearing (#5)"/>
    <x v="3"/>
    <x v="0"/>
  </r>
  <r>
    <x v="3"/>
    <s v="0118"/>
    <s v="Line Shaft Bearing (#4) 4000 HR PM/Inspection"/>
    <s v="Line Shaft Bearing (#4)"/>
    <s v="EQUIPMENT"/>
    <s v="A"/>
    <s v="D"/>
    <s v="Downtime Opportunity"/>
    <s v="Hydraulic Dredge"/>
    <s v="Line Shaft Bearing (#4)"/>
    <s v="Pump, Dredge*Shafting*Intermediate Drive Shaft*Line Shaft Bearing (#4)"/>
    <x v="3"/>
    <x v="0"/>
  </r>
  <r>
    <x v="3"/>
    <s v="0118"/>
    <s v="Spring Bearing (L-27) (# 07) 4000 HR PM/Inspection"/>
    <s v="Spring Bearing (L-27) (# 07)"/>
    <s v="EQUIPMENT"/>
    <s v="A"/>
    <s v="D"/>
    <s v="Downtime Opportunity"/>
    <s v="Hydraulic Dredge"/>
    <s v="Spring Bearing (L-27) (# 07)"/>
    <s v="Pump, Dredge*Shafting*Impeller Shaft*Spring Bearing (L-27) (# 07)"/>
    <x v="3"/>
    <x v="0"/>
  </r>
  <r>
    <x v="3"/>
    <s v="0118"/>
    <s v="Line Shaft Bearing (#3) 8000 HR PM/Inspection"/>
    <s v="Line Shaft Bearing (#3)"/>
    <s v="EQUIPMENT"/>
    <s v="A"/>
    <s v="D"/>
    <s v="Downtime Opportunity"/>
    <s v="Hydraulic Dredge"/>
    <s v="Line Shaft Bearing (#3)"/>
    <s v="Pump, Dredge*Shafting*Line Shaft (#2)*Line Shaft Bearing (#3)"/>
    <x v="3"/>
    <x v="0"/>
  </r>
  <r>
    <x v="3"/>
    <s v="0118"/>
    <s v="Line Shaft Bearing (#2) 8000 HR PM/Inspection"/>
    <s v="Line Shaft Bearing (#2)"/>
    <s v="EQUIPMENT"/>
    <s v="A"/>
    <s v="D"/>
    <s v="Downtime Opportunity"/>
    <s v="Hydraulic Dredge"/>
    <s v="Line Shaft Bearing (#2)"/>
    <s v="Pump, Dredge*Shafting*Line Shaft (#1)*Line Shaft Bearing (#2)"/>
    <x v="3"/>
    <x v="0"/>
  </r>
  <r>
    <x v="3"/>
    <s v="0118"/>
    <s v="Line Shaft Bearing (#1) 8000 HR PM/Inspection"/>
    <s v="Line Shaft Bearing (#1)"/>
    <s v="EQUIPMENT"/>
    <s v="A"/>
    <s v="D"/>
    <s v="Downtime Opportunity"/>
    <s v="Hydraulic Dredge"/>
    <s v="Line Shaft Bearing (#1)"/>
    <s v="Pump, Dredge*Shafting*Line Shaft (#1)*Line Shaft Bearing (#1)"/>
    <x v="3"/>
    <x v="0"/>
  </r>
  <r>
    <x v="3"/>
    <s v="0118"/>
    <s v="Line Shaft Bearing (#5) 8000 HR PM/Inspection"/>
    <s v="Line Shaft Bearing (#5)"/>
    <s v="EQUIPMENT"/>
    <s v="A"/>
    <s v="D"/>
    <s v="Downtime Opportunity"/>
    <s v="Hydraulic Dredge"/>
    <s v="Line Shaft Bearing (#5)"/>
    <s v="Pump, Dredge*Shafting*Intermediate Drive Shaft*Line Shaft Bearing (#5)"/>
    <x v="3"/>
    <x v="0"/>
  </r>
  <r>
    <x v="3"/>
    <s v="0118"/>
    <s v="Line Shaft Bearing (#4) 8000 HR PM/Inspection"/>
    <s v="Line Shaft Bearing (#4)"/>
    <s v="EQUIPMENT"/>
    <s v="A"/>
    <s v="D"/>
    <s v="Downtime Opportunity"/>
    <s v="Hydraulic Dredge"/>
    <s v="Line Shaft Bearing (#4)"/>
    <s v="Pump, Dredge*Shafting*Intermediate Drive Shaft*Line Shaft Bearing (#4)"/>
    <x v="3"/>
    <x v="0"/>
  </r>
  <r>
    <x v="3"/>
    <s v="0118"/>
    <s v="Spring Bearing (L-27) (# 07) 8000 HR PM"/>
    <s v="Spring Bearing (L-27) (# 07)"/>
    <s v="EQUIPMENT"/>
    <s v="A"/>
    <s v="D"/>
    <s v="Downtime Opportunity"/>
    <s v="Hydraulic Dredge"/>
    <s v="Spring Bearing (L-27) (# 07)"/>
    <s v="Pump, Dredge*Shafting*Impeller Shaft*Spring Bearing (L-27) (# 07)"/>
    <x v="3"/>
    <x v="0"/>
  </r>
  <r>
    <x v="3"/>
    <s v="0118"/>
    <s v="Cutter Motor (Port) 1000 HR PM"/>
    <s v="Cutter Motor (Port)"/>
    <s v="EQUIPMENT"/>
    <s v="B"/>
    <s v="D"/>
    <s v="Downtime Opportunity"/>
    <s v="Hydraulic Dredge"/>
    <s v="Cutter Motor (Port)"/>
    <s v="Cutter Machinery*Cutter Motor (Port)"/>
    <x v="6"/>
    <x v="0"/>
  </r>
  <r>
    <x v="3"/>
    <s v="0118"/>
    <s v="Cutter Motor (Port) 5000 HR PM (Overhaul)"/>
    <s v="Cutter Motor (Port)"/>
    <s v="EQUIPMENT"/>
    <s v="B"/>
    <s v="D"/>
    <s v="Idle/Inactive Period"/>
    <s v="Hydraulic Dredge"/>
    <s v="Cutter Motor (Port)"/>
    <s v="Cutter Machinery*Cutter Motor (Port)"/>
    <x v="6"/>
    <x v="0"/>
  </r>
  <r>
    <x v="3"/>
    <s v="0118"/>
    <s v="Overhead Hoist (Fwd) Monthly PM/Inspection"/>
    <s v="Overhead Hoist (Fwd)"/>
    <s v="EQUIPMENT"/>
    <s v="B"/>
    <s v="A"/>
    <s v="Running Work List"/>
    <s v="Hydraulic Dredge"/>
    <s v="Overhead Hoist (Fwd)"/>
    <s v="Crane/Hoists*Overhead Hoist (Fwd)"/>
    <x v="7"/>
    <x v="0"/>
  </r>
  <r>
    <x v="3"/>
    <s v="0118"/>
    <s v="Overhead Hoist (Aft) Monthly PM/Inspection"/>
    <s v="Overhead Hoist (Aft)"/>
    <s v="EQUIPMENT"/>
    <s v="B"/>
    <s v="A"/>
    <s v="Running Work List"/>
    <s v="Hydraulic Dredge"/>
    <s v="Overhead Hoist (Aft)"/>
    <s v="Crane/Hoists*Overhead Hoist (Aft)"/>
    <x v="7"/>
    <x v="0"/>
  </r>
  <r>
    <x v="3"/>
    <s v="0118"/>
    <s v="D/P Engine Stbd Oil Filter Change"/>
    <s v="Dredge Pump Engine Stbd (EMD 645)"/>
    <s v="EQUIPMENT"/>
    <s v="A"/>
    <s v="B"/>
    <s v="Downtime Opportunity"/>
    <s v="Hydraulic Dredge"/>
    <s v="Dredge Pump Engine Stbd (EMD 645)"/>
    <s v="Pump, Dredge*Dredge Pump Engine Stbd (EMD 645)"/>
    <x v="3"/>
    <x v="0"/>
  </r>
  <r>
    <x v="3"/>
    <s v="0118"/>
    <s v="D/P Engine Port Oil Filter Change"/>
    <s v="Dredge Pump Engine Port (EMD 645)"/>
    <s v="EQUIPMENT"/>
    <s v="A"/>
    <s v="B"/>
    <s v="Downtime Opportunity"/>
    <s v="Hydraulic Dredge"/>
    <s v="Dredge Pump Engine Port (EMD 645)"/>
    <s v="Pump, Dredge*Dredge Pump Engine Port (EMD 645)"/>
    <x v="3"/>
    <x v="0"/>
  </r>
  <r>
    <x v="3"/>
    <s v="0118"/>
    <s v="Main Generator Engine (Stbd) Oil Filter Change"/>
    <s v="Main Generator Engine (Stbd)"/>
    <s v="EQUIPMENT"/>
    <s v="A"/>
    <s v="A"/>
    <s v="Downtime Opportunity"/>
    <s v="Hydraulic Dredge"/>
    <s v="Main Generator Engine (Stbd)"/>
    <s v="Generators*Main Genset (Stbd)*Main Generator Engine (Stbd)"/>
    <x v="4"/>
    <x v="0"/>
  </r>
  <r>
    <x v="3"/>
    <s v="0118"/>
    <s v="Main Generator Engine (Port) Oil Filter Change"/>
    <s v="Main Generator Engine (Port)"/>
    <s v="EQUIPMENT"/>
    <s v="A"/>
    <s v="A"/>
    <s v="Downtime Opportunity"/>
    <s v="Hydraulic Dredge"/>
    <s v="Main Generator Engine (Port)"/>
    <s v="Generators*Main Genset (Port)*Main Generator Engine (Port)"/>
    <x v="4"/>
    <x v="0"/>
  </r>
  <r>
    <x v="3"/>
    <s v="0118"/>
    <s v="Ladder Pump Service Pump Set Quarterly PM/Inspection"/>
    <s v="Ladder Pump Service Pump Set"/>
    <s v="EQUIPMENT"/>
    <s v="C"/>
    <s v="D"/>
    <s v="Running Work List"/>
    <s v="Hydraulic Dredge"/>
    <s v="Ladder Pump Service Pump Set"/>
    <s v="Gland Seal*Ladder Pump Service Pump Set"/>
    <x v="8"/>
    <x v="0"/>
  </r>
  <r>
    <x v="3"/>
    <s v="0118"/>
    <s v="Gland Seal Pump Set (#2) Semi-Annual PM/Inspection"/>
    <s v="Gland Seal Pump Set (#2)"/>
    <s v="EQUIPMENT"/>
    <s v="C"/>
    <s v="D"/>
    <s v="Running Work List"/>
    <s v="Hydraulic Dredge"/>
    <s v="Gland Seal Pump Set (#2)"/>
    <s v="Gland Seal*Gland Seal Pump Set (#2)"/>
    <x v="8"/>
    <x v="0"/>
  </r>
  <r>
    <x v="3"/>
    <s v="0118"/>
    <s v="Gland Seal Pump Set (#3) Semi-Annual PM/Inspection"/>
    <s v="Gland Seal Pump Set (#3)"/>
    <s v="EQUIPMENT"/>
    <s v="C"/>
    <s v="D"/>
    <s v="Running Work List"/>
    <s v="Hydraulic Dredge"/>
    <s v="Gland Seal Pump Set (#3)"/>
    <s v="Gland Seal*Gland Seal Pump Set (#3)"/>
    <x v="8"/>
    <x v="0"/>
  </r>
  <r>
    <x v="3"/>
    <s v="0118"/>
    <s v="Gland Seal Pump Set (#1) Semi-Annual PM/Inspection"/>
    <s v="Gland Seal Pump Set (#1)"/>
    <s v="EQUIPMENT"/>
    <s v="C"/>
    <s v="D"/>
    <s v="Running Work List"/>
    <s v="Hydraulic Dredge"/>
    <s v="Gland Seal Pump Set (#1)"/>
    <s v="Gland Seal*Gland Seal Pump Set (#1)"/>
    <x v="8"/>
    <x v="0"/>
  </r>
  <r>
    <x v="3"/>
    <s v="0118"/>
    <s v="Cutter Motor (Port) Brush Inspection"/>
    <s v="Cutter Motor (Port)"/>
    <s v="EQUIPMENT"/>
    <s v="B"/>
    <s v="D"/>
    <s v="Downtime Opportunity"/>
    <s v="Hydraulic Dredge"/>
    <s v="Cutter Motor (Port)"/>
    <s v="Cutter Machinery*Cutter Motor (Port)"/>
    <x v="6"/>
    <x v="0"/>
  </r>
  <r>
    <x v="3"/>
    <s v="0118"/>
    <s v="Swing Winch (Stbd) Wire Change"/>
    <s v="Swing Winch (Stbd)"/>
    <s v="EQUIPMENT"/>
    <s v="A"/>
    <s v="D"/>
    <s v="Downtime Opportunity"/>
    <s v="Hydraulic Dredge"/>
    <s v="Swing Winch (Stbd)"/>
    <s v="Swing*Swing Winch (Stbd)"/>
    <x v="19"/>
    <x v="0"/>
  </r>
  <r>
    <x v="3"/>
    <s v="0118"/>
    <s v="Swing Winch (Port) Wire Change"/>
    <s v="Swing Winch (Port)"/>
    <s v="EQUIPMENT"/>
    <s v="A"/>
    <s v="D"/>
    <s v="Downtime Opportunity"/>
    <s v="Hydraulic Dredge"/>
    <s v="Swing Winch (Port)"/>
    <s v="Swing*Swing Winch (Port)"/>
    <x v="19"/>
    <x v="0"/>
  </r>
  <r>
    <x v="3"/>
    <s v="0118"/>
    <s v="Dredge Pump Gearbox 5000 HR Inspection"/>
    <s v="Dredge Pump Gearbox"/>
    <s v="EQUIPMENT"/>
    <s v="A"/>
    <s v="B"/>
    <s v="Downtime Opportunity"/>
    <s v="Hydraulic Dredge"/>
    <s v="Dredge Pump Gearbox"/>
    <s v="Pump, Dredge*Dredge Pump Gearbox"/>
    <x v="3"/>
    <x v="0"/>
  </r>
  <r>
    <x v="3"/>
    <s v="0118"/>
    <s v="Ladder Pump Gearbox 5000 HR PM"/>
    <s v="Ladder Pump Gearbox"/>
    <s v="EQUIPMENT"/>
    <s v="A"/>
    <s v="B"/>
    <s v="Downtime Opportunity"/>
    <s v="Hydraulic Dredge"/>
    <s v="Ladder Pump Gearbox"/>
    <s v="Pump, Ladder*Ladder Pump Gearbox"/>
    <x v="11"/>
    <x v="0"/>
  </r>
  <r>
    <x v="3"/>
    <s v="0118"/>
    <s v="Cutter Gearbox Major Overhaul"/>
    <s v="Cutter Gearbox"/>
    <s v="EQUIPMENT"/>
    <s v="A"/>
    <s v="D"/>
    <s v="Idle/Inactive Period"/>
    <s v="Hydraulic Dredge"/>
    <s v="Cutter Gearbox"/>
    <s v="Cutter Machinery*Cutter Gearbox"/>
    <x v="6"/>
    <x v="0"/>
  </r>
  <r>
    <x v="3"/>
    <s v="0118"/>
    <s v="Drive, SCR (Swing) (Port) Inspection"/>
    <s v="Drive, SCR (Swing) (Port)"/>
    <s v="EQUIPMENT"/>
    <s v="B"/>
    <s v="B"/>
    <s v="Downtime Opportunity"/>
    <s v="Hydraulic Dredge"/>
    <s v="Drive, SCR (Swing) (Port)"/>
    <s v="Swing*Drive, SCR (Swing) (Port)"/>
    <x v="19"/>
    <x v="0"/>
  </r>
  <r>
    <x v="3"/>
    <s v="0118"/>
    <s v="Drive, SCR (Cutter) (Port) Inspection"/>
    <s v="Drive, SCR (Cutter) (Port)"/>
    <s v="EQUIPMENT"/>
    <s v="B"/>
    <s v="D"/>
    <s v="Downtime Opportunity"/>
    <s v="Hydraulic Dredge"/>
    <s v="Drive, SCR (Cutter) (Port)"/>
    <s v="Cutter Machinery*Drive, SCR (Cutter) (Port)"/>
    <x v="6"/>
    <x v="0"/>
  </r>
  <r>
    <x v="3"/>
    <s v="0118"/>
    <s v="Main Control Panel Inspection"/>
    <s v="Main Control Panel"/>
    <s v="EQUIPMENT"/>
    <s v="B"/>
    <s v="D"/>
    <s v="Downtime Opportunity"/>
    <s v="Hydraulic Dredge"/>
    <s v="Main Control Panel"/>
    <s v="Electrical*Main Control Panel"/>
    <x v="9"/>
    <x v="0"/>
  </r>
  <r>
    <x v="3"/>
    <s v="0118"/>
    <s v="MCC (#3) Inspection"/>
    <s v="MCC (#3)"/>
    <s v="EQUIPMENT"/>
    <s v="B"/>
    <s v="D"/>
    <s v="Downtime Opportunity"/>
    <s v="Hydraulic Dredge"/>
    <s v="MCC (#3)"/>
    <s v="Electrical*MCC (#3)"/>
    <x v="9"/>
    <x v="0"/>
  </r>
  <r>
    <x v="3"/>
    <s v="0118"/>
    <s v="MCC (#2) Inspection"/>
    <s v="MCC (#2)"/>
    <s v="EQUIPMENT"/>
    <s v="B"/>
    <s v="D"/>
    <s v="Downtime Opportunity"/>
    <s v="Hydraulic Dredge"/>
    <s v="MCC (#2)"/>
    <s v="Electrical*MCC (#2)"/>
    <x v="9"/>
    <x v="0"/>
  </r>
  <r>
    <x v="3"/>
    <s v="0118"/>
    <s v="MCC (#1) Inspection"/>
    <s v="MCC (#1)"/>
    <s v="EQUIPMENT"/>
    <s v="B"/>
    <s v="D"/>
    <s v="Downtime Opportunity"/>
    <s v="Hydraulic Dredge"/>
    <s v="MCC (#1)"/>
    <s v="Electrical*MCC (#1)"/>
    <x v="9"/>
    <x v="0"/>
  </r>
  <r>
    <x v="3"/>
    <s v="0118"/>
    <s v="Drive, SCR (Ladder Hoist) Inspection"/>
    <s v="Drive, SCR (Ladder Hoist)"/>
    <s v="EQUIPMENT"/>
    <s v="A"/>
    <s v="D"/>
    <s v="Downtime Opportunity"/>
    <s v="Hydraulic Dredge"/>
    <s v="Drive, SCR (Ladder Hoist)"/>
    <s v="Ladder System*Drive, SCR (Ladder Hoist)"/>
    <x v="5"/>
    <x v="0"/>
  </r>
  <r>
    <x v="3"/>
    <s v="0118"/>
    <s v="Drive, Soft Start (L/P Motor) Inspection"/>
    <s v="Drive, Soft Start (L/P Motor)"/>
    <s v="EQUIPMENT"/>
    <s v="B"/>
    <s v="D"/>
    <s v="Downtime Opportunity"/>
    <s v="Hydraulic Dredge"/>
    <s v="Drive, Soft Start (L/P Motor)"/>
    <s v="Pump, Ladder*Drive, Soft Start (L/P Motor)"/>
    <x v="11"/>
    <x v="0"/>
  </r>
  <r>
    <x v="3"/>
    <s v="0118"/>
    <s v="Dredge Pump Rebuild"/>
    <s v="Dredge Pump"/>
    <s v="EQUIPMENT"/>
    <s v="A"/>
    <s v="B"/>
    <s v="Downtime Opportunity"/>
    <s v="Hydraulic Dredge"/>
    <s v="Dredge Pump"/>
    <s v="Pump, Dredge*Dredge Pump"/>
    <x v="3"/>
    <x v="0"/>
  </r>
  <r>
    <x v="3"/>
    <s v="0118"/>
    <s v="D/P Engine Stbd 8000 HR PM (Job # 1)"/>
    <s v="Dredge Pump Engine Stbd (EMD 645)"/>
    <s v="EQUIPMENT"/>
    <s v="A"/>
    <s v="B"/>
    <s v="Downtime Opportunity"/>
    <s v="Hydraulic Dredge"/>
    <s v="Dredge Pump Engine Stbd (EMD 645)"/>
    <s v="Pump, Dredge*Dredge Pump Engine Stbd (EMD 645)"/>
    <x v="3"/>
    <x v="0"/>
  </r>
  <r>
    <x v="3"/>
    <s v="0118"/>
    <s v="D/P Engine Port 8000 HR PM (Job # 1)"/>
    <s v="Dredge Pump Engine Port (EMD 645)"/>
    <s v="EQUIPMENT"/>
    <s v="A"/>
    <s v="B"/>
    <s v="Downtime Opportunity"/>
    <s v="Hydraulic Dredge"/>
    <s v="Dredge Pump Engine Port (EMD 645)"/>
    <s v="Pump, Dredge*Dredge Pump Engine Port (EMD 645)"/>
    <x v="3"/>
    <x v="0"/>
  </r>
  <r>
    <x v="3"/>
    <s v="0118"/>
    <s v="Main Generator Engine (Stbd) 8000 HR PM (Job # 1)"/>
    <s v="Main Generator Engine (Stbd)"/>
    <s v="EQUIPMENT"/>
    <s v="A"/>
    <s v="A"/>
    <s v="Downtime Opportunity"/>
    <s v="Hydraulic Dredge"/>
    <s v="Main Generator Engine (Stbd)"/>
    <s v="Generators*Main Genset (Stbd)*Main Generator Engine (Stbd)"/>
    <x v="4"/>
    <x v="0"/>
  </r>
  <r>
    <x v="3"/>
    <s v="0118"/>
    <s v="Main Generator Engine (Port) 8000 HR PM (Job # 1)"/>
    <s v="Main Generator Engine (Port)"/>
    <s v="EQUIPMENT"/>
    <s v="A"/>
    <s v="A"/>
    <s v="Downtime Opportunity"/>
    <s v="Hydraulic Dredge"/>
    <s v="Main Generator Engine (Port)"/>
    <s v="Generators*Main Genset (Port)*Main Generator Engine (Port)"/>
    <x v="4"/>
    <x v="0"/>
  </r>
  <r>
    <x v="3"/>
    <s v="0118"/>
    <s v="Bilge Pump Set (E/R) Annual PM/Inspection"/>
    <s v="Bilge Pump Set (E/R)"/>
    <s v="EQUIPMENT"/>
    <s v="A"/>
    <s v="A"/>
    <s v="Running Work List"/>
    <s v="Hydraulic Dredge"/>
    <s v="Bilge Pump Set (E/R)"/>
    <s v="Bilge/Ballast*Bilge Pump Set (E/R)"/>
    <x v="21"/>
    <x v="0"/>
  </r>
  <r>
    <x v="3"/>
    <s v="0118"/>
    <s v="Service Crane Quarterly Inspection"/>
    <s v="Service Crane"/>
    <s v="EQUIPMENT"/>
    <s v="B"/>
    <s v="D"/>
    <s v="Running Work List"/>
    <s v="Hydraulic Dredge"/>
    <s v="Service Crane"/>
    <s v="Crane/Hoists*Service Crane"/>
    <x v="7"/>
    <x v="0"/>
  </r>
  <r>
    <x v="3"/>
    <s v="0118"/>
    <s v="Service Crane Annual Inspection"/>
    <s v="Service Crane"/>
    <s v="EQUIPMENT"/>
    <s v="B"/>
    <s v="B"/>
    <s v="Regulatory Requirement"/>
    <s v="Hydraulic Dredge"/>
    <s v="Service Crane"/>
    <s v="Crane/Hoists*Service Crane"/>
    <x v="7"/>
    <x v="0"/>
  </r>
  <r>
    <x v="3"/>
    <s v="0118"/>
    <s v="Overhead Hoist (Fwd) Annual Certification"/>
    <s v="Overhead Hoist (Fwd)"/>
    <s v="EQUIPMENT"/>
    <s v="B"/>
    <s v="D"/>
    <s v="Running Work List"/>
    <s v="Hydraulic Dredge"/>
    <s v="Overhead Hoist (Fwd)"/>
    <s v="Crane/Hoists*Overhead Hoist (Fwd)"/>
    <x v="7"/>
    <x v="0"/>
  </r>
  <r>
    <x v="3"/>
    <s v="0118"/>
    <s v="Overhead Hoist (Aft) Annual Certification"/>
    <s v="Overhead Hoist (Aft)"/>
    <s v="EQUIPMENT"/>
    <s v="B"/>
    <s v="D"/>
    <s v="Draft"/>
    <s v="Hydraulic Dredge"/>
    <s v="Overhead Hoist (Aft)"/>
    <s v="Crane/Hoists*Overhead Hoist (Aft)"/>
    <x v="7"/>
    <x v="0"/>
  </r>
  <r>
    <x v="3"/>
    <s v="0118"/>
    <s v="Xmas Tree Lift Winch Annual Inspection"/>
    <s v="Xmas Tree Lift Winch"/>
    <s v="EQUIPMENT"/>
    <s v="C"/>
    <s v="D"/>
    <s v="Draft"/>
    <s v="Hydraulic Dredge"/>
    <s v="Xmas Tree Lift Winch"/>
    <s v="Crane/Hoists*Xmas Tree Lift Winch"/>
    <x v="7"/>
    <x v="0"/>
  </r>
  <r>
    <x v="3"/>
    <s v="0118"/>
    <s v="Vosta Quick Connect Winch Annual Inspection"/>
    <s v="Vosta Quick Connect Winch"/>
    <s v="EQUIPMENT"/>
    <s v="B"/>
    <s v="D"/>
    <s v="Downtime Opportunity"/>
    <s v="Hydraulic Dredge"/>
    <s v="Vosta Quick Connect Winch"/>
    <s v="Crane/Hoists*Vosta Quick Connect Winch"/>
    <x v="7"/>
    <x v="0"/>
  </r>
  <r>
    <x v="3"/>
    <s v="0118"/>
    <s v="Canister, Cutter Motors Water Tight Test"/>
    <s v="Canister, Cutter Motors"/>
    <s v="EQUIPMENT"/>
    <s v="B"/>
    <s v="D"/>
    <s v="Running Work List"/>
    <s v="Hydraulic Dredge"/>
    <s v="Canister, Cutter Motors"/>
    <s v="Cutter Machinery*Canister, Cutter Motors"/>
    <x v="6"/>
    <x v="0"/>
  </r>
  <r>
    <x v="3"/>
    <s v="0118"/>
    <s v="Canister, Cutter Motors Water Tight Test (Major)"/>
    <s v="Canister, Cutter Motors"/>
    <s v="EQUIPMENT"/>
    <s v="B"/>
    <s v="D"/>
    <s v="Running Work List"/>
    <s v="Hydraulic Dredge"/>
    <s v="Canister, Cutter Motors"/>
    <s v="Cutter Machinery*Canister, Cutter Motors"/>
    <x v="6"/>
    <x v="0"/>
  </r>
  <r>
    <x v="3"/>
    <s v="0118"/>
    <s v="Canister H/E (Stbd) Replacement"/>
    <s v="Canister H/E (Stbd)"/>
    <s v="EQUIPMENT"/>
    <s v="C"/>
    <s v="D"/>
    <s v="Draft"/>
    <s v="Hydraulic Dredge"/>
    <s v="Canister H/E (Stbd)"/>
    <s v="Cutter Machinery*Canister, Cutter Motors*Canister H/E (Stbd)"/>
    <x v="6"/>
    <x v="0"/>
  </r>
  <r>
    <x v="3"/>
    <s v="0118"/>
    <s v="Canister H/E (Port) Replacement"/>
    <s v="Canister H/E (Port)"/>
    <s v="EQUIPMENT"/>
    <s v="C"/>
    <s v="D"/>
    <s v="Draft"/>
    <s v="Hydraulic Dredge"/>
    <s v="Canister H/E (Port)"/>
    <s v="Cutter Machinery*Canister, Cutter Motors*Canister H/E (Port)"/>
    <x v="6"/>
    <x v="0"/>
  </r>
  <r>
    <x v="3"/>
    <s v="0118"/>
    <s v="Canister H/E (Stbd) Refurbishment"/>
    <s v="Canister H/E (Stbd)"/>
    <s v="EQUIPMENT"/>
    <s v="C"/>
    <s v="D"/>
    <s v="Draft"/>
    <s v="Hydraulic Dredge"/>
    <s v="Canister H/E (Stbd)"/>
    <s v="Cutter Machinery*Canister, Cutter Motors*Canister H/E (Stbd)"/>
    <x v="6"/>
    <x v="0"/>
  </r>
  <r>
    <x v="3"/>
    <s v="0118"/>
    <s v="Canister H/E (Port) Refurbishment"/>
    <s v="Canister H/E (Port)"/>
    <s v="EQUIPMENT"/>
    <s v="C"/>
    <s v="D"/>
    <s v="Draft"/>
    <s v="Hydraulic Dredge"/>
    <s v="Canister H/E (Port)"/>
    <s v="Cutter Machinery*Canister, Cutter Motors*Canister H/E (Port)"/>
    <x v="6"/>
    <x v="0"/>
  </r>
  <r>
    <x v="3"/>
    <s v="0118"/>
    <s v="Canister H/E (Stbd) Monthly Inspection"/>
    <s v="Canister H/E (Stbd)"/>
    <s v="EQUIPMENT"/>
    <s v="C"/>
    <s v="D"/>
    <s v="Downtime Opportunity"/>
    <s v="Hydraulic Dredge"/>
    <s v="Canister H/E (Stbd)"/>
    <s v="Cutter Machinery*Canister, Cutter Motors*Canister H/E (Stbd)"/>
    <x v="6"/>
    <x v="0"/>
  </r>
  <r>
    <x v="3"/>
    <s v="0118"/>
    <s v="Canister H/E (Port) Monthly Inspection"/>
    <s v="Canister H/E (Port)"/>
    <s v="EQUIPMENT"/>
    <s v="C"/>
    <s v="D"/>
    <s v="Downtime Opportunity"/>
    <s v="Hydraulic Dredge"/>
    <s v="Canister H/E (Port)"/>
    <s v="Cutter Machinery*Canister, Cutter Motors*Canister H/E (Port)"/>
    <x v="6"/>
    <x v="0"/>
  </r>
  <r>
    <x v="3"/>
    <s v="0118"/>
    <s v="T4.32 5 Arm (Sand/Clay) Vosta Removal"/>
    <s v="T4.32 5 Arm (Sand/Clay) Vosta"/>
    <s v="EQUIPMENT"/>
    <s v="C"/>
    <s v="C"/>
    <s v="To Be Captured"/>
    <s v="Hydraulic Dredge"/>
    <s v="T4.32 5 Arm (Sand/Clay) Vosta"/>
    <s v="Cutterheads*T4.32 5 Arm (Sand/Clay) Vosta"/>
    <x v="20"/>
    <x v="1"/>
  </r>
  <r>
    <x v="3"/>
    <s v="0118"/>
    <s v="T4.30 Cutter (Rock) (Vosta) Removal"/>
    <s v="T4.30 Cutter (Rock) (Vosta)"/>
    <s v="EQUIPMENT"/>
    <s v="C"/>
    <s v="C"/>
    <s v="To Be Captured"/>
    <s v="Hydraulic Dredge"/>
    <s v="T4.30 Cutter (Rock) (Vosta)"/>
    <s v="Cutterheads*T4.30 Cutter (Rock) (Vosta)"/>
    <x v="20"/>
    <x v="1"/>
  </r>
  <r>
    <x v="3"/>
    <s v="0118"/>
    <s v="General Purpose Cutter (5-Blade) Removal"/>
    <s v="General Purpose Cutter (5-Blade)"/>
    <s v="EQUIPMENT"/>
    <s v="C"/>
    <s v="C"/>
    <s v="To Be Captured"/>
    <s v="Hydraulic Dredge"/>
    <s v="General Purpose Cutter (5-Blade)"/>
    <s v="Cutterheads*General Purpose Cutter (5-Blade)"/>
    <x v="20"/>
    <x v="1"/>
  </r>
  <r>
    <x v="3"/>
    <s v="0118"/>
    <s v="52D/58D Cutter (Combo) Removal"/>
    <s v="52D/58D Cutter (Combo)"/>
    <s v="EQUIPMENT"/>
    <s v="C"/>
    <s v="C"/>
    <s v="To Be Captured"/>
    <s v="Hydraulic Dredge"/>
    <s v="52D/58D Cutter (Combo)"/>
    <s v="Cutterheads*52D/58D Cutter (Combo)"/>
    <x v="20"/>
    <x v="1"/>
  </r>
  <r>
    <x v="3"/>
    <s v="0118"/>
    <s v="52D Cutter (Rock Standard) Removal"/>
    <s v="52D Cutter (Rock Standard)"/>
    <s v="EQUIPMENT"/>
    <s v="C"/>
    <s v="C"/>
    <s v="To Be Captured"/>
    <s v="Hydraulic Dredge"/>
    <s v="52D Cutter (Rock Standard)"/>
    <s v="Cutterheads*52D Cutter (Rock Standard)"/>
    <x v="20"/>
    <x v="1"/>
  </r>
  <r>
    <x v="3"/>
    <s v="0118"/>
    <s v="52D Cutter (Pumping/Mch) Removal"/>
    <s v="52D Cutter (Pumping/Mch)"/>
    <s v="EQUIPMENT"/>
    <s v="C"/>
    <s v="C"/>
    <s v="To Be Captured"/>
    <s v="Hydraulic Dredge"/>
    <s v="52D Cutter (Pumping/Mch)"/>
    <s v="Cutterheads*52D Cutter (Pumping/Mch)"/>
    <x v="20"/>
    <x v="1"/>
  </r>
  <r>
    <x v="3"/>
    <s v="0118"/>
    <s v="52D 6 Arm (Multi Service) Removal"/>
    <s v="52D 6 Arm (Multi Service)"/>
    <s v="EQUIPMENT"/>
    <s v="C"/>
    <s v="C"/>
    <s v="To Be Captured"/>
    <s v="Hydraulic Dredge"/>
    <s v="52D 6 Arm (Multi Service)"/>
    <s v="Cutterheads*52D 6 Arm (Multi Service)"/>
    <x v="20"/>
    <x v="1"/>
  </r>
  <r>
    <x v="3"/>
    <s v="0118"/>
    <s v="48DS Cutter (Sand/Clay) Removal"/>
    <s v="48DS Cutter (Sand/Clay)"/>
    <s v="EQUIPMENT"/>
    <s v="C"/>
    <s v="C"/>
    <s v="To Be Captured"/>
    <s v="Hydraulic Dredge"/>
    <s v="48DS Cutter (Sand/Clay)"/>
    <s v="Cutterheads*48DS Cutter (Sand/Clay)"/>
    <x v="20"/>
    <x v="1"/>
  </r>
  <r>
    <x v="3"/>
    <s v="0118"/>
    <s v="T4.32 5 Arm (Sand/Clay) Vosta Installation"/>
    <s v="T4.32 5 Arm (Sand/Clay) Vosta"/>
    <s v="EQUIPMENT"/>
    <s v="C"/>
    <s v="C"/>
    <s v="To Be Captured"/>
    <s v="Hydraulic Dredge"/>
    <s v="T4.32 5 Arm (Sand/Clay) Vosta"/>
    <s v="Cutterheads*T4.32 5 Arm (Sand/Clay) Vosta"/>
    <x v="20"/>
    <x v="1"/>
  </r>
  <r>
    <x v="3"/>
    <s v="0118"/>
    <s v="T4.30 Cutter (Rock) (Vosta) Installation"/>
    <s v="T4.30 Cutter (Rock) (Vosta)"/>
    <s v="EQUIPMENT"/>
    <s v="C"/>
    <s v="C"/>
    <s v="To Be Captured"/>
    <s v="Hydraulic Dredge"/>
    <s v="T4.30 Cutter (Rock) (Vosta)"/>
    <s v="Cutterheads*T4.30 Cutter (Rock) (Vosta)"/>
    <x v="20"/>
    <x v="1"/>
  </r>
  <r>
    <x v="3"/>
    <s v="0118"/>
    <s v="General Purpose Cutter (5-Blade) Installation"/>
    <s v="General Purpose Cutter (5-Blade)"/>
    <s v="EQUIPMENT"/>
    <s v="C"/>
    <s v="C"/>
    <s v="To Be Captured"/>
    <s v="Hydraulic Dredge"/>
    <s v="General Purpose Cutter (5-Blade)"/>
    <s v="Cutterheads*General Purpose Cutter (5-Blade)"/>
    <x v="20"/>
    <x v="1"/>
  </r>
  <r>
    <x v="3"/>
    <s v="0118"/>
    <s v="52D/58D Cutter (Combo) Installation"/>
    <s v="52D/58D Cutter (Combo)"/>
    <s v="EQUIPMENT"/>
    <s v="C"/>
    <s v="C"/>
    <s v="To Be Captured"/>
    <s v="Hydraulic Dredge"/>
    <s v="52D/58D Cutter (Combo)"/>
    <s v="Cutterheads*52D/58D Cutter (Combo)"/>
    <x v="20"/>
    <x v="1"/>
  </r>
  <r>
    <x v="3"/>
    <s v="0118"/>
    <s v="52D Cutter (Rock Standard) Installation"/>
    <s v="52D Cutter (Rock Standard)"/>
    <s v="EQUIPMENT"/>
    <s v="C"/>
    <s v="C"/>
    <s v="To Be Captured"/>
    <s v="Hydraulic Dredge"/>
    <s v="52D Cutter (Rock Standard)"/>
    <s v="Cutterheads*52D Cutter (Rock Standard)"/>
    <x v="20"/>
    <x v="1"/>
  </r>
  <r>
    <x v="3"/>
    <s v="0118"/>
    <s v="48DS Cutter (Sand/Clay) Installation"/>
    <s v="48DS Cutter (Sand/Clay)"/>
    <s v="EQUIPMENT"/>
    <s v="C"/>
    <s v="C"/>
    <s v="To Be Captured"/>
    <s v="Hydraulic Dredge"/>
    <s v="48DS Cutter (Sand/Clay)"/>
    <s v="Cutterheads*48DS Cutter (Sand/Clay)"/>
    <x v="20"/>
    <x v="1"/>
  </r>
  <r>
    <x v="3"/>
    <s v="0118"/>
    <s v="T4.32 5 Arm (Sand/Clay) Vosta Tooth Replacement"/>
    <s v="T4.32 5 Arm (Sand/Clay) Vosta"/>
    <s v="EQUIPMENT"/>
    <s v="C"/>
    <s v="C"/>
    <s v="To Be Captured"/>
    <s v="Hydraulic Dredge"/>
    <s v="T4.32 5 Arm (Sand/Clay) Vosta"/>
    <s v="Cutterheads*T4.32 5 Arm (Sand/Clay) Vosta"/>
    <x v="20"/>
    <x v="1"/>
  </r>
  <r>
    <x v="3"/>
    <s v="0118"/>
    <s v="T4.30 Cutter (Rock) (Vosta) Tooth Replacement"/>
    <s v="T4.30 Cutter (Rock) (Vosta)"/>
    <s v="EQUIPMENT"/>
    <s v="C"/>
    <s v="C"/>
    <s v="To Be Captured"/>
    <s v="Hydraulic Dredge"/>
    <s v="T4.30 Cutter (Rock) (Vosta)"/>
    <s v="Cutterheads*T4.30 Cutter (Rock) (Vosta)"/>
    <x v="20"/>
    <x v="1"/>
  </r>
  <r>
    <x v="3"/>
    <s v="0118"/>
    <s v="General Purpose Cutter (5-Blade) Tooth Replacement"/>
    <s v="General Purpose Cutter (5-Blade)"/>
    <s v="EQUIPMENT"/>
    <s v="C"/>
    <s v="C"/>
    <s v="To Be Captured"/>
    <s v="Hydraulic Dredge"/>
    <s v="General Purpose Cutter (5-Blade)"/>
    <s v="Cutterheads*General Purpose Cutter (5-Blade)"/>
    <x v="20"/>
    <x v="1"/>
  </r>
  <r>
    <x v="3"/>
    <s v="0118"/>
    <s v="52D/58D Cutter (Combo) Tooth Replacement"/>
    <s v="52D/58D Cutter (Combo)"/>
    <s v="EQUIPMENT"/>
    <s v="C"/>
    <s v="C"/>
    <s v="To Be Captured"/>
    <s v="Hydraulic Dredge"/>
    <s v="52D/58D Cutter (Combo)"/>
    <s v="Cutterheads*52D/58D Cutter (Combo)"/>
    <x v="20"/>
    <x v="1"/>
  </r>
  <r>
    <x v="3"/>
    <s v="0118"/>
    <s v="52D Cutter (Rock Standard) Tooth Replacement"/>
    <s v="52D Cutter (Rock Standard)"/>
    <s v="EQUIPMENT"/>
    <s v="C"/>
    <s v="C"/>
    <s v="To Be Captured"/>
    <s v="Hydraulic Dredge"/>
    <s v="52D Cutter (Rock Standard)"/>
    <s v="Cutterheads*52D Cutter (Rock Standard)"/>
    <x v="20"/>
    <x v="1"/>
  </r>
  <r>
    <x v="3"/>
    <s v="0118"/>
    <s v="52D Cutter (Pumping/Mch) Tooth Replacement"/>
    <s v="52D Cutter (Pumping/Mch)"/>
    <s v="EQUIPMENT"/>
    <s v="C"/>
    <s v="C"/>
    <s v="To Be Captured"/>
    <s v="Hydraulic Dredge"/>
    <s v="52D Cutter (Pumping/Mch)"/>
    <s v="Cutterheads*52D Cutter (Pumping/Mch)"/>
    <x v="20"/>
    <x v="1"/>
  </r>
  <r>
    <x v="3"/>
    <s v="0118"/>
    <s v="52D 6 Arm (Multi Service) Tooth Replacement"/>
    <s v="52D 6 Arm (Multi Service)"/>
    <s v="EQUIPMENT"/>
    <s v="C"/>
    <s v="C"/>
    <s v="To Be Captured"/>
    <s v="Hydraulic Dredge"/>
    <s v="52D 6 Arm (Multi Service)"/>
    <s v="Cutterheads*52D 6 Arm (Multi Service)"/>
    <x v="20"/>
    <x v="1"/>
  </r>
  <r>
    <x v="3"/>
    <s v="0118"/>
    <s v="48DS Cutter (Sand/Clay) Tooth Replacement"/>
    <s v="48DS Cutter (Sand/Clay)"/>
    <s v="EQUIPMENT"/>
    <s v="C"/>
    <s v="C"/>
    <s v="To Be Captured"/>
    <s v="Hydraulic Dredge"/>
    <s v="48DS Cutter (Sand/Clay)"/>
    <s v="Cutterheads*48DS Cutter (Sand/Clay)"/>
    <x v="20"/>
    <x v="1"/>
  </r>
  <r>
    <x v="3"/>
    <s v="0118"/>
    <s v="52D Cutter (Pumping/Mch) Installation"/>
    <s v="52D Cutter (Pumping/Mch)"/>
    <s v="EQUIPMENT"/>
    <s v="C"/>
    <s v="C"/>
    <s v="To Be Captured"/>
    <s v="Hydraulic Dredge"/>
    <s v="52D Cutter (Pumping/Mch)"/>
    <s v="Cutterheads*52D Cutter (Pumping/Mch)"/>
    <x v="20"/>
    <x v="1"/>
  </r>
  <r>
    <x v="3"/>
    <s v="0118"/>
    <s v="52D 6 Arm (Multi Service) Installation"/>
    <s v="52D 6 Arm (Multi Service)"/>
    <s v="EQUIPMENT"/>
    <s v="C"/>
    <s v="C"/>
    <s v="To Be Captured"/>
    <s v="Hydraulic Dredge"/>
    <s v="52D 6 Arm (Multi Service)"/>
    <s v="Cutterheads*52D 6 Arm (Multi Service)"/>
    <x v="20"/>
    <x v="1"/>
  </r>
  <r>
    <x v="3"/>
    <s v="0118"/>
    <s v="Fuel Oil Transfer Pump Set (#2) Annual PM/Inspection"/>
    <s v="Fuel Oil Transfer Pump Set (#2)"/>
    <s v="EQUIPMENT"/>
    <s v="D"/>
    <s v="D"/>
    <s v="Running Work List"/>
    <s v="Hydraulic Dredge"/>
    <s v="Fuel Oil Transfer Pump Set (#2)"/>
    <s v="Fuel Oil Transfer*Fuel Oil Transfer Pump Set (#2)"/>
    <x v="12"/>
    <x v="0"/>
  </r>
  <r>
    <x v="3"/>
    <s v="0118"/>
    <s v="Fuel Oil Transfer Pump Set (#1) Annual PM/Inspection"/>
    <s v="Fuel Oil Transfer Pump Set (#1)"/>
    <s v="EQUIPMENT"/>
    <s v="D"/>
    <s v="D"/>
    <s v="Draft"/>
    <s v="Hydraulic Dredge"/>
    <s v="Fuel Oil Transfer Pump Set (#1)"/>
    <s v="Fuel Oil Transfer*Fuel Oil Transfer Pump Set (#1)"/>
    <x v="12"/>
    <x v="0"/>
  </r>
  <r>
    <x v="3"/>
    <s v="0118"/>
    <s v="Service Generator Basic Overhaul"/>
    <s v="Service Generator"/>
    <s v="EQUIPMENT"/>
    <s v="C"/>
    <s v="A"/>
    <s v="To Be Written"/>
    <s v="Hydraulic Dredge"/>
    <s v="Service Generator"/>
    <s v="Generators*Service Genset*Service Generator"/>
    <x v="4"/>
    <x v="1"/>
  </r>
  <r>
    <x v="3"/>
    <s v="0118"/>
    <s v="Auxiliary Generator Basic Overhaul"/>
    <s v="Auxiliary Generator"/>
    <s v="EQUIPMENT"/>
    <s v="C"/>
    <s v="A"/>
    <s v="To Be Written"/>
    <s v="Hydraulic Dredge"/>
    <s v="Auxiliary Generator"/>
    <s v="Generators*Auxiliary Genset*Auxiliary Generator"/>
    <x v="4"/>
    <x v="1"/>
  </r>
  <r>
    <x v="3"/>
    <s v="0118"/>
    <s v="Ladder Pump Service Pump Set Annual Inspection"/>
    <s v="Ladder Pump Service Pump Set"/>
    <s v="EQUIPMENT"/>
    <s v="C"/>
    <s v="D"/>
    <s v="Downtime Opportunity"/>
    <s v="Hydraulic Dredge"/>
    <s v="Ladder Pump Service Pump Set"/>
    <s v="Gland Seal*Ladder Pump Service Pump Set"/>
    <x v="8"/>
    <x v="0"/>
  </r>
  <r>
    <x v="3"/>
    <s v="0118"/>
    <s v="Gland Seal Pump Set (#3) Annual Inspection"/>
    <s v="Gland Seal Pump Set (#3)"/>
    <s v="EQUIPMENT"/>
    <s v="C"/>
    <s v="D"/>
    <s v="Running Work List"/>
    <s v="Hydraulic Dredge"/>
    <s v="Gland Seal Pump Set (#3)"/>
    <s v="Gland Seal*Gland Seal Pump Set (#3)"/>
    <x v="8"/>
    <x v="0"/>
  </r>
  <r>
    <x v="3"/>
    <s v="0118"/>
    <s v="Gland Seal Pump Set (#2) Annual Inspection"/>
    <s v="Gland Seal Pump Set (#2)"/>
    <s v="EQUIPMENT"/>
    <s v="C"/>
    <s v="D"/>
    <s v="Running Work List"/>
    <s v="Hydraulic Dredge"/>
    <s v="Gland Seal Pump Set (#2)"/>
    <s v="Gland Seal*Gland Seal Pump Set (#2)"/>
    <x v="8"/>
    <x v="0"/>
  </r>
  <r>
    <x v="3"/>
    <s v="0118"/>
    <s v="Gland Seal Pump Set (#1) Annual Inspection"/>
    <s v="Gland Seal Pump Set (#1)"/>
    <s v="EQUIPMENT"/>
    <s v="C"/>
    <s v="D"/>
    <s v="Running Work List"/>
    <s v="Hydraulic Dredge"/>
    <s v="Gland Seal Pump Set (#1)"/>
    <s v="Gland Seal*Gland Seal Pump Set (#1)"/>
    <x v="8"/>
    <x v="0"/>
  </r>
  <r>
    <x v="3"/>
    <s v="0118"/>
    <s v="Controls (Electrical) Annual Inspection"/>
    <s v="Controls (Electrical)"/>
    <s v="EQUIPMENT"/>
    <s v="C"/>
    <s v="D"/>
    <s v="To Be Written"/>
    <s v="Hydraulic Dredge"/>
    <s v="Controls (Electrical)"/>
    <s v="Electrical*Controls (Electrical)"/>
    <x v="9"/>
    <x v="1"/>
  </r>
  <r>
    <x v="3"/>
    <s v="0118"/>
    <s v="Main Electrical Panel Inspection"/>
    <s v="Main Electrical Panel"/>
    <s v="EQUIPMENT"/>
    <s v="B"/>
    <s v="D"/>
    <s v="Downtime Opportunity"/>
    <s v="Hydraulic Dredge"/>
    <s v="Main Electrical Panel"/>
    <s v="Electrical*Main Switchboard #3 (480V)*Main Electrical Panel"/>
    <x v="9"/>
    <x v="0"/>
  </r>
  <r>
    <x v="3"/>
    <s v="0118"/>
    <s v="Main Switchboard #3 (480V) Inspection"/>
    <s v="Main Switchboard #3 (480V)"/>
    <s v="EQUIPMENT"/>
    <s v="B"/>
    <s v="D"/>
    <s v="Downtime Opportunity"/>
    <s v="Hydraulic Dredge"/>
    <s v="Main Switchboard #3 (480V)"/>
    <s v="Electrical*Main Switchboard #3 (480V)"/>
    <x v="9"/>
    <x v="0"/>
  </r>
  <r>
    <x v="3"/>
    <s v="0118"/>
    <s v="A/C (#4) - Galley (Main) Quarterly PM/Inspection"/>
    <s v="A/C (#4) - Galley (Main)"/>
    <s v="EQUIPMENT"/>
    <s v="C"/>
    <s v="D"/>
    <s v="Running Work List"/>
    <s v="Hydraulic Dredge"/>
    <s v="A/C (#4) - Galley (Main)"/>
    <s v="HVAC*A/C (#4) - Galley (Main)"/>
    <x v="13"/>
    <x v="0"/>
  </r>
  <r>
    <x v="3"/>
    <s v="0118"/>
    <s v="A/C (#4) - Galley (Main) Annual Service"/>
    <s v="A/C (#4) - Galley (Main)"/>
    <s v="EQUIPMENT"/>
    <s v="C"/>
    <s v="D"/>
    <s v="Running Work List"/>
    <s v="Hydraulic Dredge"/>
    <s v="A/C (#4) - Galley (Main)"/>
    <s v="HVAC*A/C (#4) - Galley (Main)"/>
    <x v="13"/>
    <x v="0"/>
  </r>
  <r>
    <x v="3"/>
    <s v="0118"/>
    <s v="Cathodic Protection Replacement"/>
    <s v="Cathodic Protection"/>
    <s v="EQUIPMENT"/>
    <s v="C"/>
    <s v="D"/>
    <s v="To Be Written"/>
    <s v="Hydraulic Dredge"/>
    <s v="Cathodic Protection"/>
    <s v="Hull/Structure*Cathodic Protection"/>
    <x v="23"/>
    <x v="1"/>
  </r>
  <r>
    <x v="3"/>
    <s v="0118"/>
    <s v="Block, Travel OVERHAUL"/>
    <s v="Block, Travel"/>
    <s v="EQUIPMENT"/>
    <s v="A"/>
    <s v="D"/>
    <s v="Draft"/>
    <s v="Hydraulic Dredge"/>
    <s v="Block, Travel"/>
    <s v="Ladder System*Block, Travel"/>
    <x v="5"/>
    <x v="0"/>
  </r>
  <r>
    <x v="3"/>
    <s v="0118"/>
    <s v="Block, Crown OVERHAUL"/>
    <s v="Block, Crown"/>
    <s v="EQUIPMENT"/>
    <s v="A"/>
    <s v="D"/>
    <s v="Draft"/>
    <s v="Hydraulic Dredge"/>
    <s v="Block, Crown"/>
    <s v="Ladder System*Block, Crown"/>
    <x v="5"/>
    <x v="0"/>
  </r>
  <r>
    <x v="3"/>
    <s v="0118"/>
    <s v="Block, Travel Sheave Repair"/>
    <s v="Block, Travel"/>
    <s v="EQUIPMENT"/>
    <s v="A"/>
    <s v="D"/>
    <s v="To Be Written"/>
    <s v="Hydraulic Dredge"/>
    <s v="Block, Travel"/>
    <s v="Ladder System*Block, Travel"/>
    <x v="5"/>
    <x v="1"/>
  </r>
  <r>
    <x v="3"/>
    <s v="0118"/>
    <s v="Block, Crown Sheave Repair"/>
    <s v="Block, Crown"/>
    <s v="EQUIPMENT"/>
    <s v="A"/>
    <s v="D"/>
    <s v="To Be Written"/>
    <s v="Hydraulic Dredge"/>
    <s v="Block, Crown"/>
    <s v="Ladder System*Block, Crown"/>
    <x v="5"/>
    <x v="1"/>
  </r>
  <r>
    <x v="3"/>
    <s v="0118"/>
    <s v="Ladder Hoist Winch Wire Change"/>
    <s v="Ladder Hoist Winch"/>
    <s v="EQUIPMENT"/>
    <s v="A"/>
    <s v="B"/>
    <s v="To Be Written"/>
    <s v="Hydraulic Dredge"/>
    <s v="Ladder Hoist Winch"/>
    <s v="Ladder System*Ladder Hoist Winch"/>
    <x v="5"/>
    <x v="1"/>
  </r>
  <r>
    <x v="3"/>
    <s v="0118"/>
    <s v="Ladder Hoist Motor Semi-Annual PM/Inspection"/>
    <s v="Ladder Hoist Motor"/>
    <s v="EQUIPMENT"/>
    <s v="A"/>
    <s v="B"/>
    <s v="Downtime Opportunity"/>
    <s v="Hydraulic Dredge"/>
    <s v="Ladder Hoist Motor"/>
    <s v="Ladder System*Ladder Hoist Winch*Ladder Hoist Motor"/>
    <x v="5"/>
    <x v="0"/>
  </r>
  <r>
    <x v="3"/>
    <s v="0118"/>
    <s v="Ladder Hoist Gearbox Annual PM/Inspection"/>
    <s v="Ladder Hoist Gearbox"/>
    <s v="EQUIPMENT"/>
    <s v="A"/>
    <s v="B"/>
    <s v="Downtime Opportunity"/>
    <s v="Hydraulic Dredge"/>
    <s v="Ladder Hoist Gearbox"/>
    <s v="Ladder System*Ladder Hoist Winch*Ladder Hoist Gearbox"/>
    <x v="5"/>
    <x v="0"/>
  </r>
  <r>
    <x v="3"/>
    <s v="0118"/>
    <s v="Ladder Hoist Motor Basic Overhaul"/>
    <s v="Ladder Hoist Motor"/>
    <s v="EQUIPMENT"/>
    <s v="A"/>
    <s v="B"/>
    <s v="To Be Captured"/>
    <s v="Hydraulic Dredge"/>
    <s v="Ladder Hoist Motor"/>
    <s v="Ladder System*Ladder Hoist Winch*Ladder Hoist Motor"/>
    <x v="5"/>
    <x v="1"/>
  </r>
  <r>
    <x v="3"/>
    <s v="0118"/>
    <s v="Waste Oil Pump Set Annual PM/Inspection"/>
    <s v="Waste Oil Pump Set"/>
    <s v="EQUIPMENT"/>
    <s v="D"/>
    <s v="D"/>
    <s v="Draft"/>
    <s v="Hydraulic Dredge"/>
    <s v="Waste Oil Pump Set"/>
    <s v="Lube Oil Transfer*Waste Oil Pump Set"/>
    <x v="15"/>
    <x v="0"/>
  </r>
  <r>
    <x v="3"/>
    <s v="0118"/>
    <s v="Lube Oil Transfer Pump Set Annual PM/Inspection"/>
    <s v="Lube Oil Transfer Pump Set"/>
    <s v="EQUIPMENT"/>
    <s v="D"/>
    <s v="D"/>
    <s v="Draft"/>
    <s v="Hydraulic Dredge"/>
    <s v="Lube Oil Transfer Pump Set"/>
    <s v="Lube Oil Transfer*Lube Oil Transfer Pump Set"/>
    <x v="15"/>
    <x v="0"/>
  </r>
  <r>
    <x v="3"/>
    <s v="0118"/>
    <s v="EPIRB Annual Service"/>
    <s v="EPIRB"/>
    <s v="EQUIPMENT"/>
    <s v="C"/>
    <s v="A"/>
    <s v="Draft"/>
    <s v="Hydraulic Dredge"/>
    <s v="EPIRB"/>
    <s v="Navigation/Communication*EPIRB"/>
    <x v="27"/>
    <x v="0"/>
  </r>
  <r>
    <x v="3"/>
    <s v="0118"/>
    <s v="Desalinator (Fwd) Replace Tube Bundles"/>
    <s v="Desalinator (Fwd)"/>
    <s v="EQUIPMENT"/>
    <s v="D"/>
    <s v="D"/>
    <s v="Running Work List"/>
    <s v="Hydraulic Dredge"/>
    <s v="Desalinator (Fwd)"/>
    <s v="Potable Water*Desalinator (Fwd)"/>
    <x v="2"/>
    <x v="0"/>
  </r>
  <r>
    <x v="3"/>
    <s v="0118"/>
    <s v="Desalinator (Aft) Replace Tube Bundles"/>
    <s v="Desalinator (Aft)"/>
    <s v="EQUIPMENT"/>
    <s v="D"/>
    <s v="D"/>
    <s v="Running Work List"/>
    <s v="Hydraulic Dredge"/>
    <s v="Desalinator (Aft)"/>
    <s v="Potable Water*Desalinator (Aft)"/>
    <x v="2"/>
    <x v="0"/>
  </r>
  <r>
    <x v="3"/>
    <s v="0118"/>
    <s v="D08) Max-Top Pipe Roll &amp; Inspect"/>
    <s v="D08) Max-Top Pipe"/>
    <s v="EQUIPMENT"/>
    <s v="D"/>
    <s v="D"/>
    <s v="Downtime Opportunity"/>
    <s v="Hydraulic Dredge"/>
    <s v="D08) Max-Top Pipe"/>
    <s v="Piping (Dredge)*D) Piping (Main Pump to Stern)*D08) Max-Top Pipe"/>
    <x v="25"/>
    <x v="0"/>
  </r>
  <r>
    <x v="3"/>
    <s v="0118"/>
    <s v="Density Meter Calibration"/>
    <s v="Density Meter"/>
    <s v="EQUIPMENT"/>
    <s v="C"/>
    <s v="D"/>
    <s v="To Be Captured"/>
    <s v="Hydraulic Dredge"/>
    <s v="Density Meter"/>
    <s v="Production Instrumentation/Monitoring*Density Meter"/>
    <x v="26"/>
    <x v="1"/>
  </r>
  <r>
    <x v="3"/>
    <s v="0118"/>
    <s v="Multi-Pak 2 Cylinder Air Cart Monthly Inspection"/>
    <s v="Multi-Pak 2 Cylinder Air Cart"/>
    <s v="EQUIPMENT"/>
    <s v="B"/>
    <s v="A"/>
    <s v="Regulatory Requirement"/>
    <s v="Hydraulic Dredge"/>
    <s v="Multi-Pak 2 Cylinder Air Cart"/>
    <s v="Safety Lifesaving*Multi-Pak 2 Cylinder Air Cart"/>
    <x v="1"/>
    <x v="0"/>
  </r>
  <r>
    <x v="3"/>
    <s v="0118"/>
    <s v="Multi-Pak 2 Cylinder Air Cart Annual Inspection"/>
    <s v="Multi-Pak 2 Cylinder Air Cart"/>
    <s v="EQUIPMENT"/>
    <s v="B"/>
    <s v="A"/>
    <s v="Regulatory Requirement"/>
    <s v="Hydraulic Dredge"/>
    <s v="Multi-Pak 2 Cylinder Air Cart"/>
    <s v="Safety Lifesaving*Multi-Pak 2 Cylinder Air Cart"/>
    <x v="1"/>
    <x v="0"/>
  </r>
  <r>
    <x v="3"/>
    <s v="0118"/>
    <s v="Multi-Pak 2 Cylinder Air Cart 4-Year Inspection"/>
    <s v="Multi-Pak 2 Cylinder Air Cart"/>
    <s v="EQUIPMENT"/>
    <s v="B"/>
    <s v="A"/>
    <s v="Regulatory Requirement"/>
    <s v="Hydraulic Dredge"/>
    <s v="Multi-Pak 2 Cylinder Air Cart"/>
    <s v="Safety Lifesaving*Multi-Pak 2 Cylinder Air Cart"/>
    <x v="1"/>
    <x v="0"/>
  </r>
  <r>
    <x v="3"/>
    <s v="0118"/>
    <s v="Cutter Motor (Port) Installation"/>
    <s v="Cutter Motor (Port)"/>
    <s v="EQUIPMENT"/>
    <s v="B"/>
    <s v="D"/>
    <s v="Downtime Opportunity"/>
    <s v="Hydraulic Dredge"/>
    <s v="Cutter Motor (Port)"/>
    <s v="Cutter Machinery*Cutter Motor (Port)"/>
    <x v="6"/>
    <x v="0"/>
  </r>
  <r>
    <x v="3"/>
    <s v="0118"/>
    <s v="Ladder Hoist Winch Brake Inspection/Adjust"/>
    <s v="Ladder Hoist Winch"/>
    <s v="EQUIPMENT"/>
    <s v="A"/>
    <s v="A"/>
    <s v="Downtime Opportunity"/>
    <s v="Hydraulic Dredge"/>
    <s v="Ladder Hoist Winch"/>
    <s v="Ladder System*Ladder Hoist Winch"/>
    <x v="5"/>
    <x v="0"/>
  </r>
  <r>
    <x v="3"/>
    <s v="0118"/>
    <s v="Tailshaft Removal"/>
    <s v="Tailshaft"/>
    <s v="EQUIPMENT"/>
    <s v="A"/>
    <s v="D"/>
    <s v="To Be Captured"/>
    <s v="Hydraulic Dredge"/>
    <s v="Tailshaft"/>
    <s v="Cutter Machinery*Tailshaft"/>
    <x v="6"/>
    <x v="1"/>
  </r>
  <r>
    <x v="3"/>
    <s v="0118"/>
    <s v="Tailshaft Installation"/>
    <s v="Tailshaft"/>
    <s v="EQUIPMENT"/>
    <s v="A"/>
    <s v="D"/>
    <s v="To Be Captured"/>
    <s v="Hydraulic Dredge"/>
    <s v="Tailshaft"/>
    <s v="Cutter Machinery*Tailshaft"/>
    <x v="6"/>
    <x v="1"/>
  </r>
  <r>
    <x v="3"/>
    <s v="0118"/>
    <s v="Thrust Bearing/Shaft (Cutter) Rebuild"/>
    <s v="Thrust Bearing (Cutter)"/>
    <s v="EQUIPMENT"/>
    <s v="A"/>
    <s v="D"/>
    <s v="Downtime Opportunity"/>
    <s v="Hydraulic Dredge"/>
    <s v="Thrust Bearing (Cutter)"/>
    <s v="Cutter Machinery*Thrust Bearing (Cutter)"/>
    <x v="6"/>
    <x v="0"/>
  </r>
  <r>
    <x v="3"/>
    <s v="0118"/>
    <s v="Tailshaft Overhaul (With Mods)"/>
    <s v="Tailshaft"/>
    <s v="EQUIPMENT"/>
    <s v="A"/>
    <s v="D"/>
    <s v="Spares Rebuild"/>
    <s v="Hydraulic Dredge"/>
    <s v="Tailshaft"/>
    <s v="Cutter Machinery*Tailshaft"/>
    <x v="6"/>
    <x v="0"/>
  </r>
  <r>
    <x v="3"/>
    <s v="0118"/>
    <s v="Breaker, Walking Spud Annual Inspection"/>
    <s v="Breaker, Walking Spud"/>
    <s v="EQUIPMENT"/>
    <s v="B"/>
    <s v="D"/>
    <s v="Downtime Opportunity"/>
    <s v="Hydraulic Dredge"/>
    <s v="Breaker, Walking Spud"/>
    <s v="Electrical*Main Switchboard #1 (4160V)*Breaker, Walking Spud"/>
    <x v="9"/>
    <x v="0"/>
  </r>
  <r>
    <x v="3"/>
    <s v="0118"/>
    <s v="Breaker, Swing Motor (Stbd) Annual Inspection"/>
    <s v="Breaker, Swing Motor (Stbd)"/>
    <s v="EQUIPMENT"/>
    <s v="B"/>
    <s v="D"/>
    <s v="Downtime Opportunity"/>
    <s v="Hydraulic Dredge"/>
    <s v="Breaker, Swing Motor (Stbd)"/>
    <s v="Electrical*Main Switchboard #1 (4160V)*Breaker, Swing Motor (Stbd)"/>
    <x v="9"/>
    <x v="0"/>
  </r>
  <r>
    <x v="3"/>
    <s v="0118"/>
    <s v="Breaker, Swing Motor (Port) Annual Inspection"/>
    <s v="Breaker, Swing Motor (Port)"/>
    <s v="EQUIPMENT"/>
    <s v="B"/>
    <s v="D"/>
    <s v="Downtime Opportunity"/>
    <s v="Hydraulic Dredge"/>
    <s v="Breaker, Swing Motor (Port)"/>
    <s v="Electrical*Main Switchboard #1 (4160V)*Breaker, Swing Motor (Port)"/>
    <x v="9"/>
    <x v="0"/>
  </r>
  <r>
    <x v="3"/>
    <s v="0118"/>
    <s v="Breaker, Ladder Pump Motor Annual Inspection"/>
    <s v="Breaker, Ladder Pump Motor"/>
    <s v="EQUIPMENT"/>
    <s v="B"/>
    <s v="D"/>
    <s v="Downtime Opportunity"/>
    <s v="Hydraulic Dredge"/>
    <s v="Breaker, Ladder Pump Motor"/>
    <s v="Electrical*Main Switchboard #1 (4160V)*Breaker, Ladder Pump Motor"/>
    <x v="9"/>
    <x v="0"/>
  </r>
  <r>
    <x v="3"/>
    <s v="0118"/>
    <s v="Breaker, Ladder Hoist Annual Inspection"/>
    <s v="Breaker, Ladder Hoist"/>
    <s v="EQUIPMENT"/>
    <s v="B"/>
    <s v="D"/>
    <s v="Downtime Opportunity"/>
    <s v="Hydraulic Dredge"/>
    <s v="Breaker, Ladder Hoist"/>
    <s v="Electrical*Main Switchboard #1 (4160V)*Breaker, Ladder Hoist"/>
    <x v="9"/>
    <x v="0"/>
  </r>
  <r>
    <x v="3"/>
    <s v="0118"/>
    <s v="Breaker, Gland Seal Pumps Annual Inspection"/>
    <s v="Breaker, Gland Seal Pumps"/>
    <s v="EQUIPMENT"/>
    <s v="B"/>
    <s v="D"/>
    <s v="Downtime Opportunity"/>
    <s v="Hydraulic Dredge"/>
    <s v="Breaker, Gland Seal Pumps"/>
    <s v="Electrical*Main Switchboard #1 (4160V)*Breaker, Gland Seal Pumps"/>
    <x v="9"/>
    <x v="0"/>
  </r>
  <r>
    <x v="3"/>
    <s v="0118"/>
    <s v="Breaker, Generator (#1) Annual Inspection"/>
    <s v="Breaker, Generator (#1)"/>
    <s v="EQUIPMENT"/>
    <s v="B"/>
    <s v="D"/>
    <s v="Downtime Opportunity"/>
    <s v="Hydraulic Dredge"/>
    <s v="Breaker, Generator (#1)"/>
    <s v="Electrical*Main Switchboard #1 (4160V)*Breaker, Generator (#1)"/>
    <x v="9"/>
    <x v="0"/>
  </r>
  <r>
    <x v="3"/>
    <s v="0118"/>
    <s v="Breaker, Generator (#2) Annual Inspection"/>
    <s v="Breaker, Generator (#2)"/>
    <s v="EQUIPMENT"/>
    <s v="B"/>
    <s v="D"/>
    <s v="Downtime Opportunity"/>
    <s v="Hydraulic Dredge"/>
    <s v="Breaker, Generator (#2)"/>
    <s v="Electrical*Main Switchboard #1 (4160V)*Breaker, Generator (#2)"/>
    <x v="9"/>
    <x v="0"/>
  </r>
  <r>
    <x v="3"/>
    <s v="0118"/>
    <s v="Breaker, Cutter Drive (Stbd) Annual Inspection"/>
    <s v="Breaker, Cutter Drive (Stbd)"/>
    <s v="EQUIPMENT"/>
    <s v="B"/>
    <s v="D"/>
    <s v="Downtime Opportunity"/>
    <s v="Hydraulic Dredge"/>
    <s v="Breaker, Cutter Drive (Stbd)"/>
    <s v="Electrical*Main Switchboard #1 (4160V)*Breaker, Cutter Drive (Stbd)"/>
    <x v="9"/>
    <x v="0"/>
  </r>
  <r>
    <x v="3"/>
    <s v="0118"/>
    <s v="Breaker, Cutter Drive (Port) Annual Inspection"/>
    <s v="Breaker, Cutter Drive (Port)"/>
    <s v="EQUIPMENT"/>
    <s v="B"/>
    <s v="D"/>
    <s v="Downtime Opportunity"/>
    <s v="Hydraulic Dredge"/>
    <s v="Breaker, Cutter Drive (Port)"/>
    <s v="Electrical*Main Switchboard #1 (4160V)*Breaker, Cutter Drive (Port)"/>
    <x v="9"/>
    <x v="0"/>
  </r>
  <r>
    <x v="3"/>
    <s v="0118"/>
    <s v="Breaker, 4160-480 Transformer (Stbd) Annual Inspection"/>
    <s v="Breaker, 4160-480 Transformer (Stbd)"/>
    <s v="EQUIPMENT"/>
    <s v="B"/>
    <s v="D"/>
    <s v="Downtime Opportunity"/>
    <s v="Hydraulic Dredge"/>
    <s v="Breaker, 4160-480 Transformer (Stbd)"/>
    <s v="Electrical*Main Switchboard #1 (4160V)*Breaker, 4160-480 Transformer (Stbd)"/>
    <x v="9"/>
    <x v="0"/>
  </r>
  <r>
    <x v="3"/>
    <s v="0118"/>
    <s v="Breaker, 4160-480 Transformer (Port) Annual Inspection"/>
    <s v="Breaker, 4160-480 Transformer (Port)"/>
    <s v="EQUIPMENT"/>
    <s v="B"/>
    <s v="D"/>
    <s v="Downtime Opportunity"/>
    <s v="Hydraulic Dredge"/>
    <s v="Breaker, 4160-480 Transformer (Port)"/>
    <s v="Electrical*Main Switchboard #1 (4160V)*Breaker, 4160-480 Transformer (Port)"/>
    <x v="9"/>
    <x v="0"/>
  </r>
  <r>
    <x v="3"/>
    <s v="0118"/>
    <s v="Thrust Bearing/Shaft (Cutter) Installation"/>
    <s v="Thrust Bearing (Cutter)"/>
    <s v="EQUIPMENT"/>
    <s v="A"/>
    <s v="D"/>
    <s v="Downtime Opportunity"/>
    <s v="Hydraulic Dredge"/>
    <s v="Thrust Bearing (Cutter)"/>
    <s v="Cutter Machinery*Thrust Bearing (Cutter)"/>
    <x v="6"/>
    <x v="0"/>
  </r>
  <r>
    <x v="3"/>
    <s v="0118"/>
    <s v="Thrust Bearing/Shaft (Cutter) Finish Machining"/>
    <s v="Thrust Bearing (Cutter)"/>
    <s v="EQUIPMENT"/>
    <s v="A"/>
    <s v="D"/>
    <s v="Spares Rebuild"/>
    <s v="Hydraulic Dredge"/>
    <s v="Thrust Bearing (Cutter)"/>
    <s v="Cutter Machinery*Thrust Bearing (Cutter)"/>
    <x v="6"/>
    <x v="0"/>
  </r>
  <r>
    <x v="3"/>
    <s v="0118"/>
    <s v="Cutter Motor (Port) Removal"/>
    <s v="Cutter Motor (Port)"/>
    <s v="EQUIPMENT"/>
    <s v="B"/>
    <s v="B"/>
    <s v="Downtime Opportunity"/>
    <s v="Hydraulic Dredge"/>
    <s v="Cutter Motor (Port)"/>
    <s v="Cutter Machinery*Cutter Motor (Port)"/>
    <x v="6"/>
    <x v="0"/>
  </r>
  <r>
    <x v="3"/>
    <s v="0118"/>
    <s v="Dredge Pump Pressure/Flow Test"/>
    <s v="Dredge Pump"/>
    <s v="EQUIPMENT"/>
    <s v="A"/>
    <s v="B"/>
    <s v="To Be Captured"/>
    <s v="Hydraulic Dredge"/>
    <s v="Dredge Pump"/>
    <s v="Pump, Dredge*Dredge Pump"/>
    <x v="3"/>
    <x v="1"/>
  </r>
  <r>
    <x v="3"/>
    <s v="0118"/>
    <s v="Main Generator (Stbd) Installation"/>
    <s v="Main Generator (Stbd)"/>
    <s v="EQUIPMENT"/>
    <s v="B"/>
    <s v="A"/>
    <s v="To Be Captured"/>
    <s v="Hydraulic Dredge"/>
    <s v="Main Generator (Stbd)"/>
    <s v="Generators*Main Genset (Stbd)*Main Generator (Stbd)"/>
    <x v="4"/>
    <x v="1"/>
  </r>
  <r>
    <x v="3"/>
    <s v="0118"/>
    <s v="Main Generator (Port) Installation"/>
    <s v="Main Generator (Port)"/>
    <s v="EQUIPMENT"/>
    <s v="B"/>
    <s v="A"/>
    <s v="To Be Captured"/>
    <s v="Hydraulic Dredge"/>
    <s v="Main Generator (Port)"/>
    <s v="Generators*Main Genset (Port)*Main Generator (Port)"/>
    <x v="4"/>
    <x v="1"/>
  </r>
  <r>
    <x v="3"/>
    <s v="0118"/>
    <s v="Main Generator (Stbd) Alignment"/>
    <s v="Main Generator (Stbd)"/>
    <s v="EQUIPMENT"/>
    <s v="B"/>
    <s v="A"/>
    <s v="To Be Captured"/>
    <s v="Hydraulic Dredge"/>
    <s v="Main Generator (Stbd)"/>
    <s v="Generators*Main Genset (Stbd)*Main Generator (Stbd)"/>
    <x v="4"/>
    <x v="1"/>
  </r>
  <r>
    <x v="3"/>
    <s v="0118"/>
    <s v="Main Generator (Port) Alignment"/>
    <s v="Main Generator (Port)"/>
    <s v="EQUIPMENT"/>
    <s v="B"/>
    <s v="A"/>
    <s v="To Be Captured"/>
    <s v="Hydraulic Dredge"/>
    <s v="Main Generator (Port)"/>
    <s v="Generators*Main Genset (Port)*Main Generator (Port)"/>
    <x v="4"/>
    <x v="1"/>
  </r>
  <r>
    <x v="3"/>
    <s v="0118"/>
    <s v="Main Generator (Stbd) 60000 HR (Overhaul)"/>
    <s v="Main Generator (Stbd)"/>
    <s v="EQUIPMENT"/>
    <s v="B"/>
    <s v="A"/>
    <s v="Spares Rebuild"/>
    <s v="Hydraulic Dredge"/>
    <s v="Main Generator (Stbd)"/>
    <s v="Generators*Main Genset (Stbd)*Main Generator (Stbd)"/>
    <x v="4"/>
    <x v="0"/>
  </r>
  <r>
    <x v="3"/>
    <s v="0118"/>
    <s v="Main Generator (Port) 60000 HR (Overhaul)"/>
    <s v="Main Generator (Port)"/>
    <s v="EQUIPMENT"/>
    <s v="B"/>
    <s v="A"/>
    <s v="Spares Rebuild"/>
    <s v="Hydraulic Dredge"/>
    <s v="Main Generator (Port)"/>
    <s v="Generators*Main Genset (Port)*Main Generator (Port)"/>
    <x v="4"/>
    <x v="0"/>
  </r>
  <r>
    <x v="3"/>
    <s v="0118"/>
    <s v="Ladder Hoist Motor Installation"/>
    <s v="Ladder Hoist Motor"/>
    <s v="EQUIPMENT"/>
    <s v="A"/>
    <s v="B"/>
    <s v="To Be Captured"/>
    <s v="Hydraulic Dredge"/>
    <s v="Ladder Hoist Motor"/>
    <s v="Ladder System*Ladder Hoist Winch*Ladder Hoist Motor"/>
    <x v="5"/>
    <x v="1"/>
  </r>
  <r>
    <x v="3"/>
    <s v="0118"/>
    <s v="Cutter Motor (Stbd) Brush Inspection"/>
    <s v="Cutter Motor (Stbd)"/>
    <s v="EQUIPMENT"/>
    <s v="B"/>
    <s v="B"/>
    <s v="Downtime Opportunity"/>
    <s v="Hydraulic Dredge"/>
    <s v="Cutter Motor (Stbd)"/>
    <s v="Cutter Machinery*Cutter Motor (Stbd)"/>
    <x v="6"/>
    <x v="0"/>
  </r>
  <r>
    <x v="3"/>
    <s v="0118"/>
    <s v="Cutter Motor (Stbd) 1000 HR PM"/>
    <s v="Cutter Motor (Stbd)"/>
    <s v="EQUIPMENT"/>
    <s v="B"/>
    <s v="B"/>
    <s v="Downtime Opportunity"/>
    <s v="Hydraulic Dredge"/>
    <s v="Cutter Motor (Stbd)"/>
    <s v="Cutter Machinery*Cutter Motor (Stbd)"/>
    <x v="6"/>
    <x v="0"/>
  </r>
  <r>
    <x v="3"/>
    <s v="0118"/>
    <s v="Cutter Motor (Stbd) Installation"/>
    <s v="Cutter Motor (Stbd)"/>
    <s v="EQUIPMENT"/>
    <s v="B"/>
    <s v="B"/>
    <s v="Downtime Opportunity"/>
    <s v="Hydraulic Dredge"/>
    <s v="Cutter Motor (Stbd)"/>
    <s v="Cutter Machinery*Cutter Motor (Stbd)"/>
    <x v="6"/>
    <x v="0"/>
  </r>
  <r>
    <x v="3"/>
    <s v="0118"/>
    <s v="Cutter Motor (Stbd) Removal"/>
    <s v="Cutter Motor (Stbd)"/>
    <s v="EQUIPMENT"/>
    <s v="B"/>
    <s v="B"/>
    <s v="Downtime Opportunity"/>
    <s v="Hydraulic Dredge"/>
    <s v="Cutter Motor (Stbd)"/>
    <s v="Cutter Machinery*Cutter Motor (Stbd)"/>
    <x v="6"/>
    <x v="0"/>
  </r>
  <r>
    <x v="3"/>
    <s v="0118"/>
    <s v="Cutter Motor (Stbd) 5000 HR PM (Overhaul)"/>
    <s v="Cutter Motor (Stbd)"/>
    <s v="EQUIPMENT"/>
    <s v="B"/>
    <s v="B"/>
    <s v="Idle/Inactive Period"/>
    <s v="Hydraulic Dredge"/>
    <s v="Cutter Motor (Stbd)"/>
    <s v="Cutter Machinery*Cutter Motor (Stbd)"/>
    <x v="6"/>
    <x v="0"/>
  </r>
  <r>
    <x v="3"/>
    <s v="0118"/>
    <s v="Main Generator (Stbd) Removal"/>
    <s v="Main Generator (Stbd)"/>
    <s v="EQUIPMENT"/>
    <s v="B"/>
    <s v="A"/>
    <s v="To Be Captured"/>
    <s v="Hydraulic Dredge"/>
    <s v="Main Generator (Stbd)"/>
    <s v="Generators*Main Genset (Stbd)*Main Generator (Stbd)"/>
    <x v="4"/>
    <x v="1"/>
  </r>
  <r>
    <x v="3"/>
    <s v="0118"/>
    <s v="Main Generator (Port) Removal"/>
    <s v="Main Generator (Port)"/>
    <s v="EQUIPMENT"/>
    <s v="B"/>
    <s v="A"/>
    <s v="To Be Captured"/>
    <s v="Hydraulic Dredge"/>
    <s v="Main Generator (Port)"/>
    <s v="Generators*Main Genset (Port)*Main Generator (Port)"/>
    <x v="4"/>
    <x v="1"/>
  </r>
  <r>
    <x v="3"/>
    <s v="0118"/>
    <s v="Ladder Pump (Universal) Rebuild"/>
    <s v="Ladder Pump (Universal)"/>
    <s v="EQUIPMENT"/>
    <s v="B"/>
    <s v="D"/>
    <s v="Downtime Opportunity"/>
    <s v="Hydraulic Dredge"/>
    <s v="Ladder Pump (Universal)"/>
    <s v="Pump, Ladder*Ladder Pump (Universal)"/>
    <x v="11"/>
    <x v="0"/>
  </r>
  <r>
    <x v="3"/>
    <s v="0118"/>
    <s v="Swing Sheave (Stbd) Removal"/>
    <s v="Swing Sheave (Stbd)"/>
    <s v="EQUIPMENT"/>
    <s v="B"/>
    <s v="D"/>
    <s v="To Be Written"/>
    <s v="Hydraulic Dredge"/>
    <s v="Swing Sheave (Stbd)"/>
    <s v="Swing*Swing Sheave (Stbd)"/>
    <x v="19"/>
    <x v="1"/>
  </r>
  <r>
    <x v="3"/>
    <s v="0118"/>
    <s v="Swing Sheave (Port) Removal"/>
    <s v="Swing Sheave (Port)"/>
    <s v="EQUIPMENT"/>
    <s v="B"/>
    <s v="D"/>
    <s v="To Be Written"/>
    <s v="Hydraulic Dredge"/>
    <s v="Swing Sheave (Port)"/>
    <s v="Swing*Swing Sheave (Port)"/>
    <x v="19"/>
    <x v="1"/>
  </r>
  <r>
    <x v="3"/>
    <s v="0118"/>
    <s v="Swing Sheave (Stbd) Installation"/>
    <s v="Swing Sheave (Stbd)"/>
    <s v="EQUIPMENT"/>
    <s v="B"/>
    <s v="D"/>
    <s v="To Be Captured"/>
    <s v="Hydraulic Dredge"/>
    <s v="Swing Sheave (Stbd)"/>
    <s v="Swing*Swing Sheave (Stbd)"/>
    <x v="19"/>
    <x v="1"/>
  </r>
  <r>
    <x v="3"/>
    <s v="0118"/>
    <s v="Swing Sheave (Port) Installation"/>
    <s v="Swing Sheave (Port)"/>
    <s v="EQUIPMENT"/>
    <s v="B"/>
    <s v="D"/>
    <s v="To Be Captured"/>
    <s v="Hydraulic Dredge"/>
    <s v="Swing Sheave (Port)"/>
    <s v="Swing*Swing Sheave (Port)"/>
    <x v="19"/>
    <x v="1"/>
  </r>
  <r>
    <x v="3"/>
    <s v="0118"/>
    <s v="Swing Winch Motor (Port) Semi-Annual Inspection"/>
    <s v="Swing Winch Motor (Port)"/>
    <s v="EQUIPMENT"/>
    <s v="B"/>
    <s v="D"/>
    <s v="Downtime Opportunity"/>
    <s v="Hydraulic Dredge"/>
    <s v="Swing Winch Motor (Port)"/>
    <s v="Swing*Swing Winch (Port)*Swing Winch Motor (Port)"/>
    <x v="19"/>
    <x v="0"/>
  </r>
  <r>
    <x v="3"/>
    <s v="0118"/>
    <s v="Swing Winch Motor (Stbd) Semi-Annual Inspection"/>
    <s v="Swing Winch Motor (Stbd)"/>
    <s v="EQUIPMENT"/>
    <s v="B"/>
    <s v="D"/>
    <s v="Downtime Opportunity"/>
    <s v="Hydraulic Dredge"/>
    <s v="Swing Winch Motor (Stbd)"/>
    <s v="Swing*Swing Winch (Stbd)*Swing Winch Motor (Stbd)"/>
    <x v="19"/>
    <x v="0"/>
  </r>
  <r>
    <x v="3"/>
    <s v="0118"/>
    <s v="Christmas Tree Quarterly Inspection"/>
    <s v="Christmas Tree"/>
    <s v="EQUIPMENT"/>
    <s v="B"/>
    <s v="D"/>
    <s v="Draft"/>
    <s v="Hydraulic Dredge"/>
    <s v="Christmas Tree"/>
    <s v="Spud System*Christmas Tree"/>
    <x v="18"/>
    <x v="0"/>
  </r>
  <r>
    <x v="3"/>
    <s v="0118"/>
    <s v="Swing Winch (Stbd) Annual Inspection"/>
    <s v="Swing Winch (Stbd)"/>
    <s v="EQUIPMENT"/>
    <s v="A"/>
    <s v="D"/>
    <s v="Draft"/>
    <s v="Hydraulic Dredge"/>
    <s v="Swing Winch (Stbd)"/>
    <s v="Swing*Swing Winch (Stbd)"/>
    <x v="19"/>
    <x v="0"/>
  </r>
  <r>
    <x v="3"/>
    <s v="0118"/>
    <s v="Swing Winch (Port) Annual Inspection"/>
    <s v="Swing Winch (Port)"/>
    <s v="EQUIPMENT"/>
    <s v="A"/>
    <s v="D"/>
    <s v="Downtime Opportunity"/>
    <s v="Hydraulic Dredge"/>
    <s v="Swing Winch (Port)"/>
    <s v="Swing*Swing Winch (Port)"/>
    <x v="19"/>
    <x v="0"/>
  </r>
  <r>
    <x v="3"/>
    <s v="0118"/>
    <s v="Thrust Bearing/Shaft (Cutter) Replacement"/>
    <s v="Thrust Bearing (Cutter)"/>
    <s v="EQUIPMENT"/>
    <s v="A"/>
    <s v="D"/>
    <s v="Draft"/>
    <s v="Hydraulic Dredge"/>
    <s v="Thrust Bearing (Cutter)"/>
    <s v="Cutter Machinery*Thrust Bearing (Cutter)"/>
    <x v="6"/>
    <x v="0"/>
  </r>
  <r>
    <x v="3"/>
    <s v="0118"/>
    <s v="Thrust Bearing/Shaft (Cutter) End Play Adjustment"/>
    <s v="Thrust Bearing (Cutter)"/>
    <s v="EQUIPMENT"/>
    <s v="A"/>
    <s v="D"/>
    <s v="Draft"/>
    <s v="Hydraulic Dredge"/>
    <s v="Thrust Bearing (Cutter)"/>
    <s v="Cutter Machinery*Thrust Bearing (Cutter)"/>
    <x v="6"/>
    <x v="0"/>
  </r>
  <r>
    <x v="3"/>
    <s v="0118"/>
    <s v="A/C (#5) - Control Room Annual Service"/>
    <s v="A/C (#5) - Control Room"/>
    <s v="EQUIPMENT"/>
    <s v="C"/>
    <s v="D"/>
    <s v="Running Work List"/>
    <s v="Hydraulic Dredge"/>
    <s v="A/C (#5) - Control Room"/>
    <s v="HVAC*A/C (#5) - Control Room"/>
    <x v="13"/>
    <x v="0"/>
  </r>
  <r>
    <x v="3"/>
    <s v="0118"/>
    <s v="A/C (#3) - Living Quarters (Port) Annual Service"/>
    <s v="A/C (#3) - Living Quarters (Port)"/>
    <s v="EQUIPMENT"/>
    <s v="C"/>
    <s v="D"/>
    <s v="Running Work List"/>
    <s v="Hydraulic Dredge"/>
    <s v="A/C (#3) - Living Quarters (Port)"/>
    <s v="HVAC*A/C (#3) - Living Quarters (Port)"/>
    <x v="13"/>
    <x v="0"/>
  </r>
  <r>
    <x v="3"/>
    <s v="0118"/>
    <s v="A/C (#2) - Living Quarters (Stbd) Annual Service"/>
    <s v="A/C (#2) - Living Quarters (Stbd)"/>
    <s v="EQUIPMENT"/>
    <s v="C"/>
    <s v="D"/>
    <s v="Running Work List"/>
    <s v="Hydraulic Dredge"/>
    <s v="A/C (#2) - Living Quarters (Stbd)"/>
    <s v="HVAC*A/C (#2) - Living Quarters (Stbd)"/>
    <x v="13"/>
    <x v="0"/>
  </r>
  <r>
    <x v="3"/>
    <s v="0118"/>
    <s v="A/C (#1) - Lever Room (Main) Annual Service"/>
    <s v="A/C (#1) - Lever Room (Main)"/>
    <s v="EQUIPMENT"/>
    <s v="C"/>
    <s v="D"/>
    <s v="Running Work List"/>
    <s v="Hydraulic Dredge"/>
    <s v="A/C (#1) - Lever Room (Main)"/>
    <s v="HVAC*A/C (#1) - Lever Room (Main)"/>
    <x v="13"/>
    <x v="0"/>
  </r>
  <r>
    <x v="3"/>
    <s v="0118"/>
    <s v="A/C (#5) - Control Room Quarterly PM/Inspection"/>
    <s v="A/C (#5) - Control Room"/>
    <s v="EQUIPMENT"/>
    <s v="C"/>
    <s v="D"/>
    <s v="Draft"/>
    <s v="Hydraulic Dredge"/>
    <s v="A/C (#5) - Control Room"/>
    <s v="HVAC*A/C (#5) - Control Room"/>
    <x v="13"/>
    <x v="0"/>
  </r>
  <r>
    <x v="3"/>
    <s v="0118"/>
    <s v="A/C (#3) - Living Quarters (Port) Quarterly PM/Inspection"/>
    <s v="A/C (#3) - Living Quarters (Port)"/>
    <s v="EQUIPMENT"/>
    <s v="C"/>
    <s v="D"/>
    <s v="Running Work List"/>
    <s v="Hydraulic Dredge"/>
    <s v="A/C (#3) - Living Quarters (Port)"/>
    <s v="HVAC*A/C (#3) - Living Quarters (Port)"/>
    <x v="13"/>
    <x v="0"/>
  </r>
  <r>
    <x v="3"/>
    <s v="0118"/>
    <s v="A/C (#2) - Living Quarters (Stbd) Quarterly PM/Inspection"/>
    <s v="A/C (#2) - Living Quarters (Stbd)"/>
    <s v="EQUIPMENT"/>
    <s v="C"/>
    <s v="D"/>
    <s v="Running Work List"/>
    <s v="Hydraulic Dredge"/>
    <s v="A/C (#2) - Living Quarters (Stbd)"/>
    <s v="HVAC*A/C (#2) - Living Quarters (Stbd)"/>
    <x v="13"/>
    <x v="0"/>
  </r>
  <r>
    <x v="3"/>
    <s v="0118"/>
    <s v="A/C (#1) - Lever Room (Main) Quarterly PM/Inspection"/>
    <s v="A/C (#1) - Lever Room (Main)"/>
    <s v="EQUIPMENT"/>
    <s v="C"/>
    <s v="D"/>
    <s v="Running Work List"/>
    <s v="Hydraulic Dredge"/>
    <s v="A/C (#1) - Lever Room (Main)"/>
    <s v="HVAC*A/C (#1) - Lever Room (Main)"/>
    <x v="13"/>
    <x v="0"/>
  </r>
  <r>
    <x v="3"/>
    <s v="0118"/>
    <s v="Christmas Tree Quarterly PM/Inspection"/>
    <s v="Christmas Tree"/>
    <s v="EQUIPMENT"/>
    <s v="B"/>
    <s v="D"/>
    <s v="Draft"/>
    <s v="Hydraulic Dredge"/>
    <s v="Christmas Tree"/>
    <s v="Spud System*Christmas Tree"/>
    <x v="18"/>
    <x v="0"/>
  </r>
  <r>
    <x v="3"/>
    <s v="0118"/>
    <s v="Clutch (Port) (33VC650) 12000 HR PM"/>
    <s v="Clutch (Port) (33VC650)"/>
    <s v="EQUIPMENT"/>
    <s v="B"/>
    <s v="D"/>
    <s v="Draft"/>
    <s v="Hydraulic Dredge"/>
    <s v="Clutch (Port) (33VC650)"/>
    <s v="Pump, Dredge*Dredge Pump Engine Port (EMD 645)*Clutch (Port) (33VC650)"/>
    <x v="3"/>
    <x v="0"/>
  </r>
  <r>
    <x v="3"/>
    <s v="0118"/>
    <s v="Clutch (Port) (33VC650) 3000 HR PM"/>
    <s v="Clutch (Port) (33VC650)"/>
    <s v="EQUIPMENT"/>
    <s v="B"/>
    <s v="D"/>
    <s v="Draft"/>
    <s v="Hydraulic Dredge"/>
    <s v="Clutch (Port) (33VC650)"/>
    <s v="Pump, Dredge*Dredge Pump Engine Port (EMD 645)*Clutch (Port) (33VC650)"/>
    <x v="3"/>
    <x v="0"/>
  </r>
  <r>
    <x v="3"/>
    <s v="0118"/>
    <s v="Thrust Bearing/Shaft (Cutter) Element Replacement"/>
    <s v="Thrust Bearing (Cutter)"/>
    <s v="EQUIPMENT"/>
    <s v="A"/>
    <s v="D"/>
    <s v="Draft"/>
    <s v="Hydraulic Dredge"/>
    <s v="Thrust Bearing (Cutter)"/>
    <s v="Cutter Machinery*Thrust Bearing (Cutter)"/>
    <x v="6"/>
    <x v="0"/>
  </r>
  <r>
    <x v="3"/>
    <s v="0118"/>
    <s v="Lifting Hook, Impeller (TX-UWP) Annual Inspection"/>
    <s v="Ladder Pump (Universal)"/>
    <s v="EQUIPMENT"/>
    <s v="B"/>
    <s v="D"/>
    <s v="Running Work List"/>
    <s v="Hydraulic Dredge"/>
    <s v="Ladder Pump (Universal)"/>
    <s v="Pump, Ladder*Ladder Pump (Universal)"/>
    <x v="11"/>
    <x v="0"/>
  </r>
  <r>
    <x v="3"/>
    <s v="0118"/>
    <s v="Lifting Hook, Inner Shell (TXMPIS) Annual Inspection"/>
    <s v="Dredge Pump"/>
    <s v="EQUIPMENT"/>
    <s v="A"/>
    <s v="D"/>
    <s v="Running Work List"/>
    <s v="Hydraulic Dredge"/>
    <s v="Dredge Pump"/>
    <s v="Pump, Dredge*Dredge Pump"/>
    <x v="3"/>
    <x v="0"/>
  </r>
  <r>
    <x v="3"/>
    <s v="0118"/>
    <s v="Lifting Hook, Impeller (TXMPIMP) Annual Inspection"/>
    <s v="Dredge Pump"/>
    <s v="EQUIPMENT"/>
    <s v="A"/>
    <s v="D"/>
    <s v="Running Work List"/>
    <s v="Hydraulic Dredge"/>
    <s v="Dredge Pump"/>
    <s v="Pump, Dredge*Dredge Pump"/>
    <x v="3"/>
    <x v="0"/>
  </r>
  <r>
    <x v="3"/>
    <s v="0118"/>
    <s v="Lifting Hook, Engine Side Liner (TXMPESL) Annual Inspection"/>
    <s v="Dredge Pump"/>
    <s v="EQUIPMENT"/>
    <s v="A"/>
    <s v="D"/>
    <s v="Running Work List"/>
    <s v="Hydraulic Dredge"/>
    <s v="Dredge Pump"/>
    <s v="Pump, Dredge*Dredge Pump"/>
    <x v="3"/>
    <x v="0"/>
  </r>
  <r>
    <x v="3"/>
    <s v="0118"/>
    <s v="Drive, SCR (Cutter) (Stbd) Inspection"/>
    <s v="Drive, SCR (Cutter) (Stbd)"/>
    <s v="EQUIPMENT"/>
    <s v="B"/>
    <s v="D"/>
    <s v="Downtime Opportunity"/>
    <s v="Hydraulic Dredge"/>
    <s v="Drive, SCR (Cutter) (Stbd)"/>
    <s v="Cutter Machinery*Drive, SCR (Cutter) (Stbd)"/>
    <x v="6"/>
    <x v="0"/>
  </r>
  <r>
    <x v="3"/>
    <s v="0118"/>
    <s v="Drive, SCR (Swing) (Stbd) Inspection"/>
    <s v="Drive, SCR (Swing) (Stbd)"/>
    <s v="EQUIPMENT"/>
    <s v="B"/>
    <s v="D"/>
    <s v="Downtime Opportunity"/>
    <s v="Hydraulic Dredge"/>
    <s v="Drive, SCR (Swing) (Stbd)"/>
    <s v="Swing*Drive, SCR (Swing) (Stbd)"/>
    <x v="19"/>
    <x v="0"/>
  </r>
  <r>
    <x v="3"/>
    <s v="0118"/>
    <s v="Fire Pump Semi-Annual PM/Inspection"/>
    <s v="Fire Pump"/>
    <s v="EQUIPMENT"/>
    <s v="B"/>
    <s v="A"/>
    <s v="Running Work List"/>
    <s v="Hydraulic Dredge"/>
    <s v="Fire Pump"/>
    <s v="Safety Firefighting*Fire Pump"/>
    <x v="0"/>
    <x v="0"/>
  </r>
  <r>
    <x v="3"/>
    <s v="0118"/>
    <s v="Batteries (Backup) Annual Battery Replacement"/>
    <s v="Batteries (Backup)"/>
    <s v="EQUIPMENT"/>
    <s v="A"/>
    <s v="D"/>
    <s v="Downtime Opportunity"/>
    <s v="Hydraulic Dredge"/>
    <s v="Batteries (Backup)"/>
    <s v="Electrical*Batteries (Backup)"/>
    <x v="9"/>
    <x v="0"/>
  </r>
  <r>
    <x v="3"/>
    <s v="0118"/>
    <s v="Hull Fuel Transfer"/>
    <s v="Hull"/>
    <s v="EQUIPMENT"/>
    <s v="A"/>
    <s v="D"/>
    <s v="Running Work List"/>
    <s v="Hydraulic Dredge"/>
    <s v="Hull"/>
    <s v="Hull/Structure*Hull"/>
    <x v="23"/>
    <x v="0"/>
  </r>
  <r>
    <x v="3"/>
    <s v="0118"/>
    <s v="Blower (Silent Predator), Swing Winch Motor (S) Refurbishment"/>
    <s v="Blower (Silent Predator), Swing Winch Motor (S)"/>
    <s v="EQUIPMENT"/>
    <s v="B"/>
    <s v="D"/>
    <s v="Spares Rebuild"/>
    <s v="Hydraulic Dredge"/>
    <s v="Blower (Silent Predator), Swing Winch Motor (S)"/>
    <s v="Swing*Swing Winch (Stbd)*Swing Winch Motor (Stbd)*Blower (Silent Predator), Swing Winch Motor (S)"/>
    <x v="19"/>
    <x v="0"/>
  </r>
  <r>
    <x v="3"/>
    <s v="0118"/>
    <s v="Blower (Silent Predator), Swing Winch Motor (P) Refurbishment"/>
    <s v="Blower (Silent Predator), Swing Winch Motor (P)"/>
    <s v="EQUIPMENT"/>
    <s v="B"/>
    <s v="D"/>
    <s v="Spares Rebuild"/>
    <s v="Hydraulic Dredge"/>
    <s v="Blower (Silent Predator), Swing Winch Motor (P)"/>
    <s v="Swing*Swing Winch (Port)*Swing Winch Motor (Port)*Blower (Silent Predator), Swing Winch Motor (P)"/>
    <x v="19"/>
    <x v="0"/>
  </r>
  <r>
    <x v="3"/>
    <s v="0118"/>
    <s v="Main Genset (Stbd) Cold Start SOP"/>
    <s v="Main Genset (Stbd)"/>
    <s v="EQUIPMENT"/>
    <s v="A"/>
    <s v="D"/>
    <s v="Downtime Opportunity"/>
    <s v="Hydraulic Dredge"/>
    <s v="Main Genset (Stbd)"/>
    <s v="Generators*Main Genset (Stbd)"/>
    <x v="4"/>
    <x v="0"/>
  </r>
  <r>
    <x v="3"/>
    <s v="0118"/>
    <s v="Main Genset (Port) Cold Start SOP"/>
    <s v="Main Genset (Port)"/>
    <s v="EQUIPMENT"/>
    <s v="A"/>
    <s v="D"/>
    <s v="Downtime Opportunity"/>
    <s v="Hydraulic Dredge"/>
    <s v="Main Genset (Port)"/>
    <s v="Generators*Main Genset (Port)"/>
    <x v="4"/>
    <x v="0"/>
  </r>
  <r>
    <x v="3"/>
    <s v="0118"/>
    <s v="PLC, Allen Bradley Annual Battery Replacement"/>
    <s v="PLC, Allen Bradley"/>
    <s v="EQUIPMENT"/>
    <s v="B"/>
    <s v="D"/>
    <s v="Downtime Opportunity"/>
    <s v="Hydraulic Dredge"/>
    <s v="PLC, Allen Bradley"/>
    <s v="Electrical*PLC, Allen Bradley"/>
    <x v="9"/>
    <x v="0"/>
  </r>
  <r>
    <x v="3"/>
    <s v="0118"/>
    <s v="Desalinator (Fwd) Monthly Inspect/Clean"/>
    <s v="Desalinator (Fwd)"/>
    <s v="EQUIPMENT"/>
    <s v="D"/>
    <s v="D"/>
    <s v="Running Work List"/>
    <s v="Hydraulic Dredge"/>
    <s v="Desalinator (Fwd)"/>
    <s v="Potable Water*Desalinator (Fwd)"/>
    <x v="2"/>
    <x v="0"/>
  </r>
  <r>
    <x v="3"/>
    <s v="0118"/>
    <s v="Desalinator (Aft) Monthly Inspect/Clean"/>
    <s v="Desalinator (Aft)"/>
    <s v="EQUIPMENT"/>
    <s v="D"/>
    <s v="D"/>
    <s v="Running Work List"/>
    <s v="Hydraulic Dredge"/>
    <s v="Desalinator (Aft)"/>
    <s v="Potable Water*Desalinator (Aft)"/>
    <x v="2"/>
    <x v="0"/>
  </r>
  <r>
    <x v="3"/>
    <s v="0118"/>
    <s v="Ladder Pump Motor Rebuild"/>
    <s v="Ladder Pump Motor (2000 HP)"/>
    <s v="EQUIPMENT"/>
    <s v="B"/>
    <s v="D"/>
    <s v="Downtime Opportunity"/>
    <s v="Hydraulic Dredge"/>
    <s v="Ladder Pump Motor (2000 HP)"/>
    <s v="Pump, Ladder*Ladder Pump Motor (2000 HP)"/>
    <x v="11"/>
    <x v="0"/>
  </r>
  <r>
    <x v="3"/>
    <s v="0118"/>
    <s v="Life Raft (Stbd) (#4) Annual Exchange"/>
    <s v="Life Raft (Stbd) (#4)"/>
    <s v="EQUIPMENT"/>
    <s v="A"/>
    <s v="D"/>
    <s v="Regulatory Requirement"/>
    <s v="Hydraulic Dredge"/>
    <s v="Life Raft (Stbd) (#4)"/>
    <s v="Safety Lifesaving*Life Raft (Stbd) (#4)"/>
    <x v="1"/>
    <x v="0"/>
  </r>
  <r>
    <x v="3"/>
    <s v="0118"/>
    <s v="Life Raft (Port) (#4) Annual Exchange"/>
    <s v="Life Raft (Port) (#4)"/>
    <s v="EQUIPMENT"/>
    <s v="A"/>
    <s v="D"/>
    <s v="Regulatory Requirement"/>
    <s v="Hydraulic Dredge"/>
    <s v="Life Raft (Port) (#4)"/>
    <s v="Safety Lifesaving*Life Raft (Port) (#4)"/>
    <x v="1"/>
    <x v="0"/>
  </r>
  <r>
    <x v="3"/>
    <s v="0118"/>
    <s v="Cutter Motor (Stbd) 2500 HR PM"/>
    <s v="Cutter Motor (Stbd)"/>
    <s v="EQUIPMENT"/>
    <s v="B"/>
    <s v="D"/>
    <s v="Downtime Opportunity"/>
    <s v="Hydraulic Dredge"/>
    <s v="Cutter Motor (Stbd)"/>
    <s v="Cutter Machinery*Cutter Motor (Stbd)"/>
    <x v="6"/>
    <x v="0"/>
  </r>
  <r>
    <x v="3"/>
    <s v="0118"/>
    <s v="Cutter Motor (Port) 2500 HR PM"/>
    <s v="Cutter Motor (Port)"/>
    <s v="EQUIPMENT"/>
    <s v="B"/>
    <s v="D"/>
    <s v="Downtime Opportunity"/>
    <s v="Hydraulic Dredge"/>
    <s v="Cutter Motor (Port)"/>
    <s v="Cutter Machinery*Cutter Motor (Port)"/>
    <x v="6"/>
    <x v="0"/>
  </r>
  <r>
    <x v="3"/>
    <s v="0118"/>
    <s v="Thrust Bearing/Shaft (Cutter) Inspection"/>
    <s v="Thrust Bearing (Cutter)"/>
    <s v="EQUIPMENT"/>
    <s v="A"/>
    <s v="D"/>
    <s v="Downtime Opportunity"/>
    <s v="Hydraulic Dredge"/>
    <s v="Thrust Bearing (Cutter)"/>
    <s v="Cutter Machinery*Thrust Bearing (Cutter)"/>
    <x v="6"/>
    <x v="0"/>
  </r>
  <r>
    <x v="3"/>
    <s v="0118"/>
    <s v="Thrust Bearing/Shaft (Cutter) Commissioning"/>
    <s v="Thrust Bearing (Cutter)"/>
    <s v="EQUIPMENT"/>
    <s v="A"/>
    <s v="D"/>
    <s v="Downtime Opportunity"/>
    <s v="Hydraulic Dredge"/>
    <s v="Thrust Bearing (Cutter)"/>
    <s v="Cutter Machinery*Thrust Bearing (Cutter)"/>
    <x v="6"/>
    <x v="0"/>
  </r>
  <r>
    <x v="3"/>
    <s v="0118"/>
    <s v="Dredge Pump Inspection"/>
    <s v="Dredge Pump"/>
    <s v="EQUIPMENT"/>
    <s v="A"/>
    <s v="D"/>
    <m/>
    <s v="Hydraulic Dredge"/>
    <s v="Dredge Pump"/>
    <s v="Pump, Dredge*Dredge Pump"/>
    <x v="3"/>
    <x v="0"/>
  </r>
  <r>
    <x v="3"/>
    <s v="0118"/>
    <s v="Dredge Pump Front Door Removal"/>
    <s v="Dredge Pump"/>
    <s v="EQUIPMENT"/>
    <s v="A"/>
    <s v="D"/>
    <s v="To Be Written"/>
    <s v="Hydraulic Dredge"/>
    <s v="Dredge Pump"/>
    <s v="Pump, Dredge*Dredge Pump"/>
    <x v="3"/>
    <x v="1"/>
  </r>
  <r>
    <x v="3"/>
    <s v="0118"/>
    <s v="Dredge Pump Front Door Installation"/>
    <s v="Dredge Pump"/>
    <s v="EQUIPMENT"/>
    <s v="A"/>
    <s v="D"/>
    <s v="To Be Written"/>
    <s v="Hydraulic Dredge"/>
    <s v="Dredge Pump"/>
    <s v="Pump, Dredge*Dredge Pump"/>
    <x v="3"/>
    <x v="1"/>
  </r>
  <r>
    <x v="3"/>
    <s v="0118"/>
    <s v="Dredge Pump Suction Liner Replacement"/>
    <s v="Dredge Pump"/>
    <s v="EQUIPMENT"/>
    <s v="A"/>
    <s v="D"/>
    <s v="To Be Written"/>
    <s v="Hydraulic Dredge"/>
    <s v="Dredge Pump"/>
    <s v="Pump, Dredge*Dredge Pump"/>
    <x v="3"/>
    <x v="1"/>
  </r>
  <r>
    <x v="3"/>
    <s v="0118"/>
    <s v="Dredge Pump Impeller Remove &amp; Install"/>
    <s v="Dredge Pump"/>
    <s v="EQUIPMENT"/>
    <s v="A"/>
    <s v="D"/>
    <s v="To Be Written"/>
    <s v="Hydraulic Dredge"/>
    <s v="Dredge Pump"/>
    <s v="Pump, Dredge*Dredge Pump"/>
    <x v="3"/>
    <x v="1"/>
  </r>
  <r>
    <x v="3"/>
    <s v="0118"/>
    <s v="Dredge Pump Engine Liner Replacement"/>
    <s v="Dredge Pump"/>
    <s v="EQUIPMENT"/>
    <s v="A"/>
    <s v="D"/>
    <s v="To Be Written"/>
    <s v="Hydraulic Dredge"/>
    <s v="Dredge Pump"/>
    <s v="Pump, Dredge*Dredge Pump"/>
    <x v="3"/>
    <x v="1"/>
  </r>
  <r>
    <x v="3"/>
    <s v="0118"/>
    <s v="Dredge Pump Peripheral Liner Replacement"/>
    <s v="Dredge Pump"/>
    <s v="EQUIPMENT"/>
    <s v="A"/>
    <s v="D"/>
    <s v="To Be Written"/>
    <s v="Hydraulic Dredge"/>
    <s v="Dredge Pump"/>
    <s v="Pump, Dredge*Dredge Pump"/>
    <x v="3"/>
    <x v="1"/>
  </r>
  <r>
    <x v="3"/>
    <s v="0118"/>
    <s v="Stuffing Box (D/P) Repack"/>
    <s v="Stuffing Box (D/P)"/>
    <s v="EQUIPMENT"/>
    <s v="A"/>
    <s v="D"/>
    <m/>
    <s v="Hydraulic Dredge"/>
    <s v="Stuffing Box (D/P)"/>
    <s v="Pump, Dredge*Dredge Pump*Stuffing Box (D/P)"/>
    <x v="3"/>
    <x v="0"/>
  </r>
  <r>
    <x v="3"/>
    <s v="0118"/>
    <s v="Stuffing Box (D/P) Replacement"/>
    <s v="Stuffing Box (D/P)"/>
    <s v="EQUIPMENT"/>
    <s v="A"/>
    <s v="D"/>
    <m/>
    <s v="Hydraulic Dredge"/>
    <s v="Stuffing Box (D/P)"/>
    <s v="Pump, Dredge*Dredge Pump*Stuffing Box (D/P)"/>
    <x v="3"/>
    <x v="0"/>
  </r>
  <r>
    <x v="3"/>
    <s v="0118"/>
    <s v="Fixed Fire System (C02) Annual Inspection"/>
    <s v="Fixed Fire System (C02)"/>
    <s v="EQUIPMENT"/>
    <s v="B"/>
    <s v="A"/>
    <s v="Regulatory Requirement"/>
    <s v="Hydraulic Dredge"/>
    <s v="Fixed Fire System (C02)"/>
    <s v="Safety Firefighting*Fixed Fire System (C02)"/>
    <x v="0"/>
    <x v="0"/>
  </r>
  <r>
    <x v="3"/>
    <s v="0118"/>
    <s v="Fire Extinguishers (Portable) Annual Inspection"/>
    <s v="Fire Extinguishers (Portable)"/>
    <s v="EQUIPMENT"/>
    <s v="B"/>
    <s v="A"/>
    <s v="Draft"/>
    <s v="Hydraulic Dredge"/>
    <s v="Fire Extinguishers (Portable)"/>
    <s v="Safety Firefighting*Fire Extinguishers (Portable)"/>
    <x v="0"/>
    <x v="0"/>
  </r>
  <r>
    <x v="4"/>
    <s v="0103"/>
    <s v="Emergency Generator Engine (Detroit 4-71) 150 HR PM/Inspection"/>
    <s v="Emergency Gen Engine (Detroit 4-71)"/>
    <s v="EQUIPMENT"/>
    <s v="B"/>
    <s v="A"/>
    <s v="Running Work List"/>
    <s v="Hydraulic Dredge"/>
    <s v="Emergency Gen Engine (Detroit 4-71)"/>
    <s v="Generators*Emergency Genset*Emergency Gen Engine (Detroit 4-71)"/>
    <x v="4"/>
    <x v="0"/>
  </r>
  <r>
    <x v="4"/>
    <s v="0103"/>
    <s v="Emergency Generator Engine (Detroit 4-71) 300 HR PM"/>
    <s v="Emergency Gen Engine (Detroit 4-71)"/>
    <s v="EQUIPMENT"/>
    <s v="B"/>
    <s v="A"/>
    <s v="Running Work List"/>
    <s v="Hydraulic Dredge"/>
    <s v="Emergency Gen Engine (Detroit 4-71)"/>
    <s v="Generators*Emergency Genset*Emergency Gen Engine (Detroit 4-71)"/>
    <x v="4"/>
    <x v="0"/>
  </r>
  <r>
    <x v="4"/>
    <s v="0103"/>
    <s v="Emergency Generator Engine (Detroit 4-71) Scheduled Maintenance"/>
    <s v="Emergency Gen Engine (Detroit 4-71)"/>
    <s v="EQUIPMENT"/>
    <s v="B"/>
    <s v="A"/>
    <s v="Running Work List"/>
    <s v="Hydraulic Dredge"/>
    <s v="Emergency Gen Engine (Detroit 4-71)"/>
    <s v="Generators*Emergency Genset*Emergency Gen Engine (Detroit 4-71)"/>
    <x v="4"/>
    <x v="0"/>
  </r>
  <r>
    <x v="4"/>
    <s v="0103"/>
    <s v="Pump Bearing Assembly (L/P) 1000 HR PM"/>
    <s v="Pump Bearing Assembly (L/P)"/>
    <s v="EQUIPMENT"/>
    <s v="A"/>
    <s v="D"/>
    <s v="Downtime Opportunity"/>
    <s v="Hydraulic Dredge"/>
    <s v="Pump Bearing Assembly (L/P)"/>
    <s v="Pump, Ladder*Shafting*Pump Bearing Assembly (L/P)"/>
    <x v="11"/>
    <x v="0"/>
  </r>
  <r>
    <x v="4"/>
    <s v="0103"/>
    <s v="Pump Bearing Assembly (L/P) 2000 HR PM"/>
    <s v="Pump Bearing Assembly (L/P)"/>
    <s v="EQUIPMENT"/>
    <s v="A"/>
    <s v="D"/>
    <s v="Downtime Opportunity"/>
    <s v="Hydraulic Dredge"/>
    <s v="Pump Bearing Assembly (L/P)"/>
    <s v="Pump, Ladder*Shafting*Pump Bearing Assembly (L/P)"/>
    <x v="11"/>
    <x v="0"/>
  </r>
  <r>
    <x v="4"/>
    <s v="0103"/>
    <s v="Ladder Hoist Winch Monthly Inspection"/>
    <s v="Ladder Hoist Winch"/>
    <s v="EQUIPMENT"/>
    <s v="B"/>
    <s v="D"/>
    <s v="Downtime Opportunity"/>
    <s v="Hydraulic Dredge"/>
    <s v="Ladder Hoist Winch"/>
    <s v="Ladder System*Ladder Hoist Winch"/>
    <x v="5"/>
    <x v="0"/>
  </r>
  <r>
    <x v="4"/>
    <s v="0103"/>
    <s v="Cutter Gearbox 1000 HR PM"/>
    <s v="Cutter Gearbox"/>
    <s v="EQUIPMENT"/>
    <s v="A"/>
    <s v="B"/>
    <s v="Downtime Opportunity"/>
    <s v="Hydraulic Dredge"/>
    <s v="Cutter Gearbox"/>
    <s v="Cutter Machinery*Cutter Gearbox"/>
    <x v="6"/>
    <x v="0"/>
  </r>
  <r>
    <x v="4"/>
    <s v="0103"/>
    <s v="Cutter Gearbox 6000 HR PM"/>
    <s v="Cutter Gearbox"/>
    <s v="EQUIPMENT"/>
    <s v="A"/>
    <s v="B"/>
    <s v="Downtime Opportunity"/>
    <s v="Hydraulic Dredge"/>
    <s v="Cutter Gearbox"/>
    <s v="Cutter Machinery*Cutter Gearbox"/>
    <x v="6"/>
    <x v="0"/>
  </r>
  <r>
    <x v="4"/>
    <s v="0103"/>
    <s v="Thrust Bearing 1000 HR PM"/>
    <s v="Thrust Bearing"/>
    <s v="EQUIPMENT"/>
    <s v="A"/>
    <s v="D"/>
    <s v="Downtime Opportunity"/>
    <s v="Hydraulic Dredge"/>
    <s v="Thrust Bearing"/>
    <s v="Cutter Machinery*Thrust Bearing"/>
    <x v="6"/>
    <x v="0"/>
  </r>
  <r>
    <x v="4"/>
    <s v="0103"/>
    <s v="Thrust Bearing 5000 HR PM"/>
    <s v="Thrust Bearing"/>
    <s v="EQUIPMENT"/>
    <s v="A"/>
    <s v="D"/>
    <s v="Downtime Opportunity"/>
    <s v="Hydraulic Dredge"/>
    <s v="Thrust Bearing"/>
    <s v="Cutter Machinery*Thrust Bearing"/>
    <x v="6"/>
    <x v="0"/>
  </r>
  <r>
    <x v="4"/>
    <s v="0103"/>
    <s v="M/G Engine Stbd 1000 HR PM"/>
    <s v="Main Gen Engine Stbd (EMD 645)"/>
    <s v="EQUIPMENT"/>
    <s v="A"/>
    <s v="A"/>
    <s v="Downtime Opportunity"/>
    <s v="Hydraulic Dredge"/>
    <s v="Main Gen Engine Stbd (EMD 645)"/>
    <s v="Generators*Main Genset (Stbd)*Main Gen Engine Stbd (EMD 645)"/>
    <x v="4"/>
    <x v="0"/>
  </r>
  <r>
    <x v="4"/>
    <s v="0103"/>
    <s v="M/G Engine Port 1000 HR PM"/>
    <s v="Main Gen Engine Port (EMD 645)"/>
    <s v="EQUIPMENT"/>
    <s v="A"/>
    <s v="A"/>
    <s v="Downtime Opportunity"/>
    <s v="Hydraulic Dredge"/>
    <s v="Main Gen Engine Port (EMD 645)"/>
    <s v="Generators*Main Genset (Port)*Main Gen Engine Port (EMD 645)"/>
    <x v="4"/>
    <x v="0"/>
  </r>
  <r>
    <x v="4"/>
    <s v="0103"/>
    <s v="M/G Engine Port 4000 HR PM/Inspection"/>
    <s v="Main Gen Engine Port (EMD 645)"/>
    <s v="EQUIPMENT"/>
    <s v="A"/>
    <s v="A"/>
    <s v="Downtime Opportunity"/>
    <s v="Hydraulic Dredge"/>
    <s v="Main Gen Engine Port (EMD 645)"/>
    <s v="Generators*Main Genset (Port)*Main Gen Engine Port (EMD 645)"/>
    <x v="4"/>
    <x v="0"/>
  </r>
  <r>
    <x v="4"/>
    <s v="0103"/>
    <s v="M/G Engine Stbd 4000 HR PM/Inspection"/>
    <s v="Main Gen Engine Stbd (EMD 645)"/>
    <s v="EQUIPMENT"/>
    <s v="A"/>
    <s v="A"/>
    <s v="Downtime Opportunity"/>
    <s v="Hydraulic Dredge"/>
    <s v="Main Gen Engine Stbd (EMD 645)"/>
    <s v="Generators*Main Genset (Stbd)*Main Gen Engine Stbd (EMD 645)"/>
    <x v="4"/>
    <x v="0"/>
  </r>
  <r>
    <x v="4"/>
    <s v="0103"/>
    <s v="M/G Engine Stbd 8000 HR PM (Job # 2)"/>
    <s v="Main Gen Engine Stbd (EMD 645)"/>
    <s v="EQUIPMENT"/>
    <s v="A"/>
    <s v="A"/>
    <s v="Downtime Opportunity"/>
    <s v="Hydraulic Dredge"/>
    <s v="Main Gen Engine Stbd (EMD 645)"/>
    <s v="Generators*Main Genset (Stbd)*Main Gen Engine Stbd (EMD 645)"/>
    <x v="4"/>
    <x v="0"/>
  </r>
  <r>
    <x v="4"/>
    <s v="0103"/>
    <s v="M/G Engine Port 8000 HR PM (Job # 2)"/>
    <s v="Main Gen Engine Port (EMD 645)"/>
    <s v="EQUIPMENT"/>
    <s v="A"/>
    <s v="A"/>
    <s v="Downtime Opportunity"/>
    <s v="Hydraulic Dredge"/>
    <s v="Main Gen Engine Port (EMD 645)"/>
    <s v="Generators*Main Genset (Port)*Main Gen Engine Port (EMD 645)"/>
    <x v="4"/>
    <x v="0"/>
  </r>
  <r>
    <x v="4"/>
    <s v="0103"/>
    <s v="M/G Engine Port Inspection"/>
    <s v="Main Gen Engine Port (EMD 645)"/>
    <s v="EQUIPMENT"/>
    <s v="A"/>
    <s v="A"/>
    <s v="Downtime Opportunity"/>
    <s v="Hydraulic Dredge"/>
    <s v="Main Gen Engine Port (EMD 645)"/>
    <s v="Generators*Main Genset (Port)*Main Gen Engine Port (EMD 645)"/>
    <x v="4"/>
    <x v="0"/>
  </r>
  <r>
    <x v="4"/>
    <s v="0103"/>
    <s v="M/G Engine Stbd Inspection"/>
    <s v="Main Gen Engine Stbd (EMD 645)"/>
    <s v="EQUIPMENT"/>
    <s v="A"/>
    <s v="A"/>
    <s v="Downtime Opportunity"/>
    <s v="Hydraulic Dredge"/>
    <s v="Main Gen Engine Stbd (EMD 645)"/>
    <s v="Generators*Main Genset (Stbd)*Main Gen Engine Stbd (EMD 645)"/>
    <x v="4"/>
    <x v="0"/>
  </r>
  <r>
    <x v="4"/>
    <s v="0103"/>
    <s v="M/G Engine Port 30000 HR PM (Overhaul)"/>
    <s v="Main Gen Engine Port (EMD 645)"/>
    <s v="EQUIPMENT"/>
    <s v="A"/>
    <s v="A"/>
    <s v="Idle/Inactive Period"/>
    <s v="Hydraulic Dredge"/>
    <s v="Main Gen Engine Port (EMD 645)"/>
    <s v="Generators*Main Genset (Port)*Main Gen Engine Port (EMD 645)"/>
    <x v="4"/>
    <x v="0"/>
  </r>
  <r>
    <x v="4"/>
    <s v="0103"/>
    <s v="M/G Engine Stbd 30000 HR PM (Overhaul)"/>
    <s v="Main Gen Engine Stbd (EMD 645)"/>
    <s v="EQUIPMENT"/>
    <s v="A"/>
    <s v="A"/>
    <s v="Idle/Inactive Period"/>
    <s v="Hydraulic Dredge"/>
    <s v="Main Gen Engine Stbd (EMD 645)"/>
    <s v="Generators*Main Genset (Stbd)*Main Gen Engine Stbd (EMD 645)"/>
    <x v="4"/>
    <x v="0"/>
  </r>
  <r>
    <x v="4"/>
    <s v="0103"/>
    <s v="Clutch (32VC1000) Monthly Inspection"/>
    <s v="Clutch (32VC1000)"/>
    <s v="EQUIPMENT"/>
    <s v="B"/>
    <s v="D"/>
    <s v="Downtime Opportunity"/>
    <s v="Hydraulic Dredge"/>
    <s v="Clutch (32VC1000)"/>
    <s v="Pump, Dredge (Stbd)-OLD*Dredge Pump Gearbox (Stbd)*Clutch (32VC1000)"/>
    <x v="30"/>
    <x v="0"/>
  </r>
  <r>
    <x v="4"/>
    <s v="0103"/>
    <s v="Clutch (32VC1000) Monthly Inspection"/>
    <s v="Clutch (32VC1000)"/>
    <s v="EQUIPMENT"/>
    <s v="B"/>
    <s v="D"/>
    <s v="Downtime Opportunity"/>
    <s v="Hydraulic Dredge"/>
    <s v="Clutch (32VC1000)"/>
    <s v="Pump, Dredge (Port)- OLD*Dredge Pump Gearbox (Port)*Clutch (32VC1000)"/>
    <x v="31"/>
    <x v="0"/>
  </r>
  <r>
    <x v="4"/>
    <s v="0103"/>
    <s v="Clutch (32VC1000) Annual Inspection"/>
    <s v="Clutch (32VC1000)"/>
    <s v="EQUIPMENT"/>
    <s v="B"/>
    <s v="D"/>
    <s v="Downtime Opportunity"/>
    <s v="Hydraulic Dredge"/>
    <s v="Clutch (32VC1000)"/>
    <s v="Pump, Dredge (Stbd)-OLD*Dredge Pump Gearbox (Stbd)*Clutch (32VC1000)"/>
    <x v="30"/>
    <x v="0"/>
  </r>
  <r>
    <x v="4"/>
    <s v="0103"/>
    <s v="Clutch (32VC1000) Annual Inspection"/>
    <s v="Clutch (32VC1000)"/>
    <s v="EQUIPMENT"/>
    <s v="B"/>
    <s v="D"/>
    <s v="Downtime Opportunity"/>
    <s v="Hydraulic Dredge"/>
    <s v="Clutch (32VC1000)"/>
    <s v="Pump, Dredge (Port)- OLD*Dredge Pump Gearbox (Port)*Clutch (32VC1000)"/>
    <x v="31"/>
    <x v="0"/>
  </r>
  <r>
    <x v="4"/>
    <s v="0103"/>
    <s v="Ladder Head Section 1000 HR PM"/>
    <s v="Ladder Head Section"/>
    <s v="EQUIPMENT"/>
    <s v="B"/>
    <s v="B"/>
    <s v="Downtime Opportunity"/>
    <s v="Hydraulic Dredge"/>
    <s v="Ladder Head Section"/>
    <s v="Ladder System*Ladder*Ladder Head Section"/>
    <x v="5"/>
    <x v="0"/>
  </r>
  <r>
    <x v="4"/>
    <s v="0103"/>
    <s v="Ladder Head Section 5000 HR PM"/>
    <s v="Ladder Head Section"/>
    <s v="EQUIPMENT"/>
    <s v="B"/>
    <s v="B"/>
    <s v="Downtime Opportunity"/>
    <s v="Hydraulic Dredge"/>
    <s v="Ladder Head Section"/>
    <s v="Ladder System*Ladder*Ladder Head Section"/>
    <x v="5"/>
    <x v="0"/>
  </r>
  <r>
    <x v="4"/>
    <s v="0103"/>
    <s v="Ladder Pump Motor (#1) 1000 HR PM"/>
    <s v="Ladder Pump Motor (#1)"/>
    <s v="EQUIPMENT"/>
    <s v="A"/>
    <s v="B"/>
    <s v="Downtime Opportunity"/>
    <s v="Hydraulic Dredge"/>
    <s v="Ladder Pump Motor (#1)"/>
    <s v="Pump, Ladder*Ladder Pump Motor (#1)"/>
    <x v="11"/>
    <x v="0"/>
  </r>
  <r>
    <x v="4"/>
    <s v="0103"/>
    <s v="Ladder Pump Motor (#1) 3000 HR PM"/>
    <s v="Ladder Pump Motor (#1)"/>
    <s v="EQUIPMENT"/>
    <s v="A"/>
    <s v="B"/>
    <s v="Downtime Opportunity"/>
    <s v="Hydraulic Dredge"/>
    <s v="Ladder Pump Motor (#1)"/>
    <s v="Pump, Ladder*Ladder Pump Motor (#1)"/>
    <x v="11"/>
    <x v="0"/>
  </r>
  <r>
    <x v="4"/>
    <s v="0103"/>
    <s v="Deck Crane Inspection"/>
    <s v="Deck Crane"/>
    <s v="EQUIPMENT"/>
    <s v="B"/>
    <s v="D"/>
    <s v="Running Work List"/>
    <s v="Hydraulic Dredge"/>
    <s v="Deck Crane"/>
    <s v="Crane/Hoists*Deck Crane"/>
    <x v="7"/>
    <x v="0"/>
  </r>
  <r>
    <x v="4"/>
    <s v="0103"/>
    <s v="Deck Crane Semi-Annual Inspection"/>
    <s v="Deck Crane"/>
    <s v="EQUIPMENT"/>
    <s v="B"/>
    <s v="D"/>
    <s v="Running Work List"/>
    <s v="Hydraulic Dredge"/>
    <s v="Deck Crane"/>
    <s v="Crane/Hoists*Deck Crane"/>
    <x v="7"/>
    <x v="0"/>
  </r>
  <r>
    <x v="4"/>
    <s v="0103"/>
    <s v="Liferaft (Port) Annual Exchange"/>
    <s v="Liferaft (Port)"/>
    <s v="EQUIPMENT"/>
    <s v="A"/>
    <s v="A"/>
    <s v="Regulatory Requirement"/>
    <s v="Hydraulic Dredge"/>
    <s v="Liferaft (Port)"/>
    <s v="Safety Lifesaving*Liferaft (Port)"/>
    <x v="1"/>
    <x v="0"/>
  </r>
  <r>
    <x v="4"/>
    <s v="0103"/>
    <s v="Liferaft (Stbd) Annual Exchange"/>
    <s v="Liferaft (Stbd)"/>
    <s v="EQUIPMENT"/>
    <s v="A"/>
    <s v="A"/>
    <s v="Regulatory Requirement"/>
    <s v="Hydraulic Dredge"/>
    <s v="Liferaft (Stbd)"/>
    <s v="Safety Lifesaving*Liferaft (Stbd)"/>
    <x v="1"/>
    <x v="0"/>
  </r>
  <r>
    <x v="4"/>
    <s v="0103"/>
    <s v="Overhead Hoist Semi-Annual Inspection"/>
    <s v="Overhead Hoist"/>
    <s v="EQUIPMENT"/>
    <s v="B"/>
    <s v="D"/>
    <s v="Running Work List"/>
    <s v="Hydraulic Dredge"/>
    <s v="Overhead Hoist"/>
    <s v="Crane/Hoists*Overhead Hoist"/>
    <x v="7"/>
    <x v="0"/>
  </r>
  <r>
    <x v="4"/>
    <s v="0103"/>
    <s v="Overhead Hoist Monthly Inspection"/>
    <s v="Overhead Hoist"/>
    <s v="EQUIPMENT"/>
    <s v="B"/>
    <s v="D"/>
    <s v="Running Work List"/>
    <s v="Hydraulic Dredge"/>
    <s v="Overhead Hoist"/>
    <s v="Crane/Hoists*Overhead Hoist"/>
    <x v="7"/>
    <x v="0"/>
  </r>
  <r>
    <x v="4"/>
    <s v="0103"/>
    <s v="Gland Seal Pump Set (#3) Quarterly PM/Inspection"/>
    <s v="xGland Seal Pump Set (#3)"/>
    <s v="EQUIPMENT"/>
    <s v="C"/>
    <s v="D"/>
    <s v="Running Work List"/>
    <s v="Hydraulic Dredge"/>
    <s v="xGland Seal Pump Set (#3)"/>
    <s v="Gland Seal*xGland Seal Pump Set (#3)"/>
    <x v="8"/>
    <x v="0"/>
  </r>
  <r>
    <x v="4"/>
    <s v="0103"/>
    <s v="Gland Seal Pump Set (#2) Quarterly PM/Inspection"/>
    <s v="xGland Seal Pump Set (#2)"/>
    <s v="EQUIPMENT"/>
    <s v="C"/>
    <s v="D"/>
    <s v="Running Work List"/>
    <s v="Hydraulic Dredge"/>
    <s v="xGland Seal Pump Set (#2)"/>
    <s v="Gland Seal*xGland Seal Pump Set (#2)"/>
    <x v="8"/>
    <x v="0"/>
  </r>
  <r>
    <x v="4"/>
    <s v="0103"/>
    <s v="Gland Seal Pump Set (#1) Quarterly PM/Inspection"/>
    <s v="xGland Seal Pump Set (#1)"/>
    <s v="EQUIPMENT"/>
    <s v="C"/>
    <s v="D"/>
    <s v="Running Work List"/>
    <s v="Hydraulic Dredge"/>
    <s v="xGland Seal Pump Set (#1)"/>
    <s v="Gland Seal*xGland Seal Pump Set (#1)"/>
    <x v="8"/>
    <x v="0"/>
  </r>
  <r>
    <x v="4"/>
    <s v="0103"/>
    <s v="Standby Cooling Pump Set  M/E &amp; G/E (#3) Quarterly PM/Inspection"/>
    <s v="Standby Cooling Pump Set M/E &amp; G/E (#3)"/>
    <s v="EQUIPMENT"/>
    <s v="C"/>
    <s v="D"/>
    <s v="Running Work List"/>
    <s v="Hydraulic Dredge"/>
    <s v="Standby Cooling Pump Set M/E &amp; G/E (#3)"/>
    <s v="Raw Water*Standby Cooling Pump Set M/E &amp; G/E (#3)"/>
    <x v="16"/>
    <x v="0"/>
  </r>
  <r>
    <x v="4"/>
    <s v="0103"/>
    <s v="Multi-Pak 2 Cyl Air Cart Monthly Inspection"/>
    <s v="Multi-Pak 2 Cyl Air Cart"/>
    <s v="EQUIPMENT"/>
    <s v="B"/>
    <s v="D"/>
    <s v="Regulatory Requirement"/>
    <s v="Hydraulic Dredge"/>
    <s v="Multi-Pak 2 Cyl Air Cart"/>
    <s v="Safety Lifesaving*Multi-Pak 2 Cyl Air Cart"/>
    <x v="1"/>
    <x v="0"/>
  </r>
  <r>
    <x v="4"/>
    <s v="0103"/>
    <s v="Multi-Pak 2 Cyl Air Cart Annual Inspection"/>
    <s v="Multi-Pak 2 Cyl Air Cart"/>
    <s v="EQUIPMENT"/>
    <s v="B"/>
    <s v="D"/>
    <s v="Regulatory Requirement"/>
    <s v="Hydraulic Dredge"/>
    <s v="Multi-Pak 2 Cyl Air Cart"/>
    <s v="Safety Lifesaving*Multi-Pak 2 Cyl Air Cart"/>
    <x v="1"/>
    <x v="0"/>
  </r>
  <r>
    <x v="4"/>
    <s v="0103"/>
    <s v="Multi-Pak 2 Cyl Air Cart 4-Year Inspection"/>
    <s v="Multi-Pak 2 Cyl Air Cart"/>
    <s v="EQUIPMENT"/>
    <s v="B"/>
    <s v="D"/>
    <s v="Regulatory Requirement"/>
    <s v="Hydraulic Dredge"/>
    <s v="Multi-Pak 2 Cyl Air Cart"/>
    <s v="Safety Lifesaving*Multi-Pak 2 Cyl Air Cart"/>
    <x v="1"/>
    <x v="0"/>
  </r>
  <r>
    <x v="4"/>
    <s v="0103"/>
    <s v="Tailshaft Removal"/>
    <s v="Tailshaft"/>
    <s v="EQUIPMENT"/>
    <s v="A"/>
    <s v="D"/>
    <s v="Downtime Opportunity"/>
    <s v="Hydraulic Dredge"/>
    <s v="Tailshaft"/>
    <s v="Cutter Machinery*Tailshaft"/>
    <x v="6"/>
    <x v="0"/>
  </r>
  <r>
    <x v="4"/>
    <s v="0103"/>
    <s v="Tailshaft Installation"/>
    <s v="Tailshaft"/>
    <s v="EQUIPMENT"/>
    <s v="A"/>
    <s v="D"/>
    <s v="Downtime Opportunity"/>
    <s v="Hydraulic Dredge"/>
    <s v="Tailshaft"/>
    <s v="Cutter Machinery*Tailshaft"/>
    <x v="6"/>
    <x v="0"/>
  </r>
  <r>
    <x v="4"/>
    <s v="0103"/>
    <s v="Tailshaft Rebuild"/>
    <s v="Tailshaft"/>
    <s v="EQUIPMENT"/>
    <s v="A"/>
    <s v="D"/>
    <s v="To Be Written"/>
    <s v="Hydraulic Dredge"/>
    <s v="Tailshaft"/>
    <s v="Cutter Machinery*Tailshaft"/>
    <x v="6"/>
    <x v="1"/>
  </r>
  <r>
    <x v="4"/>
    <s v="0103"/>
    <s v="Cutter Motor (Port) Brush Inspection"/>
    <s v="Cutter Motor (Port)"/>
    <s v="EQUIPMENT"/>
    <s v="A"/>
    <s v="B"/>
    <s v="Downtime Opportunity"/>
    <s v="Hydraulic Dredge"/>
    <s v="Cutter Motor (Port)"/>
    <s v="Cutter Machinery*Cutter Motor (Port)"/>
    <x v="6"/>
    <x v="0"/>
  </r>
  <r>
    <x v="4"/>
    <s v="0103"/>
    <s v="Cutter Motor (Port) 1000 HR PM"/>
    <s v="Cutter Motor (Port)"/>
    <s v="EQUIPMENT"/>
    <s v="A"/>
    <s v="B"/>
    <s v="Downtime Opportunity"/>
    <s v="Hydraulic Dredge"/>
    <s v="Cutter Motor (Port)"/>
    <s v="Cutter Machinery*Cutter Motor (Port)"/>
    <x v="6"/>
    <x v="0"/>
  </r>
  <r>
    <x v="4"/>
    <s v="0103"/>
    <s v="Cutter Motor (Port) 5000 HR PM (Overhaul)"/>
    <s v="Cutter Motor (Port)"/>
    <s v="EQUIPMENT"/>
    <s v="A"/>
    <s v="B"/>
    <s v="Spares Rebuild"/>
    <s v="Hydraulic Dredge"/>
    <s v="Cutter Motor (Port)"/>
    <s v="Cutter Machinery*Cutter Motor (Port)"/>
    <x v="6"/>
    <x v="0"/>
  </r>
  <r>
    <x v="4"/>
    <s v="0103"/>
    <s v="Thrust Bearing Rebuild"/>
    <s v="Thrust Bearing"/>
    <s v="EQUIPMENT"/>
    <s v="A"/>
    <s v="D"/>
    <s v="Spares Rebuild"/>
    <s v="Hydraulic Dredge"/>
    <s v="Thrust Bearing"/>
    <s v="Cutter Machinery*Thrust Bearing"/>
    <x v="6"/>
    <x v="0"/>
  </r>
  <r>
    <x v="4"/>
    <s v="0103"/>
    <s v="Thrust Bearing Installation"/>
    <s v="Thrust Bearing"/>
    <s v="EQUIPMENT"/>
    <s v="A"/>
    <s v="D"/>
    <s v="Downtime Opportunity"/>
    <s v="Hydraulic Dredge"/>
    <s v="Thrust Bearing"/>
    <s v="Cutter Machinery*Thrust Bearing"/>
    <x v="6"/>
    <x v="0"/>
  </r>
  <r>
    <x v="4"/>
    <s v="0103"/>
    <s v="Thrust Bearing Finish Machining"/>
    <s v="Thrust Bearing"/>
    <s v="EQUIPMENT"/>
    <s v="A"/>
    <s v="D"/>
    <s v="Spares Rebuild"/>
    <s v="Hydraulic Dredge"/>
    <s v="Thrust Bearing"/>
    <s v="Cutter Machinery*Thrust Bearing"/>
    <x v="6"/>
    <x v="0"/>
  </r>
  <r>
    <x v="4"/>
    <s v="0103"/>
    <s v="Cutter Motor (Port) Installation"/>
    <s v="Cutter Motor (Port)"/>
    <s v="EQUIPMENT"/>
    <s v="A"/>
    <s v="B"/>
    <s v="Downtime Opportunity"/>
    <s v="Hydraulic Dredge"/>
    <s v="Cutter Motor (Port)"/>
    <s v="Cutter Machinery*Cutter Motor (Port)"/>
    <x v="6"/>
    <x v="0"/>
  </r>
  <r>
    <x v="4"/>
    <s v="0103"/>
    <s v="Cutter Motor (Stbd) 1000 HR PM"/>
    <s v="Cutter Motor (Stbd)"/>
    <s v="EQUIPMENT"/>
    <s v="A"/>
    <s v="B"/>
    <s v="Downtime Opportunity"/>
    <s v="Hydraulic Dredge"/>
    <s v="Cutter Motor (Stbd)"/>
    <s v="Cutter Machinery*Cutter Motor (Stbd)"/>
    <x v="6"/>
    <x v="0"/>
  </r>
  <r>
    <x v="4"/>
    <s v="0103"/>
    <s v="Cutter Motor (Stbd) Installation"/>
    <s v="Cutter Motor (Stbd)"/>
    <s v="EQUIPMENT"/>
    <s v="A"/>
    <s v="B"/>
    <s v="Downtime Opportunity"/>
    <s v="Hydraulic Dredge"/>
    <s v="Cutter Motor (Stbd)"/>
    <s v="Cutter Machinery*Cutter Motor (Stbd)"/>
    <x v="6"/>
    <x v="0"/>
  </r>
  <r>
    <x v="4"/>
    <s v="0103"/>
    <s v="Cutter Motor (Stbd) Removal"/>
    <s v="Cutter Motor (Stbd)"/>
    <s v="EQUIPMENT"/>
    <s v="A"/>
    <s v="B"/>
    <s v="To Be Written"/>
    <s v="Hydraulic Dredge"/>
    <s v="Cutter Motor (Stbd)"/>
    <s v="Cutter Machinery*Cutter Motor (Stbd)"/>
    <x v="6"/>
    <x v="1"/>
  </r>
  <r>
    <x v="4"/>
    <s v="0103"/>
    <s v="Cutter Motor (Stbd) 5000 HR PM (Overhaul)"/>
    <s v="Cutter Motor (Stbd)"/>
    <s v="EQUIPMENT"/>
    <s v="A"/>
    <s v="B"/>
    <s v="Spares Rebuild"/>
    <s v="Hydraulic Dredge"/>
    <s v="Cutter Motor (Stbd)"/>
    <s v="Cutter Machinery*Cutter Motor (Stbd)"/>
    <x v="6"/>
    <x v="0"/>
  </r>
  <r>
    <x v="4"/>
    <s v="0103"/>
    <s v="Ladder Pump Motor (#2) 1000 HR PM"/>
    <s v="Ladder Pump Motor (#2)"/>
    <s v="EQUIPMENT"/>
    <s v="A"/>
    <s v="B"/>
    <s v="Downtime Opportunity"/>
    <s v="Hydraulic Dredge"/>
    <s v="Ladder Pump Motor (#2)"/>
    <s v="Pump, Ladder*Ladder Pump Motor (#2)"/>
    <x v="11"/>
    <x v="0"/>
  </r>
  <r>
    <x v="4"/>
    <s v="0103"/>
    <s v="Ladder Pump Motor (#2) 3000 HR PM"/>
    <s v="Ladder Pump Motor (#2)"/>
    <s v="EQUIPMENT"/>
    <s v="A"/>
    <s v="B"/>
    <s v="Downtime Opportunity"/>
    <s v="Hydraulic Dredge"/>
    <s v="Ladder Pump Motor (#2)"/>
    <s v="Pump, Ladder*Ladder Pump Motor (#2)"/>
    <x v="11"/>
    <x v="0"/>
  </r>
  <r>
    <x v="4"/>
    <s v="0103"/>
    <s v="Main Generator Stbd Installation"/>
    <s v="Main Generator Stbd"/>
    <s v="EQUIPMENT"/>
    <s v="A"/>
    <s v="A"/>
    <s v="Downtime Opportunity"/>
    <s v="Hydraulic Dredge"/>
    <s v="Main Generator Stbd"/>
    <s v="Generators*Main Genset (Stbd)*Main Generator Stbd"/>
    <x v="4"/>
    <x v="0"/>
  </r>
  <r>
    <x v="4"/>
    <s v="0103"/>
    <s v="Main Generator Port Installation"/>
    <s v="Main Generator Port"/>
    <s v="EQUIPMENT"/>
    <s v="A"/>
    <s v="A"/>
    <s v="Downtime Opportunity"/>
    <s v="Hydraulic Dredge"/>
    <s v="Main Generator Port"/>
    <s v="Generators*Main Genset (Port)*Main Generator Port"/>
    <x v="4"/>
    <x v="0"/>
  </r>
  <r>
    <x v="4"/>
    <s v="0103"/>
    <s v="Main Generator Stbd Alignment"/>
    <s v="Main Generator Stbd"/>
    <s v="EQUIPMENT"/>
    <s v="A"/>
    <s v="A"/>
    <s v="To Be Written"/>
    <s v="Hydraulic Dredge"/>
    <s v="Main Generator Stbd"/>
    <s v="Generators*Main Genset (Stbd)*Main Generator Stbd"/>
    <x v="4"/>
    <x v="1"/>
  </r>
  <r>
    <x v="4"/>
    <s v="0103"/>
    <s v="Main Generator Port Alignment"/>
    <s v="Main Generator Port"/>
    <s v="EQUIPMENT"/>
    <s v="A"/>
    <s v="A"/>
    <s v="To Be Written"/>
    <s v="Hydraulic Dredge"/>
    <s v="Main Generator Port"/>
    <s v="Generators*Main Genset (Port)*Main Generator Port"/>
    <x v="4"/>
    <x v="1"/>
  </r>
  <r>
    <x v="4"/>
    <s v="0103"/>
    <s v="Main Generator Stbd 30000 HR PM (Overhaul)"/>
    <s v="Main Generator Stbd"/>
    <s v="EQUIPMENT"/>
    <s v="A"/>
    <s v="A"/>
    <s v="Spares Rebuild"/>
    <s v="Hydraulic Dredge"/>
    <s v="Main Generator Stbd"/>
    <s v="Generators*Main Genset (Stbd)*Main Generator Stbd"/>
    <x v="4"/>
    <x v="0"/>
  </r>
  <r>
    <x v="4"/>
    <s v="0103"/>
    <s v="Main Generator Port 30000 HR PM (Overhaul)"/>
    <s v="Main Generator Port"/>
    <s v="EQUIPMENT"/>
    <s v="A"/>
    <s v="A"/>
    <s v="Spares Rebuild"/>
    <s v="Hydraulic Dredge"/>
    <s v="Main Generator Port"/>
    <s v="Generators*Main Genset (Port)*Main Generator Port"/>
    <x v="4"/>
    <x v="0"/>
  </r>
  <r>
    <x v="4"/>
    <s v="0103"/>
    <s v="Main Generator Stbd Removal"/>
    <s v="Main Generator Stbd"/>
    <s v="EQUIPMENT"/>
    <s v="A"/>
    <s v="A"/>
    <s v="Downtime Opportunity"/>
    <s v="Hydraulic Dredge"/>
    <s v="Main Generator Stbd"/>
    <s v="Generators*Main Genset (Stbd)*Main Generator Stbd"/>
    <x v="4"/>
    <x v="0"/>
  </r>
  <r>
    <x v="4"/>
    <s v="0103"/>
    <s v="Main Generator Port Removal"/>
    <s v="Main Generator Port"/>
    <s v="EQUIPMENT"/>
    <s v="A"/>
    <s v="A"/>
    <s v="Downtime Opportunity"/>
    <s v="Hydraulic Dredge"/>
    <s v="Main Generator Port"/>
    <s v="Generators*Main Genset (Port)*Main Generator Port"/>
    <x v="4"/>
    <x v="0"/>
  </r>
  <r>
    <x v="4"/>
    <s v="0103"/>
    <s v="M/G Engine Stbd 1400 HR PM"/>
    <s v="Main Gen Engine Stbd (EMD 645)"/>
    <s v="EQUIPMENT"/>
    <s v="A"/>
    <s v="A"/>
    <s v="Downtime Opportunity"/>
    <s v="Hydraulic Dredge"/>
    <s v="Main Gen Engine Stbd (EMD 645)"/>
    <s v="Generators*Main Genset (Stbd)*Main Gen Engine Stbd (EMD 645)"/>
    <x v="4"/>
    <x v="0"/>
  </r>
  <r>
    <x v="4"/>
    <s v="0103"/>
    <s v="M/G Engine Port 1400 HR PM"/>
    <s v="Main Gen Engine Port (EMD 645)"/>
    <s v="EQUIPMENT"/>
    <s v="A"/>
    <s v="A"/>
    <s v="Downtime Opportunity"/>
    <s v="Hydraulic Dredge"/>
    <s v="Main Gen Engine Port (EMD 645)"/>
    <s v="Generators*Main Genset (Port)*Main Gen Engine Port (EMD 645)"/>
    <x v="4"/>
    <x v="0"/>
  </r>
  <r>
    <x v="4"/>
    <s v="0103"/>
    <s v="Air Compressor Set (# 03) 500 HR PM"/>
    <s v="Air Compressor Set (# 03)"/>
    <s v="EQUIPMENT"/>
    <s v="C"/>
    <s v="D"/>
    <s v="Running Work List"/>
    <s v="Hydraulic Dredge"/>
    <s v="Air Compressor Set (# 03)"/>
    <s v="Compressed Air*Air Compressor Set (# 03)"/>
    <x v="10"/>
    <x v="0"/>
  </r>
  <r>
    <x v="4"/>
    <s v="0103"/>
    <s v="Air Compressor Set (# 02) 500 HR PM"/>
    <s v="Air Compressor Set (# 02)"/>
    <s v="EQUIPMENT"/>
    <s v="C"/>
    <s v="D"/>
    <s v="Running Work List"/>
    <s v="Hydraulic Dredge"/>
    <s v="Air Compressor Set (# 02)"/>
    <s v="Compressed Air*Air Compressor Set (# 02)"/>
    <x v="10"/>
    <x v="0"/>
  </r>
  <r>
    <x v="4"/>
    <s v="0103"/>
    <s v="Air Compressor Set (# 01) 500 HR PM"/>
    <s v="Air Compressor Set (# 01)"/>
    <s v="EQUIPMENT"/>
    <s v="C"/>
    <s v="D"/>
    <s v="Running Work List"/>
    <s v="Hydraulic Dredge"/>
    <s v="Air Compressor Set (# 01)"/>
    <s v="Compressed Air*Air Compressor Set (# 01)"/>
    <x v="10"/>
    <x v="0"/>
  </r>
  <r>
    <x v="4"/>
    <s v="0103"/>
    <s v="Swing Winch Motor (Stbd) (GE-752) Brush Inspection"/>
    <s v="Swing Winch Motor (Stbd) (GE-752)"/>
    <s v="EQUIPMENT"/>
    <s v="B"/>
    <s v="D"/>
    <s v="Downtime Opportunity"/>
    <s v="Hydraulic Dredge"/>
    <s v="Swing Winch Motor (Stbd) (GE-752)"/>
    <s v="Swing*Swing Winch (Stbd)*Swing Winch Motor (Stbd) (GE-752)"/>
    <x v="19"/>
    <x v="0"/>
  </r>
  <r>
    <x v="4"/>
    <s v="0103"/>
    <s v="Swing Winch Motor (Port) (GE-752) Brush Inspection"/>
    <s v="Swing Winch Motor (Port) (GE-752)"/>
    <s v="EQUIPMENT"/>
    <s v="B"/>
    <s v="D"/>
    <s v="Downtime Opportunity"/>
    <s v="Hydraulic Dredge"/>
    <s v="Swing Winch Motor (Port) (GE-752)"/>
    <s v="Swing*Swing Winch (Port)*Swing Winch Motor (Port) (GE-752)"/>
    <x v="19"/>
    <x v="0"/>
  </r>
  <r>
    <x v="4"/>
    <s v="0103"/>
    <s v="Ladder Hoist Motor (GE-752) Brush Inspection"/>
    <s v="Motor, Ladder Hoist (GE-752)"/>
    <s v="EQUIPMENT"/>
    <s v="A"/>
    <s v="B"/>
    <s v="Downtime Opportunity"/>
    <s v="Hydraulic Dredge"/>
    <s v="Motor, Ladder Hoist (GE-752)"/>
    <s v="Ladder System*Ladder Hoist Winch*Motor, Ladder Hoist (GE-752)"/>
    <x v="5"/>
    <x v="0"/>
  </r>
  <r>
    <x v="4"/>
    <s v="0103"/>
    <s v="Cutter Motor (Stbd) Brush Inspection"/>
    <s v="Cutter Motor (Stbd)"/>
    <s v="EQUIPMENT"/>
    <s v="A"/>
    <s v="B"/>
    <s v="Downtime Opportunity"/>
    <s v="Hydraulic Dredge"/>
    <s v="Cutter Motor (Stbd)"/>
    <s v="Cutter Machinery*Cutter Motor (Stbd)"/>
    <x v="6"/>
    <x v="0"/>
  </r>
  <r>
    <x v="4"/>
    <s v="0103"/>
    <s v="Cutter Motor (Port) Megger Test Elec. Motors"/>
    <s v="Cutter Motor (Port)"/>
    <s v="EQUIPMENT"/>
    <s v="A"/>
    <s v="B"/>
    <s v="Downtime Opportunity"/>
    <s v="Hydraulic Dredge"/>
    <s v="Cutter Motor (Port)"/>
    <s v="Cutter Machinery*Cutter Motor (Port)"/>
    <x v="6"/>
    <x v="0"/>
  </r>
  <r>
    <x v="4"/>
    <s v="0103"/>
    <s v="Cutter Motor (Stbd) Megger Test Elec. Motors"/>
    <s v="Cutter Motor (Stbd)"/>
    <s v="EQUIPMENT"/>
    <s v="A"/>
    <s v="B"/>
    <s v="Downtime Opportunity"/>
    <s v="Hydraulic Dredge"/>
    <s v="Cutter Motor (Stbd)"/>
    <s v="Cutter Machinery*Cutter Motor (Stbd)"/>
    <x v="6"/>
    <x v="0"/>
  </r>
  <r>
    <x v="4"/>
    <s v="0103"/>
    <s v="Swing Sheave (Stbd) Removal"/>
    <s v="Swing Sheave (Stbd)"/>
    <s v="EQUIPMENT"/>
    <s v="B"/>
    <s v="D"/>
    <s v="To Be Written"/>
    <s v="Hydraulic Dredge"/>
    <s v="Swing Sheave (Stbd)"/>
    <s v="Swing*Swing Sheave (Stbd)"/>
    <x v="19"/>
    <x v="1"/>
  </r>
  <r>
    <x v="4"/>
    <s v="0103"/>
    <s v="Swing Sheave (Port) Removal"/>
    <s v="Swing Sheave (Port)"/>
    <s v="EQUIPMENT"/>
    <s v="B"/>
    <s v="D"/>
    <s v="To Be Written"/>
    <s v="Hydraulic Dredge"/>
    <s v="Swing Sheave (Port)"/>
    <s v="Swing*Swing Sheave (Port)"/>
    <x v="19"/>
    <x v="1"/>
  </r>
  <r>
    <x v="4"/>
    <s v="0103"/>
    <s v="Swing Sheave (Stbd) Installation"/>
    <s v="Swing Sheave (Stbd)"/>
    <s v="EQUIPMENT"/>
    <s v="B"/>
    <s v="D"/>
    <s v="To Be Captured"/>
    <s v="Hydraulic Dredge"/>
    <s v="Swing Sheave (Stbd)"/>
    <s v="Swing*Swing Sheave (Stbd)"/>
    <x v="19"/>
    <x v="1"/>
  </r>
  <r>
    <x v="4"/>
    <s v="0103"/>
    <s v="Swing Sheave (Port) Installation"/>
    <s v="Swing Sheave (Port)"/>
    <s v="EQUIPMENT"/>
    <s v="B"/>
    <s v="D"/>
    <s v="To Be Captured"/>
    <s v="Hydraulic Dredge"/>
    <s v="Swing Sheave (Port)"/>
    <s v="Swing*Swing Sheave (Port)"/>
    <x v="19"/>
    <x v="1"/>
  </r>
  <r>
    <x v="4"/>
    <s v="0103"/>
    <s v="SCR Drive Port (Swing) Inspection"/>
    <s v="SCR Drive Port (Swing)"/>
    <s v="EQUIPMENT"/>
    <s v="B"/>
    <s v="D"/>
    <s v="Downtime Opportunity"/>
    <s v="Hydraulic Dredge"/>
    <s v="SCR Drive Port (Swing)"/>
    <s v="Swing*SCR Drive Port (Swing)"/>
    <x v="19"/>
    <x v="0"/>
  </r>
  <r>
    <x v="4"/>
    <s v="0103"/>
    <s v="SCR Drive (Ladder) Inspection"/>
    <s v="SCR Drive (Ladder)"/>
    <s v="EQUIPMENT"/>
    <s v="A"/>
    <s v="D"/>
    <s v="Downtime Opportunity"/>
    <s v="Hydraulic Dredge"/>
    <s v="SCR Drive (Ladder)"/>
    <s v="Ladder System*SCR Drive (Ladder)"/>
    <x v="5"/>
    <x v="0"/>
  </r>
  <r>
    <x v="4"/>
    <s v="0103"/>
    <s v="SCR Drive Port (Cutter) Inspection"/>
    <s v="SCR Drive Port (Cutter)"/>
    <s v="EQUIPMENT"/>
    <s v="A"/>
    <s v="D"/>
    <s v="Downtime Opportunity"/>
    <s v="Hydraulic Dredge"/>
    <s v="SCR Drive Port (Cutter)"/>
    <s v="Cutter Machinery*SCR Drive Port (Cutter)"/>
    <x v="6"/>
    <x v="0"/>
  </r>
  <r>
    <x v="4"/>
    <s v="0103"/>
    <s v="MCC Inspection"/>
    <s v="MCC"/>
    <s v="EQUIPMENT"/>
    <s v="B"/>
    <s v="D"/>
    <s v="Downtime Opportunity"/>
    <s v="Hydraulic Dredge"/>
    <s v="MCC"/>
    <s v="Electrical*MCC"/>
    <x v="9"/>
    <x v="0"/>
  </r>
  <r>
    <x v="4"/>
    <s v="0103"/>
    <s v="MCC (Walking Spud) Inspection"/>
    <s v="MCC (Walking Spud)"/>
    <s v="EQUIPMENT"/>
    <s v="B"/>
    <s v="D"/>
    <s v="Downtime Opportunity"/>
    <s v="Hydraulic Dredge"/>
    <s v="MCC (Walking Spud)"/>
    <s v="Electrical*MCC (Walking Spud)"/>
    <x v="9"/>
    <x v="0"/>
  </r>
  <r>
    <x v="4"/>
    <s v="0103"/>
    <s v="Main Switchboard Inspection"/>
    <s v="Main Switchboard"/>
    <s v="EQUIPMENT"/>
    <s v="C"/>
    <s v="D"/>
    <s v="Downtime Opportunity"/>
    <s v="Hydraulic Dredge"/>
    <s v="Main Switchboard"/>
    <s v="Electrical*Main Switchboard"/>
    <x v="9"/>
    <x v="0"/>
  </r>
  <r>
    <x v="4"/>
    <s v="0103"/>
    <s v="Fuel Transfer Pump Set (#2) Monthly Inspection-Oper"/>
    <s v="Fuel Transfer Pump Set (#2)"/>
    <s v="EQUIPMENT"/>
    <s v="C"/>
    <s v="D"/>
    <s v="Downtime Opportunity"/>
    <s v="Hydraulic Dredge"/>
    <s v="Fuel Transfer Pump Set (#2)"/>
    <s v="Fuel Oil Transfer*Fuel Transfer Pump Set (#2)"/>
    <x v="12"/>
    <x v="0"/>
  </r>
  <r>
    <x v="4"/>
    <s v="0103"/>
    <s v="Fuel Transfer Pump Set (#1) Monthly Inspection-Oper"/>
    <s v="Fuel Transfer Pump Set (#1)"/>
    <s v="EQUIPMENT"/>
    <s v="C"/>
    <s v="D"/>
    <s v="Downtime Opportunity"/>
    <s v="Hydraulic Dredge"/>
    <s v="Fuel Transfer Pump Set (#1)"/>
    <s v="Fuel Oil Transfer*Fuel Transfer Pump Set (#1)"/>
    <x v="12"/>
    <x v="0"/>
  </r>
  <r>
    <x v="4"/>
    <s v="0103"/>
    <s v="Fuel Circulating Pump Set (#2) Monthly Inspection-Oper"/>
    <s v="Fuel Circulating Pump Set (#2)"/>
    <s v="EQUIPMENT"/>
    <s v="C"/>
    <s v="D"/>
    <s v="Downtime Opportunity"/>
    <s v="Hydraulic Dredge"/>
    <s v="Fuel Circulating Pump Set (#2)"/>
    <s v="Fuel Oil Transfer*Fuel Circulating Pump Set (#2)"/>
    <x v="12"/>
    <x v="0"/>
  </r>
  <r>
    <x v="4"/>
    <s v="0103"/>
    <s v="Fuel Circulating Pump Set (#1) Monthly Inspection-Oper"/>
    <s v="Fuel Circulating Pump Set (#1)"/>
    <s v="EQUIPMENT"/>
    <s v="C"/>
    <s v="D"/>
    <s v="Downtime Opportunity"/>
    <s v="Hydraulic Dredge"/>
    <s v="Fuel Circulating Pump Set (#1)"/>
    <s v="Fuel Oil Transfer*Fuel Circulating Pump Set (#1)"/>
    <x v="12"/>
    <x v="0"/>
  </r>
  <r>
    <x v="4"/>
    <s v="0103"/>
    <s v="Emergency Generator Basic Overhaul"/>
    <s v="Emergency Generator"/>
    <s v="EQUIPMENT"/>
    <s v="C"/>
    <s v="D"/>
    <s v="Downtime Opportunity"/>
    <s v="Hydraulic Dredge"/>
    <s v="Emergency Generator"/>
    <s v="Generators*Emergency Genset*Emergency Generator"/>
    <x v="4"/>
    <x v="0"/>
  </r>
  <r>
    <x v="4"/>
    <s v="0103"/>
    <s v="Auxiliary Generator Basic Overhaul"/>
    <s v="Auxiliary Generator"/>
    <s v="EQUIPMENT"/>
    <s v="C"/>
    <s v="D"/>
    <s v="Downtime Opportunity"/>
    <s v="Hydraulic Dredge"/>
    <s v="Auxiliary Generator"/>
    <s v="Generators*Auxiliary Genset*Auxiliary Generator"/>
    <x v="4"/>
    <x v="0"/>
  </r>
  <r>
    <x v="4"/>
    <s v="0103"/>
    <s v="Gland Seal Pump Set (#4) Quarterly PM/Inspection"/>
    <s v="xGland Seal Pump Set (#4)"/>
    <s v="EQUIPMENT"/>
    <s v="C"/>
    <s v="D"/>
    <s v="Running Work List"/>
    <s v="Hydraulic Dredge"/>
    <s v="xGland Seal Pump Set (#4)"/>
    <s v="Gland Seal*xGland Seal Pump Set (#4)"/>
    <x v="8"/>
    <x v="0"/>
  </r>
  <r>
    <x v="4"/>
    <s v="0103"/>
    <s v="Drive Soft Start (L/P Motor) Inspection"/>
    <s v="Drive, Soft Start (L/P Motor)"/>
    <s v="EQUIPMENT"/>
    <s v="A"/>
    <s v="D"/>
    <s v="Downtime Opportunity"/>
    <s v="Hydraulic Dredge"/>
    <s v="Drive, Soft Start (L/P Motor)"/>
    <s v="Pump, Ladder*Drive, Soft Start (L/P Motor)"/>
    <x v="11"/>
    <x v="0"/>
  </r>
  <r>
    <x v="4"/>
    <s v="0103"/>
    <s v="Desalinator (Port) Monthly Inspection"/>
    <s v="Desalinator (Port)"/>
    <s v="EQUIPMENT"/>
    <s v="D"/>
    <s v="D"/>
    <s v="Running Work List"/>
    <s v="Hydraulic Dredge"/>
    <s v="Desalinator (Port)"/>
    <s v="Potable Water*Desalinator (Port)"/>
    <x v="2"/>
    <x v="0"/>
  </r>
  <r>
    <x v="4"/>
    <s v="0103"/>
    <s v="Ladder Pump Gearbox 5000 HR PM"/>
    <s v="Ladder Pump Gearbox"/>
    <s v="EQUIPMENT"/>
    <s v="A"/>
    <s v="B"/>
    <s v="Downtime Opportunity"/>
    <s v="Hydraulic Dredge"/>
    <s v="Ladder Pump Gearbox"/>
    <s v="Pump, Ladder*Ladder Pump Gearbox"/>
    <x v="11"/>
    <x v="0"/>
  </r>
  <r>
    <x v="4"/>
    <s v="0103"/>
    <s v="Heat Exchanger (UWP Gearbox) Semi-Annual Inspection"/>
    <s v="Heat Exchanger (Gearbox)"/>
    <s v="EQUIPMENT"/>
    <s v="B"/>
    <s v="D"/>
    <s v="To Be Written"/>
    <s v="Hydraulic Dredge"/>
    <s v="Heat Exchanger (Gearbox)"/>
    <s v="Pump, Ladder*Heat Exchanger (Gearbox)"/>
    <x v="11"/>
    <x v="1"/>
  </r>
  <r>
    <x v="4"/>
    <s v="0103"/>
    <s v="Cooling Pump Set P/E Quarterly PM/Inspection"/>
    <s v="Cooling Pump Set P/E"/>
    <s v="EQUIPMENT"/>
    <s v="C"/>
    <s v="D"/>
    <s v="Running Work List"/>
    <s v="Hydraulic Dredge"/>
    <s v="Cooling Pump Set P/E"/>
    <s v="Raw Water*Cooling Pump Set P/E"/>
    <x v="16"/>
    <x v="0"/>
  </r>
  <r>
    <x v="4"/>
    <s v="0103"/>
    <s v="Cooling Pump Set G/E Quarterly PM/Inspection"/>
    <s v="Cooling Pump Set G/E"/>
    <s v="EQUIPMENT"/>
    <s v="C"/>
    <s v="D"/>
    <s v="Running Work List"/>
    <s v="Hydraulic Dredge"/>
    <s v="Cooling Pump Set G/E"/>
    <s v="Raw Water*Cooling Pump Set G/E"/>
    <x v="16"/>
    <x v="0"/>
  </r>
  <r>
    <x v="4"/>
    <s v="0103"/>
    <s v="Raw Water Standby Pump Set Quarterly PM/Inspection"/>
    <s v="Raw Water Standby Pump Set"/>
    <s v="EQUIPMENT"/>
    <s v="C"/>
    <s v="D"/>
    <s v="Running Work List"/>
    <s v="Hydraulic Dredge"/>
    <s v="Raw Water Standby Pump Set"/>
    <s v="Raw Water*Raw Water Standby Pump Set"/>
    <x v="16"/>
    <x v="0"/>
  </r>
  <r>
    <x v="4"/>
    <s v="0103"/>
    <s v="Cutter Bearing Water Pump Set Quarterly PM/Inspection"/>
    <s v="Cutter Bearing Water Pump Set"/>
    <s v="EQUIPMENT"/>
    <s v="C"/>
    <s v="D"/>
    <s v="Running Work List"/>
    <s v="Hydraulic Dredge"/>
    <s v="Cutter Bearing Water Pump Set"/>
    <s v="Raw Water*Cutter Bearing Water Pump Set"/>
    <x v="16"/>
    <x v="0"/>
  </r>
  <r>
    <x v="4"/>
    <s v="0103"/>
    <s v="Ladder Service Water Pump Set Quarterly PM/Inspection"/>
    <s v="Ladder Service Water Pump Set"/>
    <s v="EQUIPMENT"/>
    <s v="C"/>
    <s v="D"/>
    <s v="Running Work List"/>
    <s v="Hydraulic Dredge"/>
    <s v="Ladder Service Water Pump Set"/>
    <s v="Raw Water*Ladder Service Water Pump Set"/>
    <x v="16"/>
    <x v="0"/>
  </r>
  <r>
    <x v="4"/>
    <s v="0103"/>
    <s v="Engine Cooling Pump Set (CAT) Quarterly PM/Inspection"/>
    <s v="Engine Cooling Pump Set (CAT)"/>
    <s v="EQUIPMENT"/>
    <s v="C"/>
    <s v="D"/>
    <s v="Running Work List"/>
    <s v="Hydraulic Dredge"/>
    <s v="Engine Cooling Pump Set (CAT)"/>
    <s v="Raw Water*Engine Cooling Pump Set (CAT)"/>
    <x v="16"/>
    <x v="0"/>
  </r>
  <r>
    <x v="4"/>
    <s v="0103"/>
    <s v="Fire Pump Quarterly PM/Inspection"/>
    <s v="Fire Pump"/>
    <s v="EQUIPMENT"/>
    <s v="A"/>
    <s v="D"/>
    <s v="Running Work List"/>
    <s v="Hydraulic Dredge"/>
    <s v="Fire Pump"/>
    <s v="Safety Firefighting*Fire Pump"/>
    <x v="0"/>
    <x v="0"/>
  </r>
  <r>
    <x v="4"/>
    <s v="0103"/>
    <s v="Emergency Fire Pump Quarterly PM/Inspection"/>
    <s v="Emergency Fire Pump"/>
    <s v="EQUIPMENT"/>
    <s v="A"/>
    <s v="D"/>
    <s v="Running Work List"/>
    <s v="Hydraulic Dredge"/>
    <s v="Emergency Fire Pump"/>
    <s v="Safety Firefighting*Emergency Fire Pump"/>
    <x v="0"/>
    <x v="0"/>
  </r>
  <r>
    <x v="4"/>
    <s v="0103"/>
    <s v="MSD Semi-Annual PM/Inspection"/>
    <s v="MSD"/>
    <s v="EQUIPMENT"/>
    <s v="C"/>
    <s v="D"/>
    <s v="To Be Written"/>
    <s v="Hydraulic Dredge"/>
    <s v="MSD"/>
    <s v="Sanitation System*MSD"/>
    <x v="17"/>
    <x v="1"/>
  </r>
  <r>
    <x v="4"/>
    <s v="0103"/>
    <s v="SCR Drive Port (Swing) Monthly Inspection"/>
    <s v="SCR Drive Port (Swing)"/>
    <s v="EQUIPMENT"/>
    <s v="B"/>
    <s v="D"/>
    <s v="Downtime Opportunity"/>
    <s v="Hydraulic Dredge"/>
    <s v="SCR Drive Port (Swing)"/>
    <s v="Swing*SCR Drive Port (Swing)"/>
    <x v="19"/>
    <x v="0"/>
  </r>
  <r>
    <x v="4"/>
    <s v="0103"/>
    <s v="SCR Drive (Ladder) Monthly Inspection"/>
    <s v="SCR Drive (Ladder)"/>
    <s v="EQUIPMENT"/>
    <s v="A"/>
    <s v="D"/>
    <s v="Downtime Opportunity"/>
    <s v="Hydraulic Dredge"/>
    <s v="SCR Drive (Ladder)"/>
    <s v="Ladder System*SCR Drive (Ladder)"/>
    <x v="5"/>
    <x v="0"/>
  </r>
  <r>
    <x v="4"/>
    <s v="0103"/>
    <s v="SCR Drive Port (Cutter) Monthly Inspection"/>
    <s v="SCR Drive Port (Cutter)"/>
    <s v="EQUIPMENT"/>
    <s v="A"/>
    <s v="D"/>
    <s v="Downtime Opportunity"/>
    <s v="Hydraulic Dredge"/>
    <s v="SCR Drive Port (Cutter)"/>
    <s v="Cutter Machinery*SCR Drive Port (Cutter)"/>
    <x v="6"/>
    <x v="0"/>
  </r>
  <r>
    <x v="4"/>
    <s v="0103"/>
    <s v="Gyro-Compass Annual Inspection"/>
    <s v="Gyro-Compass"/>
    <s v="EQUIPMENT"/>
    <s v="C"/>
    <s v="D"/>
    <s v="Downtime Opportunity"/>
    <s v="Hydraulic Dredge"/>
    <s v="Gyro-Compass"/>
    <s v="Navigation/Communication*Gyro-Compass"/>
    <x v="27"/>
    <x v="0"/>
  </r>
  <r>
    <x v="4"/>
    <s v="0103"/>
    <s v="Motor Bilge Pump (10 HP) Annual PM/Inspection"/>
    <s v="Motor Bilge Pump (10 HP)"/>
    <s v="EQUIPMENT"/>
    <s v="D"/>
    <s v="D"/>
    <s v="To Be Written"/>
    <s v="Hydraulic Dredge"/>
    <s v="Motor Bilge Pump (10 HP)"/>
    <s v="Bilge/Ballast*Bilge Pump Set*Motor Bilge Pump (10 HP)"/>
    <x v="21"/>
    <x v="1"/>
  </r>
  <r>
    <x v="4"/>
    <s v="0103"/>
    <s v="Pump, Barnes Semi-Annual PM/Inspection"/>
    <s v="Pump, Barnes"/>
    <s v="EQUIPMENT"/>
    <s v="D"/>
    <s v="D"/>
    <s v="To Be Written"/>
    <s v="Hydraulic Dredge"/>
    <s v="Pump, Barnes"/>
    <s v="Bilge/Ballast*Bilge Pump Set*Pump, Barnes"/>
    <x v="21"/>
    <x v="1"/>
  </r>
  <r>
    <x v="4"/>
    <s v="0103"/>
    <s v="Air Compressor Set (# 03) 1000 HR PM"/>
    <s v="Air Compressor Set (# 03)"/>
    <s v="EQUIPMENT"/>
    <s v="C"/>
    <s v="D"/>
    <s v="Running Work List"/>
    <s v="Hydraulic Dredge"/>
    <s v="Air Compressor Set (# 03)"/>
    <s v="Compressed Air*Air Compressor Set (# 03)"/>
    <x v="10"/>
    <x v="0"/>
  </r>
  <r>
    <x v="4"/>
    <s v="0103"/>
    <s v="Air Compressor Set (# 02) 1000 HR PM"/>
    <s v="Air Compressor Set (# 02)"/>
    <s v="EQUIPMENT"/>
    <s v="C"/>
    <s v="D"/>
    <s v="Running Work List"/>
    <s v="Hydraulic Dredge"/>
    <s v="Air Compressor Set (# 02)"/>
    <s v="Compressed Air*Air Compressor Set (# 02)"/>
    <x v="10"/>
    <x v="0"/>
  </r>
  <r>
    <x v="4"/>
    <s v="0103"/>
    <s v="Air Compressor Set (# 01) 1000 HR PM"/>
    <s v="Air Compressor Set (# 01)"/>
    <s v="EQUIPMENT"/>
    <s v="C"/>
    <s v="D"/>
    <s v="Running Work List"/>
    <s v="Hydraulic Dredge"/>
    <s v="Air Compressor Set (# 01)"/>
    <s v="Compressed Air*Air Compressor Set (# 01)"/>
    <x v="10"/>
    <x v="0"/>
  </r>
  <r>
    <x v="4"/>
    <s v="0103"/>
    <s v="Air Compressor Set (# 03) 3000 HR PM"/>
    <s v="Air Compressor Set (# 03)"/>
    <s v="EQUIPMENT"/>
    <s v="C"/>
    <s v="D"/>
    <s v="Running Work List"/>
    <s v="Hydraulic Dredge"/>
    <s v="Air Compressor Set (# 03)"/>
    <s v="Compressed Air*Air Compressor Set (# 03)"/>
    <x v="10"/>
    <x v="0"/>
  </r>
  <r>
    <x v="4"/>
    <s v="0103"/>
    <s v="Air Compressor Set (# 02) 3000 HR PM"/>
    <s v="Air Compressor Set (# 02)"/>
    <s v="EQUIPMENT"/>
    <s v="C"/>
    <s v="D"/>
    <s v="Running Work List"/>
    <s v="Hydraulic Dredge"/>
    <s v="Air Compressor Set (# 02)"/>
    <s v="Compressed Air*Air Compressor Set (# 02)"/>
    <x v="10"/>
    <x v="0"/>
  </r>
  <r>
    <x v="4"/>
    <s v="0103"/>
    <s v="Air Compressor Set (# 01) 3000 HR PM"/>
    <s v="Air Compressor Set (# 01)"/>
    <s v="EQUIPMENT"/>
    <s v="C"/>
    <s v="D"/>
    <s v="Running Work List"/>
    <s v="Hydraulic Dredge"/>
    <s v="Air Compressor Set (# 01)"/>
    <s v="Compressed Air*Air Compressor Set (# 01)"/>
    <x v="10"/>
    <x v="0"/>
  </r>
  <r>
    <x v="4"/>
    <s v="0103"/>
    <s v="Overhead Hoist Annual Inspection"/>
    <s v="Overhead Hoist"/>
    <s v="EQUIPMENT"/>
    <s v="B"/>
    <s v="D"/>
    <s v="To Be Written"/>
    <s v="Hydraulic Dredge"/>
    <s v="Overhead Hoist"/>
    <s v="Crane/Hoists*Overhead Hoist"/>
    <x v="7"/>
    <x v="1"/>
  </r>
  <r>
    <x v="4"/>
    <s v="0103"/>
    <s v="Deck Crane Annual Inspection"/>
    <s v="Deck Crane"/>
    <s v="EQUIPMENT"/>
    <s v="B"/>
    <s v="D"/>
    <s v="Regulatory Requirement"/>
    <s v="Hydraulic Dredge"/>
    <s v="Deck Crane"/>
    <s v="Crane/Hoists*Deck Crane"/>
    <x v="7"/>
    <x v="0"/>
  </r>
  <r>
    <x v="4"/>
    <s v="0103"/>
    <s v="Cutter Gearbox Major Overhaul"/>
    <s v="Cutter Gearbox"/>
    <s v="EQUIPMENT"/>
    <s v="A"/>
    <s v="D"/>
    <s v="Draft"/>
    <s v="Hydraulic Dredge"/>
    <s v="Cutter Gearbox"/>
    <s v="Cutter Machinery*Cutter Gearbox"/>
    <x v="6"/>
    <x v="0"/>
  </r>
  <r>
    <x v="4"/>
    <s v="0103"/>
    <s v="Cutless Bearing Thordon Inspection"/>
    <s v="Cutless Bearing Thordon"/>
    <s v="EQUIPMENT"/>
    <s v="A"/>
    <s v="D"/>
    <s v="To Be Written"/>
    <s v="Hydraulic Dredge"/>
    <s v="Cutless Bearing Thordon"/>
    <s v="Cutter Machinery*Tailshaft*Cutless Bearing Thordon"/>
    <x v="6"/>
    <x v="1"/>
  </r>
  <r>
    <x v="4"/>
    <s v="0103"/>
    <s v="UPS Battery Replacement"/>
    <s v="UPS"/>
    <s v="EQUIPMENT"/>
    <s v="D"/>
    <s v="D"/>
    <s v="Draft"/>
    <s v="Hydraulic Dredge"/>
    <s v="UPS"/>
    <s v="Electrical*UPS"/>
    <x v="9"/>
    <x v="0"/>
  </r>
  <r>
    <x v="4"/>
    <s v="0103"/>
    <s v="Heat Exchanger (MGE Stbd) Semi-Annual Maintenance"/>
    <s v="Heat Exchanger (MGE Stbd)"/>
    <s v="EQUIPMENT"/>
    <s v="A"/>
    <s v="D"/>
    <s v="Downtime Opportunity"/>
    <s v="Hydraulic Dredge"/>
    <s v="Heat Exchanger (MGE Stbd)"/>
    <s v="Generators*Main Genset (Stbd)*Main Gen Engine Stbd (EMD 645)*Heat Exchanger (MGE Stbd)"/>
    <x v="4"/>
    <x v="0"/>
  </r>
  <r>
    <x v="4"/>
    <s v="0103"/>
    <s v="Heat Exchanger (MGE Port) Semi-Annual Maintenance"/>
    <s v="Heat Exchanger (MGE Port)"/>
    <s v="EQUIPMENT"/>
    <s v="A"/>
    <s v="D"/>
    <s v="Downtime Opportunity"/>
    <s v="Hydraulic Dredge"/>
    <s v="Heat Exchanger (MGE Port)"/>
    <s v="Generators*Main Genset (Port)*Main Gen Engine Port (EMD 645)*Heat Exchanger (MGE Port)"/>
    <x v="4"/>
    <x v="0"/>
  </r>
  <r>
    <x v="4"/>
    <s v="0103"/>
    <s v="Crown Block OVERHAUL"/>
    <s v="Crown Block"/>
    <s v="EQUIPMENT"/>
    <s v="A"/>
    <s v="D"/>
    <s v="Draft"/>
    <s v="Hydraulic Dredge"/>
    <s v="Crown Block"/>
    <s v="Ladder System*Crown Block"/>
    <x v="5"/>
    <x v="0"/>
  </r>
  <r>
    <x v="4"/>
    <s v="0103"/>
    <s v="Traveling Block OVERHAUL"/>
    <s v="Traveling Block"/>
    <s v="EQUIPMENT"/>
    <s v="A"/>
    <s v="D"/>
    <s v="Draft"/>
    <s v="Hydraulic Dredge"/>
    <s v="Traveling Block"/>
    <s v="Ladder System*Traveling Block"/>
    <x v="5"/>
    <x v="0"/>
  </r>
  <r>
    <x v="4"/>
    <s v="0103"/>
    <s v="Traveling Block Annual Inspection"/>
    <s v="Traveling Block"/>
    <s v="EQUIPMENT"/>
    <s v="A"/>
    <s v="D"/>
    <s v="To Be Written"/>
    <s v="Hydraulic Dredge"/>
    <s v="Traveling Block"/>
    <s v="Ladder System*Traveling Block"/>
    <x v="5"/>
    <x v="1"/>
  </r>
  <r>
    <x v="4"/>
    <s v="0103"/>
    <s v="Crown Block Annual Inspection"/>
    <s v="Crown Block"/>
    <s v="EQUIPMENT"/>
    <s v="A"/>
    <s v="D"/>
    <s v="To Be Written"/>
    <s v="Hydraulic Dredge"/>
    <s v="Crown Block"/>
    <s v="Ladder System*Crown Block"/>
    <x v="5"/>
    <x v="1"/>
  </r>
  <r>
    <x v="4"/>
    <s v="0103"/>
    <s v="Ladder Hoist Winch Wire Change"/>
    <s v="Ladder Hoist Winch"/>
    <s v="EQUIPMENT"/>
    <s v="B"/>
    <s v="D"/>
    <s v="To Be Written"/>
    <s v="Hydraulic Dredge"/>
    <s v="Ladder Hoist Winch"/>
    <s v="Ladder System*Ladder Hoist Winch"/>
    <x v="5"/>
    <x v="1"/>
  </r>
  <r>
    <x v="4"/>
    <s v="0103"/>
    <s v="Ladder Hoist Winch Wire Inspection"/>
    <s v="Ladder Hoist Winch"/>
    <s v="EQUIPMENT"/>
    <s v="B"/>
    <s v="D"/>
    <s v="To Be Written"/>
    <s v="Hydraulic Dredge"/>
    <s v="Ladder Hoist Winch"/>
    <s v="Ladder System*Ladder Hoist Winch"/>
    <x v="5"/>
    <x v="1"/>
  </r>
  <r>
    <x v="4"/>
    <s v="0103"/>
    <s v="Ladder Hoist Motor (GE-752) Removal"/>
    <s v="Motor, Ladder Hoist (GE-752)"/>
    <s v="EQUIPMENT"/>
    <s v="A"/>
    <s v="D"/>
    <s v="To Be Written"/>
    <s v="Hydraulic Dredge"/>
    <s v="Motor, Ladder Hoist (GE-752)"/>
    <s v="Ladder System*Ladder Hoist Winch*Motor, Ladder Hoist (GE-752)"/>
    <x v="5"/>
    <x v="1"/>
  </r>
  <r>
    <x v="4"/>
    <s v="0103"/>
    <s v="Ladder Hoist Motor (GE-752) Installation"/>
    <s v="Motor, Ladder Hoist (GE-752)"/>
    <s v="EQUIPMENT"/>
    <s v="A"/>
    <s v="D"/>
    <s v="To Be Written"/>
    <s v="Hydraulic Dredge"/>
    <s v="Motor, Ladder Hoist (GE-752)"/>
    <s v="Ladder System*Ladder Hoist Winch*Motor, Ladder Hoist (GE-752)"/>
    <x v="5"/>
    <x v="1"/>
  </r>
  <r>
    <x v="4"/>
    <s v="0103"/>
    <s v="Lube Oil Transfer Pump Set Monthly Inspection"/>
    <s v="Lube Oil Transfer Pump Set"/>
    <s v="EQUIPMENT"/>
    <s v="C"/>
    <s v="D"/>
    <s v="Downtime Opportunity"/>
    <s v="Hydraulic Dredge"/>
    <s v="Lube Oil Transfer Pump Set"/>
    <s v="Lube Oil Transfer*Lube Oil Transfer Pump Set"/>
    <x v="15"/>
    <x v="0"/>
  </r>
  <r>
    <x v="4"/>
    <s v="0103"/>
    <s v="Lube Oil Transfer Pump Set Annual Inspection"/>
    <s v="Lube Oil Transfer Pump Set"/>
    <s v="EQUIPMENT"/>
    <s v="C"/>
    <s v="D"/>
    <s v="To Be Written"/>
    <s v="Hydraulic Dredge"/>
    <s v="Lube Oil Transfer Pump Set"/>
    <s v="Lube Oil Transfer*Lube Oil Transfer Pump Set"/>
    <x v="15"/>
    <x v="1"/>
  </r>
  <r>
    <x v="4"/>
    <s v="0103"/>
    <s v="Dirty Oil Pump Set Annual Inspection"/>
    <s v="Dirty Oil Pump Set"/>
    <s v="EQUIPMENT"/>
    <s v="C"/>
    <s v="D"/>
    <s v="To Be Written"/>
    <s v="Hydraulic Dredge"/>
    <s v="Dirty Oil Pump Set"/>
    <s v="Lube Oil Transfer*Dirty Oil Pump Set"/>
    <x v="15"/>
    <x v="1"/>
  </r>
  <r>
    <x v="4"/>
    <s v="0103"/>
    <s v="EPIRB Annual Inspection"/>
    <s v="EPIRB"/>
    <s v="EQUIPMENT"/>
    <s v="D"/>
    <s v="D"/>
    <s v="To Be Written"/>
    <s v="Hydraulic Dredge"/>
    <s v="EPIRB"/>
    <s v="Navigation/Communication*EPIRB"/>
    <x v="27"/>
    <x v="1"/>
  </r>
  <r>
    <x v="4"/>
    <s v="0103"/>
    <s v="AIS\Tracking System Annual Certification"/>
    <s v="AIS\Tracking System"/>
    <s v="EQUIPMENT"/>
    <s v="D"/>
    <s v="D"/>
    <s v="To Be Written"/>
    <s v="Hydraulic Dredge"/>
    <s v="AIS\Tracking System"/>
    <s v="Navigation/Communication*AIS\Tracking System"/>
    <x v="27"/>
    <x v="1"/>
  </r>
  <r>
    <x v="4"/>
    <s v="0103"/>
    <s v="SSAS (Sat Phone) Annual Test &amp; Inspection"/>
    <s v="SSAS (Sat Phone)"/>
    <s v="EQUIPMENT"/>
    <s v="D"/>
    <s v="D"/>
    <s v="To Be Written"/>
    <s v="Hydraulic Dredge"/>
    <s v="SSAS (Sat Phone)"/>
    <s v="Navigation/Communication*SSAS (Sat Phone)"/>
    <x v="27"/>
    <x v="1"/>
  </r>
  <r>
    <x v="4"/>
    <s v="0103"/>
    <s v="VHF Radios Annual Survey"/>
    <s v="VHF Radios"/>
    <s v="EQUIPMENT"/>
    <s v="D"/>
    <s v="D"/>
    <s v="To Be Written"/>
    <s v="Hydraulic Dredge"/>
    <s v="VHF Radios"/>
    <s v="Navigation/Communication*VHF Radios"/>
    <x v="27"/>
    <x v="1"/>
  </r>
  <r>
    <x v="4"/>
    <s v="0103"/>
    <s v="A06B) Suction Relief Valve (IHC) Quarterly Inspection"/>
    <s v="A06B) Suction Relief Valve (IHC)"/>
    <s v="EQUIPMENT"/>
    <s v="B"/>
    <s v="D"/>
    <s v="To Be Written"/>
    <s v="Hydraulic Dredge"/>
    <s v="A06B) Suction Relief Valve (IHC)"/>
    <s v="Piping (Dredge)*A) Piping (Mouthpiece To Ladder Pump)*A06B) Suction Relief Valve (IHC)"/>
    <x v="25"/>
    <x v="1"/>
  </r>
  <r>
    <x v="4"/>
    <s v="0103"/>
    <s v="E21) Universal Coupling Inspection"/>
    <s v="E21) Universal Coupling"/>
    <s v="EQUIPMENT"/>
    <s v="A"/>
    <s v="D"/>
    <s v="To Be Written"/>
    <s v="Hydraulic Dredge"/>
    <s v="E21) Universal Coupling"/>
    <s v="Piping (Dredge)*E) Piping (Pump #2 to Stern)*E21) Universal Coupling"/>
    <x v="25"/>
    <x v="1"/>
  </r>
  <r>
    <x v="4"/>
    <s v="0103"/>
    <s v="E20A) Ball Turning Gland Inspection"/>
    <s v="E20A) Ball Turning Gland"/>
    <s v="EQUIPMENT"/>
    <s v="B"/>
    <s v="D"/>
    <s v="To Be Written"/>
    <s v="Hydraulic Dredge"/>
    <s v="E20A) Ball Turning Gland"/>
    <s v="Piping (Dredge)*E) Piping (Pump #2 to Stern)*E20A) Ball Turning Gland"/>
    <x v="25"/>
    <x v="1"/>
  </r>
  <r>
    <x v="4"/>
    <s v="0103"/>
    <s v="E20) Stern Swivel Inspection"/>
    <s v="E20) Stern Swivel"/>
    <s v="EQUIPMENT"/>
    <s v="B"/>
    <s v="D"/>
    <s v="To Be Written"/>
    <s v="Hydraulic Dredge"/>
    <s v="E20) Stern Swivel"/>
    <s v="Piping (Dredge)*E) Piping (Pump #2 to Stern)*E20) Stern Swivel"/>
    <x v="25"/>
    <x v="1"/>
  </r>
  <r>
    <x v="4"/>
    <s v="0103"/>
    <s v="Potable Water Pump Monthly Inspection"/>
    <s v="Potable Water Pump"/>
    <s v="EQUIPMENT"/>
    <s v="D"/>
    <s v="D"/>
    <s v="To Be Written"/>
    <s v="Hydraulic Dredge"/>
    <s v="Potable Water Pump"/>
    <s v="Potable Water*Potable Water Pump"/>
    <x v="2"/>
    <x v="1"/>
  </r>
  <r>
    <x v="4"/>
    <s v="0103"/>
    <s v="Heat Exchanger (DPE Stbd) Semi-Annual Maintenance"/>
    <s v="Heat Exchanger (DPE Stbd)"/>
    <s v="EQUIPMENT"/>
    <s v="B"/>
    <s v="D"/>
    <s v="Downtime Opportunity"/>
    <s v="Hydraulic Dredge"/>
    <s v="Heat Exchanger (DPE Stbd)"/>
    <s v="Pump, Dredge (Stbd)-OLD*Dredge Pump Engine Stbd (EMD 645)*Heat Exchanger (DPE Stbd)"/>
    <x v="30"/>
    <x v="0"/>
  </r>
  <r>
    <x v="4"/>
    <s v="0103"/>
    <s v="Heat Exchanger (DPE Port) Semi-Annual Maintenance"/>
    <s v="Heat Exchanger (DPE Port)"/>
    <s v="EQUIPMENT"/>
    <s v="B"/>
    <s v="D"/>
    <s v="Downtime Opportunity"/>
    <s v="Hydraulic Dredge"/>
    <s v="Heat Exchanger (DPE Port)"/>
    <s v="Pump, Dredge (Port)- OLD*Dredge Pump Engine (Port)*Heat Exchanger (DPE Port)"/>
    <x v="31"/>
    <x v="0"/>
  </r>
  <r>
    <x v="4"/>
    <s v="0103"/>
    <s v="Ladder Pump (Universal) Rebuild"/>
    <s v="Ladder Pump (Universal)"/>
    <s v="EQUIPMENT"/>
    <s v="A"/>
    <s v="D"/>
    <s v="To Be Written"/>
    <s v="Hydraulic Dredge"/>
    <s v="Ladder Pump (Universal)"/>
    <s v="Pump, Ladder*Ladder Pump (Universal)"/>
    <x v="11"/>
    <x v="1"/>
  </r>
  <r>
    <x v="4"/>
    <s v="0103"/>
    <s v="Fire Pump Annual Inspection"/>
    <s v="Fire Pump"/>
    <s v="EQUIPMENT"/>
    <s v="A"/>
    <s v="D"/>
    <s v="To Be Written"/>
    <s v="Hydraulic Dredge"/>
    <s v="Fire Pump"/>
    <s v="Safety Firefighting*Fire Pump"/>
    <x v="0"/>
    <x v="1"/>
  </r>
  <r>
    <x v="4"/>
    <s v="0103"/>
    <s v="Emergency Fire Pump Annual Inspection"/>
    <s v="Emergency Fire Pump"/>
    <s v="EQUIPMENT"/>
    <s v="A"/>
    <s v="D"/>
    <s v="To Be Written"/>
    <s v="Hydraulic Dredge"/>
    <s v="Emergency Fire Pump"/>
    <s v="Safety Firefighting*Emergency Fire Pump"/>
    <x v="0"/>
    <x v="1"/>
  </r>
  <r>
    <x v="4"/>
    <s v="0103"/>
    <s v="Emergency Fire Pump Engine 500 HR PM"/>
    <s v="Emergency Fire Pump Engine"/>
    <s v="EQUIPMENT"/>
    <s v="B"/>
    <s v="A"/>
    <s v="To Be Written"/>
    <s v="Hydraulic Dredge"/>
    <s v="Emergency Fire Pump Engine"/>
    <s v="Safety Firefighting*Emergency Fire Pump*Emergency Fire Pump Engine"/>
    <x v="0"/>
    <x v="1"/>
  </r>
  <r>
    <x v="4"/>
    <s v="0103"/>
    <s v="Emergency Fire Pump Engine 1000 HR (Overhaul)"/>
    <s v="Emergency Fire Pump Engine"/>
    <s v="EQUIPMENT"/>
    <s v="B"/>
    <s v="A"/>
    <s v="To Be Written"/>
    <s v="Hydraulic Dredge"/>
    <s v="Emergency Fire Pump Engine"/>
    <s v="Safety Firefighting*Emergency Fire Pump*Emergency Fire Pump Engine"/>
    <x v="0"/>
    <x v="1"/>
  </r>
  <r>
    <x v="4"/>
    <s v="0103"/>
    <s v="Emergency Fire Pump Engine Monthly Inspect/Test"/>
    <s v="Emergency Fire Pump Engine"/>
    <s v="EQUIPMENT"/>
    <s v="B"/>
    <s v="A"/>
    <s v="To Be Written"/>
    <s v="Hydraulic Dredge"/>
    <s v="Emergency Fire Pump Engine"/>
    <s v="Safety Firefighting*Emergency Fire Pump*Emergency Fire Pump Engine"/>
    <x v="0"/>
    <x v="1"/>
  </r>
  <r>
    <x v="4"/>
    <s v="0103"/>
    <s v="HPU Walking Spud Annual Inspection"/>
    <s v="HPU Walking Spud"/>
    <s v="EQUIPMENT"/>
    <s v="B"/>
    <s v="D"/>
    <s v="To Be Written"/>
    <s v="Hydraulic Dredge"/>
    <s v="HPU Walking Spud"/>
    <s v="Spud System*Walking Spud*HPU Walking Spud"/>
    <x v="18"/>
    <x v="1"/>
  </r>
  <r>
    <x v="4"/>
    <s v="0103"/>
    <s v="Spud Carriage Inspection"/>
    <s v="Spud Carriage"/>
    <s v="EQUIPMENT"/>
    <s v="A"/>
    <s v="D"/>
    <s v="To Be Written"/>
    <s v="Hydraulic Dredge"/>
    <s v="Spud Carriage"/>
    <s v="Spud System*Walking Spud*Spud Carriage"/>
    <x v="18"/>
    <x v="1"/>
  </r>
  <r>
    <x v="4"/>
    <s v="0103"/>
    <s v="Spud Inspection"/>
    <s v="Spud"/>
    <s v="EQUIPMENT"/>
    <s v="B"/>
    <s v="D"/>
    <s v="To Be Written"/>
    <s v="Hydraulic Dredge"/>
    <s v="Spud"/>
    <s v="Spud System*Walking Spud*Spud"/>
    <x v="18"/>
    <x v="1"/>
  </r>
  <r>
    <x v="4"/>
    <s v="0103"/>
    <s v="Clutch Inspection"/>
    <s v="Clutch"/>
    <s v="EQUIPMENT"/>
    <s v="C"/>
    <s v="D"/>
    <s v="To Be Written"/>
    <s v="Hydraulic Dredge"/>
    <s v="Clutch"/>
    <s v="Spud System*Fixed Spud/ Christmas Tree*Winch, Port, Middle (# 1)*Clutch"/>
    <x v="18"/>
    <x v="1"/>
  </r>
  <r>
    <x v="4"/>
    <s v="0103"/>
    <s v="Clutch Inspection"/>
    <s v="Clutch"/>
    <s v="EQUIPMENT"/>
    <s v="C"/>
    <s v="D"/>
    <s v="To Be Written"/>
    <s v="Hydraulic Dredge"/>
    <s v="Clutch"/>
    <s v="Spud System*Fixed Spud/ Christmas Tree*Winch, Spud Hoist (# 2)*Clutch"/>
    <x v="18"/>
    <x v="1"/>
  </r>
  <r>
    <x v="4"/>
    <s v="0103"/>
    <s v="Spud Winch Gearbox (Port) Annual Inspection"/>
    <s v="Spud Winch Gearbox (Port)"/>
    <s v="EQUIPMENT"/>
    <s v="B"/>
    <s v="D"/>
    <s v="To Be Written"/>
    <s v="Hydraulic Dredge"/>
    <s v="Spud Winch Gearbox (Port)"/>
    <s v="Spud System*Fixed Spud/ Christmas Tree*Winch, Port, Middle (# 1)*Spud Winch Gearbox (Port)"/>
    <x v="18"/>
    <x v="1"/>
  </r>
  <r>
    <x v="4"/>
    <s v="0103"/>
    <s v="Spud Hoist Gearbox Annual Inspection"/>
    <s v="Spud Hoist Gearbox"/>
    <s v="EQUIPMENT"/>
    <s v="B"/>
    <s v="D"/>
    <s v="To Be Written"/>
    <s v="Hydraulic Dredge"/>
    <s v="Spud Hoist Gearbox"/>
    <s v="Spud System*Fixed Spud/ Christmas Tree*Winch, Spud Hoist (# 2)*Spud Hoist Gearbox"/>
    <x v="18"/>
    <x v="1"/>
  </r>
  <r>
    <x v="4"/>
    <s v="0103"/>
    <s v="Winch Drum (Stbd Side) Wire Change"/>
    <s v="Winch Drum"/>
    <s v="EQUIPMENT"/>
    <s v="A"/>
    <s v="D"/>
    <s v="To Be Written"/>
    <s v="Hydraulic Dredge"/>
    <s v="Winch Drum"/>
    <s v="Swing*Swing Winch (Stbd)*Winch Drum"/>
    <x v="19"/>
    <x v="1"/>
  </r>
  <r>
    <x v="4"/>
    <s v="0103"/>
    <s v="Winch Drum (Port Swing) Wire Change"/>
    <s v="Winch Drum"/>
    <s v="EQUIPMENT"/>
    <s v="A"/>
    <s v="D"/>
    <s v="To Be Written"/>
    <s v="Hydraulic Dredge"/>
    <s v="Winch Drum"/>
    <s v="Swing*Swing Winch (Port)*Winch Drum"/>
    <x v="19"/>
    <x v="1"/>
  </r>
  <r>
    <x v="4"/>
    <s v="0103"/>
    <s v="Winch Drum (Stbd Side) Wire Inspection"/>
    <s v="Winch Drum"/>
    <s v="EQUIPMENT"/>
    <s v="A"/>
    <s v="D"/>
    <s v="To Be Written"/>
    <s v="Hydraulic Dredge"/>
    <s v="Winch Drum"/>
    <s v="Swing*Swing Winch (Stbd)*Winch Drum"/>
    <x v="19"/>
    <x v="1"/>
  </r>
  <r>
    <x v="4"/>
    <s v="0103"/>
    <s v="Winch Drum (Port Swing) Wire Inspection"/>
    <s v="Winch Drum"/>
    <s v="EQUIPMENT"/>
    <s v="A"/>
    <s v="D"/>
    <s v="To Be Written"/>
    <s v="Hydraulic Dredge"/>
    <s v="Winch Drum"/>
    <s v="Swing*Swing Winch (Port)*Winch Drum"/>
    <x v="19"/>
    <x v="1"/>
  </r>
  <r>
    <x v="4"/>
    <s v="0103"/>
    <s v="Swing Gearbox (Stbd) Annual PM/Inspection"/>
    <s v="Swing Gearbox (Stbd)"/>
    <s v="EQUIPMENT"/>
    <s v="B"/>
    <s v="D"/>
    <s v="Downtime Opportunity"/>
    <s v="Hydraulic Dredge"/>
    <s v="Swing Gearbox (Stbd)"/>
    <s v="Swing*Swing Winch (Stbd)*Swing Gearbox (Stbd)"/>
    <x v="19"/>
    <x v="0"/>
  </r>
  <r>
    <x v="4"/>
    <s v="0103"/>
    <s v="Swing Gearbox (Port) Annual PM/Inspection"/>
    <s v="Swing Gearbox (Port)"/>
    <s v="EQUIPMENT"/>
    <s v="B"/>
    <s v="D"/>
    <s v="Downtime Opportunity"/>
    <s v="Hydraulic Dredge"/>
    <s v="Swing Gearbox (Port)"/>
    <s v="Swing*Swing Winch (Port)*Swing Gearbox (Port)"/>
    <x v="19"/>
    <x v="0"/>
  </r>
  <r>
    <x v="4"/>
    <s v="0103"/>
    <s v="Heat Exchanger Port Tandem (Hunt) 1000 HR Inspection"/>
    <s v="Heat Exchanger Port Tandem (Hunt)"/>
    <s v="EQUIPMENT"/>
    <s v="A"/>
    <s v="D"/>
    <s v="To Be Written"/>
    <s v="Hydraulic Dredge"/>
    <s v="Heat Exchanger Port Tandem (Hunt)"/>
    <s v="Cutter Machinery*Canister*Heat Exchanger Port Tandem (Hunt)"/>
    <x v="6"/>
    <x v="1"/>
  </r>
  <r>
    <x v="4"/>
    <s v="0103"/>
    <s v="Heat Exchanger Stbd Upper (Hunt) 1000 HR Inspection"/>
    <s v="Heat Exchanger Stbd Tandem (Hunt)"/>
    <s v="EQUIPMENT"/>
    <s v="A"/>
    <s v="D"/>
    <s v="To Be Written"/>
    <s v="Hydraulic Dredge"/>
    <s v="Heat Exchanger Stbd Tandem (Hunt)"/>
    <s v="Cutter Machinery*Canister*Heat Exchanger Stbd Tandem (Hunt)"/>
    <x v="6"/>
    <x v="1"/>
  </r>
  <r>
    <x v="4"/>
    <s v="0103"/>
    <s v="Heat Exchanger Port Tandem (Hunt) 5000 HR Replacement"/>
    <s v="Heat Exchanger Port Tandem (Hunt)"/>
    <s v="EQUIPMENT"/>
    <s v="A"/>
    <s v="D"/>
    <s v="To Be Written"/>
    <s v="Hydraulic Dredge"/>
    <s v="Heat Exchanger Port Tandem (Hunt)"/>
    <s v="Cutter Machinery*Canister*Heat Exchanger Port Tandem (Hunt)"/>
    <x v="6"/>
    <x v="1"/>
  </r>
  <r>
    <x v="4"/>
    <s v="0103"/>
    <s v="Heat Exchanger Stbd Upper (Hunt) 5000 HR Replacement"/>
    <s v="Heat Exchanger Stbd Tandem (Hunt)"/>
    <s v="EQUIPMENT"/>
    <s v="A"/>
    <s v="D"/>
    <s v="To Be Written"/>
    <s v="Hydraulic Dredge"/>
    <s v="Heat Exchanger Stbd Tandem (Hunt)"/>
    <s v="Cutter Machinery*Canister*Heat Exchanger Stbd Tandem (Hunt)"/>
    <x v="6"/>
    <x v="1"/>
  </r>
  <r>
    <x v="4"/>
    <s v="0103"/>
    <s v="Gland Seal Pump Set (#4) Annual Inspection"/>
    <s v="xGland Seal Pump Set (#4)"/>
    <s v="EQUIPMENT"/>
    <s v="C"/>
    <s v="D"/>
    <s v="To Be Written"/>
    <s v="Hydraulic Dredge"/>
    <s v="xGland Seal Pump Set (#4)"/>
    <s v="Gland Seal*xGland Seal Pump Set (#4)"/>
    <x v="8"/>
    <x v="1"/>
  </r>
  <r>
    <x v="4"/>
    <s v="0103"/>
    <s v="Gland Seal Pump Set (#3) Annual Inspection"/>
    <s v="xGland Seal Pump Set (#3)"/>
    <s v="EQUIPMENT"/>
    <s v="C"/>
    <s v="D"/>
    <s v="To Be Written"/>
    <s v="Hydraulic Dredge"/>
    <s v="xGland Seal Pump Set (#3)"/>
    <s v="Gland Seal*xGland Seal Pump Set (#3)"/>
    <x v="8"/>
    <x v="1"/>
  </r>
  <r>
    <x v="4"/>
    <s v="0103"/>
    <s v="Gland Seal Pump Set (#2) Annual Inspection"/>
    <s v="xGland Seal Pump Set (#2)"/>
    <s v="EQUIPMENT"/>
    <s v="C"/>
    <s v="D"/>
    <s v="To Be Written"/>
    <s v="Hydraulic Dredge"/>
    <s v="xGland Seal Pump Set (#2)"/>
    <s v="Gland Seal*xGland Seal Pump Set (#2)"/>
    <x v="8"/>
    <x v="1"/>
  </r>
  <r>
    <x v="4"/>
    <s v="0103"/>
    <s v="Gland Seal Pump Set (#1) Annual Inspection"/>
    <s v="xGland Seal Pump Set (#1)"/>
    <s v="EQUIPMENT"/>
    <s v="C"/>
    <s v="D"/>
    <s v="To Be Written"/>
    <s v="Hydraulic Dredge"/>
    <s v="xGland Seal Pump Set (#1)"/>
    <s v="Gland Seal*xGland Seal Pump Set (#1)"/>
    <x v="8"/>
    <x v="1"/>
  </r>
  <r>
    <x v="4"/>
    <s v="0103"/>
    <s v="A/C Switch Gear Room Center Quarterly Clean/Inspect"/>
    <s v="A/C Switch Gear Room Center"/>
    <s v="EQUIPMENT"/>
    <s v="C"/>
    <s v="D"/>
    <s v="To Be Written"/>
    <s v="Hydraulic Dredge"/>
    <s v="A/C Switch Gear Room Center"/>
    <s v="HVAC*A/C Switch Gear Room Center"/>
    <x v="13"/>
    <x v="1"/>
  </r>
  <r>
    <x v="4"/>
    <s v="0103"/>
    <s v="A/C Switch Gear Room (Fwd) Quarterly Clean/Inspect"/>
    <s v="A/C Switch Gear Room (Fwd)"/>
    <s v="EQUIPMENT"/>
    <s v="C"/>
    <s v="D"/>
    <s v="To Be Written"/>
    <s v="Hydraulic Dredge"/>
    <s v="A/C Switch Gear Room (Fwd)"/>
    <s v="HVAC*A/C Switch Gear Room (Fwd)"/>
    <x v="13"/>
    <x v="1"/>
  </r>
  <r>
    <x v="4"/>
    <s v="0103"/>
    <s v="A/C Switch Gear Room (Aft) Quarterly Clean/Inspect"/>
    <s v="A/C Switch Gear Room (Aft)"/>
    <s v="EQUIPMENT"/>
    <s v="C"/>
    <s v="D"/>
    <s v="To Be Written"/>
    <s v="Hydraulic Dredge"/>
    <s v="A/C Switch Gear Room (Aft)"/>
    <s v="HVAC*A/C Switch Gear Room (Aft)"/>
    <x v="13"/>
    <x v="1"/>
  </r>
  <r>
    <x v="4"/>
    <s v="0103"/>
    <s v="A/C Lever Room Quarterly Clean/Inspect"/>
    <s v="A/C Lever Room"/>
    <s v="EQUIPMENT"/>
    <s v="D"/>
    <s v="D"/>
    <s v="To Be Written"/>
    <s v="Hydraulic Dredge"/>
    <s v="A/C Lever Room"/>
    <s v="HVAC*A/C Lever Room"/>
    <x v="13"/>
    <x v="1"/>
  </r>
  <r>
    <x v="4"/>
    <s v="0103"/>
    <s v="A/C Control Room Quarterly Clean/Inspect"/>
    <s v="A/C Control Room"/>
    <s v="EQUIPMENT"/>
    <s v="D"/>
    <s v="D"/>
    <s v="To Be Written"/>
    <s v="Hydraulic Dredge"/>
    <s v="A/C Control Room"/>
    <s v="HVAC*A/C Control Room"/>
    <x v="13"/>
    <x v="1"/>
  </r>
  <r>
    <x v="4"/>
    <s v="0103"/>
    <s v="A/C Chief Engineer Room Quarterly Clean/Inspect"/>
    <s v="A/C CE Room"/>
    <s v="EQUIPMENT"/>
    <s v="D"/>
    <s v="D"/>
    <s v="To Be Written"/>
    <s v="Hydraulic Dredge"/>
    <s v="A/C CE Room"/>
    <s v="HVAC*A/C CE Room"/>
    <x v="13"/>
    <x v="1"/>
  </r>
  <r>
    <x v="4"/>
    <s v="0103"/>
    <s v="HPU (Universal Coupling) Monthly Inspection"/>
    <s v="HPU (Universal Coupling)"/>
    <s v="EQUIPMENT"/>
    <s v="C"/>
    <s v="D"/>
    <s v="To Be Written"/>
    <s v="Hydraulic Dredge"/>
    <s v="HPU (Universal Coupling)"/>
    <s v="Hydraulic Systems*HPU (Universal Coupling)"/>
    <x v="14"/>
    <x v="1"/>
  </r>
  <r>
    <x v="4"/>
    <s v="0103"/>
    <s v="HPU (IHC Suction Relief Valve) Monthly Inspection"/>
    <s v="HPU (IHC Suction Relief Valve)"/>
    <s v="EQUIPMENT"/>
    <s v="C"/>
    <s v="D"/>
    <s v="To Be Written"/>
    <s v="Hydraulic Dredge"/>
    <s v="HPU (IHC Suction Relief Valve)"/>
    <s v="Hydraulic Systems*HPU (IHC Suction Relief Valve)"/>
    <x v="14"/>
    <x v="1"/>
  </r>
  <r>
    <x v="4"/>
    <s v="0103"/>
    <s v="HPU (Universal Coupling) Annual Inspection"/>
    <s v="HPU (Universal Coupling)"/>
    <s v="EQUIPMENT"/>
    <s v="C"/>
    <s v="D"/>
    <s v="To Be Written"/>
    <s v="Hydraulic Dredge"/>
    <s v="HPU (Universal Coupling)"/>
    <s v="Hydraulic Systems*HPU (Universal Coupling)"/>
    <x v="14"/>
    <x v="1"/>
  </r>
  <r>
    <x v="4"/>
    <s v="0103"/>
    <s v="HPU (IHC Suction Relief Valve) Annual Inspection"/>
    <s v="HPU (IHC Suction Relief Valve)"/>
    <s v="EQUIPMENT"/>
    <s v="C"/>
    <s v="D"/>
    <s v="To Be Written"/>
    <s v="Hydraulic Dredge"/>
    <s v="HPU (IHC Suction Relief Valve)"/>
    <s v="Hydraulic Systems*HPU (IHC Suction Relief Valve)"/>
    <x v="14"/>
    <x v="1"/>
  </r>
  <r>
    <x v="4"/>
    <s v="0103"/>
    <s v="Ladder Pump Gearbox 1000 HR PM"/>
    <s v="Ladder Pump Gearbox"/>
    <s v="EQUIPMENT"/>
    <s v="A"/>
    <s v="D"/>
    <s v="To Be Written"/>
    <s v="Hydraulic Dredge"/>
    <s v="Ladder Pump Gearbox"/>
    <s v="Pump, Ladder*Ladder Pump Gearbox"/>
    <x v="11"/>
    <x v="1"/>
  </r>
  <r>
    <x v="4"/>
    <s v="0103"/>
    <s v="Ladder Hoist Motor (GE-752) OVERHAUL"/>
    <s v="Motor, Ladder Hoist (GE-752)"/>
    <s v="EQUIPMENT"/>
    <s v="A"/>
    <s v="D"/>
    <s v="Downtime Opportunity"/>
    <s v="Hydraulic Dredge"/>
    <s v="Motor, Ladder Hoist (GE-752)"/>
    <s v="Ladder System*Ladder Hoist Winch*Motor, Ladder Hoist (GE-752)"/>
    <x v="5"/>
    <x v="0"/>
  </r>
  <r>
    <x v="4"/>
    <s v="0103"/>
    <s v="Ladder Pump Motor (#2) OVERHAUL"/>
    <s v="Ladder Pump Motor (#2)"/>
    <s v="EQUIPMENT"/>
    <s v="A"/>
    <s v="B"/>
    <s v="Downtime Opportunity"/>
    <s v="Hydraulic Dredge"/>
    <s v="Ladder Pump Motor (#2)"/>
    <s v="Pump, Ladder*Ladder Pump Motor (#2)"/>
    <x v="11"/>
    <x v="0"/>
  </r>
  <r>
    <x v="4"/>
    <s v="0103"/>
    <s v="Ladder Pump Motor (#1) OVERHAUL"/>
    <s v="Ladder Pump Motor (#1)"/>
    <s v="EQUIPMENT"/>
    <s v="A"/>
    <s v="B"/>
    <s v="Downtime Opportunity"/>
    <s v="Hydraulic Dredge"/>
    <s v="Ladder Pump Motor (#1)"/>
    <s v="Pump, Ladder*Ladder Pump Motor (#1)"/>
    <x v="11"/>
    <x v="0"/>
  </r>
  <r>
    <x v="4"/>
    <s v="0103"/>
    <s v="Pump, 3196 MTX Annual Inspection"/>
    <s v="Pump, 3196 MTX"/>
    <s v="EQUIPMENT"/>
    <s v="C"/>
    <s v="D"/>
    <s v="To Be Written"/>
    <s v="Hydraulic Dredge"/>
    <s v="Pump, 3196 MTX"/>
    <s v="Raw Water*Ladder Service Water Pump Set*Pump, 3196 MTX"/>
    <x v="16"/>
    <x v="1"/>
  </r>
  <r>
    <x v="4"/>
    <s v="0103"/>
    <s v="HPU (Spud Hoist) Monthly Inspection"/>
    <s v="HPU (Spud Hoist)"/>
    <s v="EQUIPMENT"/>
    <s v="B"/>
    <s v="D"/>
    <s v="To Be Written"/>
    <s v="Hydraulic Dredge"/>
    <s v="HPU (Spud Hoist)"/>
    <s v="Spud System*Fixed Spud/ Christmas Tree*Winch, Spud Hoist (# 2)*HPU (Spud Hoist)"/>
    <x v="18"/>
    <x v="1"/>
  </r>
  <r>
    <x v="4"/>
    <s v="0103"/>
    <s v="HPU (Spud Hoist) Annual Inspection"/>
    <s v="HPU (Spud Hoist)"/>
    <s v="EQUIPMENT"/>
    <s v="B"/>
    <s v="D"/>
    <s v="To Be Written"/>
    <s v="Hydraulic Dredge"/>
    <s v="HPU (Spud Hoist)"/>
    <s v="Spud System*Fixed Spud/ Christmas Tree*Winch, Spud Hoist (# 2)*HPU (Spud Hoist)"/>
    <x v="18"/>
    <x v="1"/>
  </r>
  <r>
    <x v="4"/>
    <s v="0103"/>
    <s v="Swing Winch Motor (Stbd) (GE-752) OVERHAUL"/>
    <s v="Swing Winch Motor (Stbd) (GE-752)"/>
    <s v="EQUIPMENT"/>
    <s v="B"/>
    <s v="D"/>
    <s v="Downtime Opportunity"/>
    <s v="Hydraulic Dredge"/>
    <s v="Swing Winch Motor (Stbd) (GE-752)"/>
    <s v="Swing*Swing Winch (Stbd)*Swing Winch Motor (Stbd) (GE-752)"/>
    <x v="19"/>
    <x v="0"/>
  </r>
  <r>
    <x v="4"/>
    <s v="0103"/>
    <s v="Swing Winch Motor (Port) (GE-752) OVERHAUL"/>
    <s v="Swing Winch Motor (Port) (GE-752)"/>
    <s v="EQUIPMENT"/>
    <s v="B"/>
    <s v="D"/>
    <s v="Downtime Opportunity"/>
    <s v="Hydraulic Dredge"/>
    <s v="Swing Winch Motor (Port) (GE-752)"/>
    <s v="Swing*Swing Winch (Port)*Swing Winch Motor (Port) (GE-752)"/>
    <x v="19"/>
    <x v="0"/>
  </r>
  <r>
    <x v="4"/>
    <s v="0103"/>
    <s v="Heat Exchanger (Aux Gen) Semi-Annual Maintenance"/>
    <s v="Heat Exchanger (Aux Gen)"/>
    <s v="EQUIPMENT"/>
    <s v="C"/>
    <s v="D"/>
    <s v="Downtime Opportunity"/>
    <s v="Hydraulic Dredge"/>
    <s v="Heat Exchanger (Aux Gen)"/>
    <s v="Generators*Auxiliary Genset*Auxiliary Generator Engine (CAT D399)*Heat Exchanger (Aux Gen)"/>
    <x v="4"/>
    <x v="0"/>
  </r>
  <r>
    <x v="4"/>
    <s v="0103"/>
    <s v="Canister Water Tight Test"/>
    <s v="Canister"/>
    <s v="EQUIPMENT"/>
    <s v="B"/>
    <s v="D"/>
    <s v="To Be Written"/>
    <s v="Hydraulic Dredge"/>
    <s v="Canister"/>
    <s v="Cutter Machinery*Canister"/>
    <x v="6"/>
    <x v="1"/>
  </r>
  <r>
    <x v="4"/>
    <s v="0103"/>
    <s v="Main Generator Port 1000 HR PM"/>
    <s v="Main Generator Port"/>
    <s v="EQUIPMENT"/>
    <s v="A"/>
    <s v="A"/>
    <s v="Downtime Opportunity"/>
    <s v="Hydraulic Dredge"/>
    <s v="Main Generator Port"/>
    <s v="Generators*Main Genset (Port)*Main Generator Port"/>
    <x v="4"/>
    <x v="0"/>
  </r>
  <r>
    <x v="4"/>
    <s v="0103"/>
    <s v="Main Generator Stbd 1000 HR PM"/>
    <s v="Main Generator Stbd"/>
    <s v="EQUIPMENT"/>
    <s v="A"/>
    <s v="A"/>
    <s v="Downtime Opportunity"/>
    <s v="Hydraulic Dredge"/>
    <s v="Main Generator Stbd"/>
    <s v="Generators*Main Genset (Stbd)*Main Generator Stbd"/>
    <x v="4"/>
    <x v="0"/>
  </r>
  <r>
    <x v="4"/>
    <s v="0103"/>
    <s v="Lifting Hook, Impeller (OH-UWP) Annual Inspection"/>
    <s v="Ladder Pump (Universal)"/>
    <s v="EQUIPMENT"/>
    <s v="A"/>
    <s v="D"/>
    <s v="Running Work List"/>
    <s v="Hydraulic Dredge"/>
    <s v="Ladder Pump (Universal)"/>
    <s v="Pump, Ladder*Ladder Pump (Universal)"/>
    <x v="11"/>
    <x v="0"/>
  </r>
  <r>
    <x v="4"/>
    <s v="0103"/>
    <s v="Swing Winch (Stbd) Annual Inspection"/>
    <s v="Swing Winch (Stbd)"/>
    <s v="EQUIPMENT"/>
    <s v="B"/>
    <s v="D"/>
    <s v="Downtime Opportunity"/>
    <s v="Hydraulic Dredge"/>
    <s v="Swing Winch (Stbd)"/>
    <s v="Swing*Swing Winch (Stbd)"/>
    <x v="19"/>
    <x v="0"/>
  </r>
  <r>
    <x v="4"/>
    <s v="0103"/>
    <s v="Swing Winch (Port) Annual Inspection"/>
    <s v="Swing Winch (Port)"/>
    <s v="EQUIPMENT"/>
    <s v="B"/>
    <s v="D"/>
    <s v="Downtime Opportunity"/>
    <s v="Hydraulic Dredge"/>
    <s v="Swing Winch (Port)"/>
    <s v="Swing*Swing Winch (Port)"/>
    <x v="19"/>
    <x v="0"/>
  </r>
  <r>
    <x v="4"/>
    <s v="0103"/>
    <s v="Ladder Pump Gearbox Quarterly PM/Inspection"/>
    <s v="Ladder Pump Gearbox"/>
    <s v="EQUIPMENT"/>
    <s v="A"/>
    <s v="D"/>
    <s v="Downtime Opportunity"/>
    <s v="Hydraulic Dredge"/>
    <s v="Ladder Pump Gearbox"/>
    <s v="Pump, Ladder*Ladder Pump Gearbox"/>
    <x v="11"/>
    <x v="0"/>
  </r>
  <r>
    <x v="4"/>
    <s v="0103"/>
    <s v="Dredge Pump Engine (Stbd) 700 HR PM"/>
    <s v="Dredge Pump Engine (Stbd)"/>
    <s v="EQUIPMENT"/>
    <s v="A"/>
    <s v="D"/>
    <s v="Downtime Opportunity"/>
    <s v="Hydraulic Dredge"/>
    <s v="Dredge Pump Engine (Stbd)"/>
    <s v="Pump, Dredge Stbd (New)*Dredge Pump Engine (Stbd)"/>
    <x v="32"/>
    <x v="0"/>
  </r>
  <r>
    <x v="4"/>
    <s v="0103"/>
    <s v="Dredge Pump Engine (Port) 700 HR PM"/>
    <s v="Dredge Pump Engine (Port)"/>
    <s v="EQUIPMENT"/>
    <s v="B"/>
    <s v="D"/>
    <s v="Downtime Opportunity"/>
    <s v="Hydraulic Dredge"/>
    <s v="Dredge Pump Engine (Port)"/>
    <s v="Pump, Dredge Port (New)*Dredge Pump Engine (Port)"/>
    <x v="33"/>
    <x v="0"/>
  </r>
  <r>
    <x v="4"/>
    <s v="0103"/>
    <s v="Dredge Pump Engine (Stbd) 2000 HR PM/Inspection"/>
    <s v="Dredge Pump Engine (Stbd)"/>
    <s v="EQUIPMENT"/>
    <s v="A"/>
    <s v="D"/>
    <s v="Downtime Opportunity"/>
    <s v="Hydraulic Dredge"/>
    <s v="Dredge Pump Engine (Stbd)"/>
    <s v="Pump, Dredge Stbd (New)*Dredge Pump Engine (Stbd)"/>
    <x v="32"/>
    <x v="0"/>
  </r>
  <r>
    <x v="4"/>
    <s v="0103"/>
    <s v="Dredge Pump Engine (Port) 2000 HR PM/Inspection"/>
    <s v="Dredge Pump Engine (Port)"/>
    <s v="EQUIPMENT"/>
    <s v="B"/>
    <s v="D"/>
    <s v="Downtime Opportunity"/>
    <s v="Hydraulic Dredge"/>
    <s v="Dredge Pump Engine (Port)"/>
    <s v="Pump, Dredge Port (New)*Dredge Pump Engine (Port)"/>
    <x v="33"/>
    <x v="0"/>
  </r>
  <r>
    <x v="4"/>
    <s v="0103"/>
    <s v="Dredge Pump Engine (Stbd) 4000 HR PM/Inspection"/>
    <s v="Dredge Pump Engine (Stbd)"/>
    <s v="EQUIPMENT"/>
    <s v="A"/>
    <s v="D"/>
    <s v="Downtime Opportunity"/>
    <s v="Hydraulic Dredge"/>
    <s v="Dredge Pump Engine (Stbd)"/>
    <s v="Pump, Dredge Stbd (New)*Dredge Pump Engine (Stbd)"/>
    <x v="32"/>
    <x v="0"/>
  </r>
  <r>
    <x v="4"/>
    <s v="0103"/>
    <s v="Dredge Pump Engine (Port) 4000 HR PM/Inspection"/>
    <s v="Dredge Pump Engine (Port)"/>
    <s v="EQUIPMENT"/>
    <s v="B"/>
    <s v="D"/>
    <s v="Downtime Opportunity"/>
    <s v="Hydraulic Dredge"/>
    <s v="Dredge Pump Engine (Port)"/>
    <s v="Pump, Dredge Port (New)*Dredge Pump Engine (Port)"/>
    <x v="33"/>
    <x v="0"/>
  </r>
  <r>
    <x v="4"/>
    <s v="0103"/>
    <s v="Dredge Pump Engine (Stbd) 8000 HR PM/Inspection"/>
    <s v="Dredge Pump Engine (Stbd)"/>
    <s v="EQUIPMENT"/>
    <s v="A"/>
    <s v="D"/>
    <s v="Downtime Opportunity"/>
    <s v="Hydraulic Dredge"/>
    <s v="Dredge Pump Engine (Stbd)"/>
    <s v="Pump, Dredge Stbd (New)*Dredge Pump Engine (Stbd)"/>
    <x v="32"/>
    <x v="0"/>
  </r>
  <r>
    <x v="4"/>
    <s v="0103"/>
    <s v="Dredge Pump Engine (Port) 8000 HR PM/Inspection"/>
    <s v="Dredge Pump Engine (Port)"/>
    <s v="EQUIPMENT"/>
    <s v="B"/>
    <s v="D"/>
    <s v="Downtime Opportunity"/>
    <s v="Hydraulic Dredge"/>
    <s v="Dredge Pump Engine (Port)"/>
    <s v="Pump, Dredge Port (New)*Dredge Pump Engine (Port)"/>
    <x v="33"/>
    <x v="0"/>
  </r>
  <r>
    <x v="4"/>
    <s v="0103"/>
    <s v="Dredge Pump Engine (Stbd) 16000 HR PM/Inspection"/>
    <s v="Dredge Pump Engine (Stbd)"/>
    <s v="EQUIPMENT"/>
    <s v="A"/>
    <s v="D"/>
    <s v="Downtime Opportunity"/>
    <s v="Hydraulic Dredge"/>
    <s v="Dredge Pump Engine (Stbd)"/>
    <s v="Pump, Dredge Stbd (New)*Dredge Pump Engine (Stbd)"/>
    <x v="32"/>
    <x v="0"/>
  </r>
  <r>
    <x v="4"/>
    <s v="0103"/>
    <s v="Dredge Pump Engine (Port) 16000 HR PM/Inspection"/>
    <s v="Dredge Pump Engine (Port)"/>
    <s v="EQUIPMENT"/>
    <s v="B"/>
    <s v="D"/>
    <s v="Downtime Opportunity"/>
    <s v="Hydraulic Dredge"/>
    <s v="Dredge Pump Engine (Port)"/>
    <s v="Pump, Dredge Port (New)*Dredge Pump Engine (Port)"/>
    <x v="33"/>
    <x v="0"/>
  </r>
  <r>
    <x v="4"/>
    <s v="0103"/>
    <s v="Dredge Pump Engine (Stbd) Pre-Overhaul Inspection"/>
    <s v="Dredge Pump Engine (Stbd)"/>
    <s v="EQUIPMENT"/>
    <s v="A"/>
    <s v="D"/>
    <s v="Downtime Opportunity"/>
    <s v="Hydraulic Dredge"/>
    <s v="Dredge Pump Engine (Stbd)"/>
    <s v="Pump, Dredge Stbd (New)*Dredge Pump Engine (Stbd)"/>
    <x v="32"/>
    <x v="0"/>
  </r>
  <r>
    <x v="4"/>
    <s v="0103"/>
    <s v="Dredge Pump Engine (Port) Pre-Overhaul Inspection"/>
    <s v="Dredge Pump Engine (Port)"/>
    <s v="EQUIPMENT"/>
    <s v="B"/>
    <s v="D"/>
    <s v="Downtime Opportunity"/>
    <s v="Hydraulic Dredge"/>
    <s v="Dredge Pump Engine (Port)"/>
    <s v="Pump, Dredge Port (New)*Dredge Pump Engine (Port)"/>
    <x v="33"/>
    <x v="0"/>
  </r>
  <r>
    <x v="4"/>
    <s v="0103"/>
    <s v="Dredge Pump Engine (Stbd) 30000 HR PM (Overhaul)"/>
    <s v="Dredge Pump Engine (Stbd)"/>
    <s v="EQUIPMENT"/>
    <s v="A"/>
    <s v="D"/>
    <s v="Idle/Inactive Period"/>
    <s v="Hydraulic Dredge"/>
    <s v="Dredge Pump Engine (Stbd)"/>
    <s v="Pump, Dredge Stbd (New)*Dredge Pump Engine (Stbd)"/>
    <x v="32"/>
    <x v="0"/>
  </r>
  <r>
    <x v="4"/>
    <s v="0103"/>
    <s v="Dredge Pump Engine (Port) 30000 HR PM (Overhaul)"/>
    <s v="Dredge Pump Engine (Port)"/>
    <s v="EQUIPMENT"/>
    <s v="B"/>
    <s v="D"/>
    <s v="Idle/Inactive Period"/>
    <s v="Hydraulic Dredge"/>
    <s v="Dredge Pump Engine (Port)"/>
    <s v="Pump, Dredge Port (New)*Dredge Pump Engine (Port)"/>
    <x v="33"/>
    <x v="0"/>
  </r>
  <r>
    <x v="4"/>
    <s v="0103"/>
    <s v="Pump Bearing Assembly (Stbd) 2000 HR PM"/>
    <s v="Pump Bearing Assembly (Stbd)"/>
    <s v="EQUIPMENT"/>
    <s v="B"/>
    <s v="D"/>
    <s v="Downtime Opportunity"/>
    <s v="Hydraulic Dredge"/>
    <s v="Pump Bearing Assembly (Stbd)"/>
    <s v="Pump, Dredge Stbd (New)*Drive Line (Stbd)*Pump Bearing Assembly (Stbd)"/>
    <x v="32"/>
    <x v="0"/>
  </r>
  <r>
    <x v="4"/>
    <s v="0103"/>
    <s v="Pump Bearing Assembly (Port) 2000 HR PM"/>
    <s v="Pump Bearing Assembly (Port)"/>
    <s v="EQUIPMENT"/>
    <s v="B"/>
    <s v="D"/>
    <s v="Downtime Opportunity"/>
    <s v="Hydraulic Dredge"/>
    <s v="Pump Bearing Assembly (Port)"/>
    <s v="Pump, Dredge Port (New)*Drive Line (Port)*Pump Bearing Assembly (Port)"/>
    <x v="33"/>
    <x v="0"/>
  </r>
  <r>
    <x v="4"/>
    <s v="0103"/>
    <s v="Dredge Pump (Stbd) Pressure/Flow Test"/>
    <s v="Dredge Pump (Stbd)"/>
    <s v="EQUIPMENT"/>
    <s v="A"/>
    <s v="D"/>
    <s v="To Be Written"/>
    <s v="Hydraulic Dredge"/>
    <s v="Dredge Pump (Stbd)"/>
    <s v="Pump, Dredge Stbd (New)*Dredge Pump (Stbd)"/>
    <x v="32"/>
    <x v="1"/>
  </r>
  <r>
    <x v="4"/>
    <s v="0103"/>
    <s v="Dredge Pump (Port) Pressure/Flow Test"/>
    <s v="Dredge Pump (Port)"/>
    <s v="EQUIPMENT"/>
    <s v="A"/>
    <s v="D"/>
    <s v="To Be Written"/>
    <s v="Hydraulic Dredge"/>
    <s v="Dredge Pump (Port)"/>
    <s v="Pump, Dredge Port (New)*Dredge Pump (Port)"/>
    <x v="33"/>
    <x v="1"/>
  </r>
  <r>
    <x v="4"/>
    <s v="0103"/>
    <s v="Dredge Pump (Stbd) Set Nose Gap"/>
    <s v="Dredge Pump (Stbd)"/>
    <s v="EQUIPMENT"/>
    <s v="A"/>
    <s v="D"/>
    <s v="Downtime Opportunity"/>
    <s v="Hydraulic Dredge"/>
    <s v="Dredge Pump (Stbd)"/>
    <s v="Pump, Dredge Stbd (New)*Dredge Pump (Stbd)"/>
    <x v="32"/>
    <x v="0"/>
  </r>
  <r>
    <x v="4"/>
    <s v="0103"/>
    <s v="Dredge Pump (Port) Set Nose Gap"/>
    <s v="Dredge Pump (Port)"/>
    <s v="EQUIPMENT"/>
    <s v="A"/>
    <s v="D"/>
    <s v="Downtime Opportunity"/>
    <s v="Hydraulic Dredge"/>
    <s v="Dredge Pump (Port)"/>
    <s v="Pump, Dredge Port (New)*Dredge Pump (Port)"/>
    <x v="33"/>
    <x v="0"/>
  </r>
  <r>
    <x v="4"/>
    <s v="0103"/>
    <s v="Dredge Pump Gearbox (Stbd) Semi-Annual Inspection"/>
    <s v="Dredge Pump Gearbox (Stbd)"/>
    <s v="EQUIPMENT"/>
    <s v="B"/>
    <s v="D"/>
    <s v="Downtime Opportunity"/>
    <s v="Hydraulic Dredge"/>
    <s v="Dredge Pump Gearbox (Stbd)"/>
    <s v="Pump, Dredge Stbd (New)*Dredge Pump Gearbox (Stbd)"/>
    <x v="32"/>
    <x v="0"/>
  </r>
  <r>
    <x v="4"/>
    <s v="0103"/>
    <s v="Dredge Pump Gearbox (Port) Semi-Annual Inspection"/>
    <s v="Dredge Pump Gearbox (Port)"/>
    <s v="EQUIPMENT"/>
    <s v="B"/>
    <s v="D"/>
    <s v="Downtime Opportunity"/>
    <s v="Hydraulic Dredge"/>
    <s v="Dredge Pump Gearbox (Port)"/>
    <s v="Pump, Dredge Port (New)*Dredge Pump Gearbox (Port)"/>
    <x v="33"/>
    <x v="0"/>
  </r>
  <r>
    <x v="4"/>
    <s v="0103"/>
    <s v="Coupling (Atra-Flex) Annual Inspection"/>
    <s v="Coupling (Atra-Flex)"/>
    <s v="EQUIPMENT"/>
    <s v="B"/>
    <s v="D"/>
    <s v="To Be Written"/>
    <s v="Hydraulic Dredge"/>
    <s v="Coupling (Atra-Flex)"/>
    <s v="Pump, Dredge Stbd (New)*Drive Line (Stbd)*Coupling (Atra-Flex)"/>
    <x v="32"/>
    <x v="1"/>
  </r>
  <r>
    <x v="4"/>
    <s v="0103"/>
    <s v="Coupling (Atra-Flex) Annual Inspection"/>
    <s v="Coupling (Atra-Flex)"/>
    <s v="EQUIPMENT"/>
    <s v="B"/>
    <s v="D"/>
    <s v="To Be Written"/>
    <s v="Hydraulic Dredge"/>
    <s v="Coupling (Atra-Flex)"/>
    <s v="Pump, Dredge Port (New)*Drive Line (Port)*Coupling (Atra-Flex)"/>
    <x v="33"/>
    <x v="1"/>
  </r>
  <r>
    <x v="4"/>
    <s v="0103"/>
    <s v="Thrust Bearing Element Replacement"/>
    <s v="Thrust Bearing"/>
    <s v="EQUIPMENT"/>
    <s v="A"/>
    <s v="D"/>
    <s v="Downtime Opportunity"/>
    <s v="Hydraulic Dredge"/>
    <s v="Thrust Bearing"/>
    <s v="Cutter Machinery*Thrust Bearing"/>
    <x v="6"/>
    <x v="0"/>
  </r>
  <r>
    <x v="4"/>
    <s v="0103"/>
    <s v="Thrust Bearing Inspection"/>
    <s v="Thrust Bearing"/>
    <s v="EQUIPMENT"/>
    <s v="A"/>
    <s v="D"/>
    <s v="Downtime Opportunity"/>
    <s v="Hydraulic Dredge"/>
    <s v="Thrust Bearing"/>
    <s v="Cutter Machinery*Thrust Bearing"/>
    <x v="6"/>
    <x v="0"/>
  </r>
  <r>
    <x v="4"/>
    <s v="0103"/>
    <s v="Thrust Bearing Commissioning"/>
    <s v="Thrust Bearing"/>
    <s v="EQUIPMENT"/>
    <s v="A"/>
    <s v="D"/>
    <s v="Downtime Opportunity"/>
    <s v="Hydraulic Dredge"/>
    <s v="Thrust Bearing"/>
    <s v="Cutter Machinery*Thrust Bearing"/>
    <x v="6"/>
    <x v="0"/>
  </r>
  <r>
    <x v="4"/>
    <s v="0103"/>
    <s v="M/G Engine Stbd 8000 HR PM (Job # 1)"/>
    <s v="Main Gen Engine Stbd (EMD 645)"/>
    <s v="EQUIPMENT"/>
    <s v="A"/>
    <s v="D"/>
    <s v="Downtime Opportunity"/>
    <s v="Hydraulic Dredge"/>
    <s v="Main Gen Engine Stbd (EMD 645)"/>
    <s v="Generators*Main Genset (Stbd)*Main Gen Engine Stbd (EMD 645)"/>
    <x v="4"/>
    <x v="0"/>
  </r>
  <r>
    <x v="4"/>
    <s v="0103"/>
    <s v="M/G Engine Port 8000 HR PM (Job # 1)"/>
    <s v="Main Gen Engine Port (EMD 645)"/>
    <s v="EQUIPMENT"/>
    <s v="A"/>
    <s v="D"/>
    <s v="Downtime Opportunity"/>
    <s v="Hydraulic Dredge"/>
    <s v="Main Gen Engine Port (EMD 645)"/>
    <s v="Generators*Main Genset (Port)*Main Gen Engine Port (EMD 645)"/>
    <x v="4"/>
    <x v="0"/>
  </r>
  <r>
    <x v="4"/>
    <s v="0103"/>
    <s v="Cutter Motor (Stbd) 2500 HR PM"/>
    <s v="Cutter Motor (Stbd)"/>
    <s v="EQUIPMENT"/>
    <s v="A"/>
    <s v="D"/>
    <s v="Downtime Opportunity"/>
    <s v="Hydraulic Dredge"/>
    <s v="Cutter Motor (Stbd)"/>
    <s v="Cutter Machinery*Cutter Motor (Stbd)"/>
    <x v="6"/>
    <x v="0"/>
  </r>
  <r>
    <x v="4"/>
    <s v="0103"/>
    <s v="Cutter Motor (Port) 2500 HR PM"/>
    <s v="Cutter Motor (Port)"/>
    <s v="EQUIPMENT"/>
    <s v="A"/>
    <s v="D"/>
    <s v="Downtime Opportunity"/>
    <s v="Hydraulic Dredge"/>
    <s v="Cutter Motor (Port)"/>
    <s v="Cutter Machinery*Cutter Motor (Port)"/>
    <x v="6"/>
    <x v="0"/>
  </r>
  <r>
    <x v="4"/>
    <s v="0103"/>
    <s v="Cutter Motor (Port) Removal"/>
    <s v="Cutter Motor (Port)"/>
    <s v="EQUIPMENT"/>
    <s v="A"/>
    <s v="B"/>
    <s v="To Be Written"/>
    <s v="Hydraulic Dredge"/>
    <s v="Cutter Motor (Port)"/>
    <s v="Cutter Machinery*Cutter Motor (Port)"/>
    <x v="6"/>
    <x v="1"/>
  </r>
  <r>
    <x v="4"/>
    <s v="0103"/>
    <s v="Auxiliary Generator Engine (CAT D399) 750 HR PM/Inspection"/>
    <s v="Auxiliary Generator Engine (CAT D399)"/>
    <s v="EQUIPMENT"/>
    <s v="B"/>
    <s v="D"/>
    <s v="Running Work List"/>
    <s v="Hydraulic Dredge"/>
    <s v="Auxiliary Generator Engine (CAT D399)"/>
    <s v="Generators*Auxiliary Genset*Auxiliary Generator Engine (CAT D399)"/>
    <x v="4"/>
    <x v="0"/>
  </r>
  <r>
    <x v="4"/>
    <s v="0103"/>
    <s v="Auxiliary Generator Engine (CAT D399) 1500 HR PM/Inspection"/>
    <s v="Auxiliary Generator Engine (CAT D399)"/>
    <s v="EQUIPMENT"/>
    <s v="B"/>
    <s v="D"/>
    <s v="Running Work List"/>
    <s v="Hydraulic Dredge"/>
    <s v="Auxiliary Generator Engine (CAT D399)"/>
    <s v="Generators*Auxiliary Genset*Auxiliary Generator Engine (CAT D399)"/>
    <x v="4"/>
    <x v="0"/>
  </r>
  <r>
    <x v="4"/>
    <s v="0103"/>
    <s v="Auxiliary Generator Engine (CAT D399) 3000 HR PM"/>
    <s v="Auxiliary Generator Engine (CAT D399)"/>
    <s v="EQUIPMENT"/>
    <s v="B"/>
    <s v="D"/>
    <s v="Running Work List"/>
    <s v="Hydraulic Dredge"/>
    <s v="Auxiliary Generator Engine (CAT D399)"/>
    <s v="Generators*Auxiliary Genset*Auxiliary Generator Engine (CAT D399)"/>
    <x v="4"/>
    <x v="0"/>
  </r>
  <r>
    <x v="4"/>
    <s v="0103"/>
    <s v="Auxiliary Generator Engine (CAT D399) 4500 HR PM"/>
    <s v="Auxiliary Generator Engine (CAT D399)"/>
    <s v="EQUIPMENT"/>
    <s v="B"/>
    <s v="D"/>
    <s v="Running Work List"/>
    <s v="Hydraulic Dredge"/>
    <s v="Auxiliary Generator Engine (CAT D399)"/>
    <s v="Generators*Auxiliary Genset*Auxiliary Generator Engine (CAT D399)"/>
    <x v="4"/>
    <x v="0"/>
  </r>
  <r>
    <x v="4"/>
    <s v="0103"/>
    <s v="Auxiliary Generator Engine (CAT D399) 6000 HR PM"/>
    <s v="Auxiliary Generator Engine (CAT D399)"/>
    <s v="EQUIPMENT"/>
    <s v="B"/>
    <s v="D"/>
    <s v="Running Work List"/>
    <s v="Hydraulic Dredge"/>
    <s v="Auxiliary Generator Engine (CAT D399)"/>
    <s v="Generators*Auxiliary Genset*Auxiliary Generator Engine (CAT D399)"/>
    <x v="4"/>
    <x v="0"/>
  </r>
  <r>
    <x v="4"/>
    <s v="0103"/>
    <s v="Auxiliary Generator Engine (CAT D399) 10000 HR PM (Top End OH)"/>
    <s v="Auxiliary Generator Engine (CAT D399)"/>
    <s v="EQUIPMENT"/>
    <s v="B"/>
    <s v="D"/>
    <s v="Idle/Inactive Period"/>
    <s v="Hydraulic Dredge"/>
    <s v="Auxiliary Generator Engine (CAT D399)"/>
    <s v="Generators*Auxiliary Genset*Auxiliary Generator Engine (CAT D399)"/>
    <x v="4"/>
    <x v="0"/>
  </r>
  <r>
    <x v="4"/>
    <s v="0103"/>
    <s v="Auxiliary Generator Engine (CAT D399) 20000 HR PM (Overhaul)"/>
    <s v="Auxiliary Generator Engine (CAT D399)"/>
    <s v="EQUIPMENT"/>
    <s v="B"/>
    <s v="D"/>
    <s v="Idle/Inactive Period"/>
    <s v="Hydraulic Dredge"/>
    <s v="Auxiliary Generator Engine (CAT D399)"/>
    <s v="Generators*Auxiliary Genset*Auxiliary Generator Engine (CAT D399)"/>
    <x v="4"/>
    <x v="0"/>
  </r>
  <r>
    <x v="4"/>
    <s v="0103"/>
    <s v="Ladder Hoist Gearbox Annual PM/Inspection"/>
    <s v="Ladder Hoist Gearbox"/>
    <s v="EQUIPMENT"/>
    <s v="A"/>
    <s v="D"/>
    <s v="Downtime Opportunity"/>
    <s v="Hydraulic Dredge"/>
    <s v="Ladder Hoist Gearbox"/>
    <s v="Ladder System*Ladder Hoist Winch*Ladder Hoist Gearbox"/>
    <x v="5"/>
    <x v="0"/>
  </r>
</pivotCacheRecords>
</file>

<file path=xl/pivotCache/pivotCacheRecords2.xml><?xml version="1.0" encoding="utf-8"?>
<pivotCacheRecords xmlns="http://schemas.openxmlformats.org/spreadsheetml/2006/main" xmlns:r="http://schemas.openxmlformats.org/officeDocument/2006/relationships" count="3697">
  <r>
    <s v="0003"/>
    <x v="0"/>
    <n v="6800000681"/>
    <s v="Pipe (Castings)*Discharge Transition (A-4927)*Discharge Transition"/>
    <x v="0"/>
    <s v="Y"/>
    <n v="1"/>
    <s v="Discharge Transition"/>
    <s v="Pipe (Castings)*Discharge Transition (A-4927)*Discharge Transition"/>
    <n v="0"/>
    <s v="A-4927"/>
    <s v="SPI/MPMW"/>
    <n v="1"/>
  </r>
  <r>
    <s v="0003"/>
    <x v="0"/>
    <n v="45000018447"/>
    <s v="Hoppers*PIPING (DREDGE)*Y PIECE (1A-4204)*Y-Piece 24&quot; X 24&quot; X  24&quot;"/>
    <x v="1"/>
    <s v="Y"/>
    <n v="2"/>
    <s v="Y-Piece 24&quot; X 24&quot; X  24&quot;"/>
    <s v="Hoppers*PIPING (DREDGE)*Y PIECE (1A-4204)*Y-Piece 24&quot; X 24&quot; X  24&quot;"/>
    <n v="0"/>
    <s v="1A-4204"/>
    <s v="MOBILE PULLEY"/>
    <n v="1"/>
  </r>
  <r>
    <s v="0008"/>
    <x v="1"/>
    <n v="528"/>
    <s v="Pump Parts (Ladder Pumps)*Ladder Pump (Universal)*Pump Shell (Steel)"/>
    <x v="2"/>
    <s v="Y"/>
    <n v="2"/>
    <s v="Pump Shell (Steel)"/>
    <s v="Pump Parts (Ladder Pumps)*Ladder Pump (Universal)*Pump Shell (Steel)"/>
    <n v="4"/>
    <s v="2A-3603"/>
    <s v="SPI/MPMW"/>
    <n v="1"/>
  </r>
  <r>
    <s v="0008"/>
    <x v="1"/>
    <n v="531"/>
    <s v="Pump Parts (Ladder Pumps)*Ladder Pump (Universal)*Door, Engine Side"/>
    <x v="2"/>
    <s v="Y"/>
    <n v="2"/>
    <s v="Door, Engine Side"/>
    <s v="Pump Parts (Ladder Pumps)*Ladder Pump (Universal)*Door, Engine Side"/>
    <n v="4"/>
    <s v="A-3610"/>
    <s v="SPI/MPMW"/>
    <n v="1"/>
  </r>
  <r>
    <s v="0008"/>
    <x v="1"/>
    <n v="532"/>
    <s v="Pump Parts (Ladder Pumps)*Ladder Pump (Universal)*Liner, Engine Side"/>
    <x v="2"/>
    <s v="Y"/>
    <n v="2"/>
    <s v="Liner, Engine Side"/>
    <s v="Pump Parts (Ladder Pumps)*Ladder Pump (Universal)*Liner, Engine Side"/>
    <n v="6"/>
    <s v="A-3605"/>
    <s v="SPI/MPMW"/>
    <n v="1"/>
  </r>
  <r>
    <s v="0008"/>
    <x v="1"/>
    <n v="2480"/>
    <s v="Engine Parts (Diesel)*Cummins (855)*Engine (Cummins NTA-855-G2)"/>
    <x v="3"/>
    <s v="Y"/>
    <n v="1"/>
    <s v="Engine (Cummins NTA-855-G2)"/>
    <s v="Engine Parts (Diesel)*Cummins (855)*Engine (Cummins NTA-855-G2)"/>
    <n v="1"/>
    <s v="NTA-855-G2"/>
    <s v="Cummins"/>
    <n v="1"/>
  </r>
  <r>
    <s v="0008"/>
    <x v="1"/>
    <n v="2481"/>
    <s v="Generators*Generator (Onan)*Generator, 300 KW (Onan 300DFCB)"/>
    <x v="4"/>
    <s v="Y"/>
    <n v="1"/>
    <s v="Generator, 300 KW (Onan 300DFCB)"/>
    <s v="Generators*Generator (Onan)*Generator, 300 KW (Onan 300DFCB)"/>
    <n v="0"/>
    <s v="300DFCB"/>
    <s v="ONAN"/>
    <n v="1"/>
  </r>
  <r>
    <s v="0008"/>
    <x v="1"/>
    <n v="7069"/>
    <s v="Pipe &amp; Hose (Jet Water)*Valves, Jet Water (LI)*Valve, 18&quot;"/>
    <x v="5"/>
    <s v="Y"/>
    <n v="2"/>
    <s v="Valve, 18&quot;"/>
    <s v="Pipe &amp; Hose (Jet Water)*Valves, Jet Water (LI)*Valve, 18&quot;"/>
    <n v="3"/>
    <s v="184356131X"/>
    <s v="Center Line"/>
    <n v="1"/>
  </r>
  <r>
    <s v="0008"/>
    <x v="1"/>
    <n v="7139"/>
    <s v="Gearbox Parts (Cutter)*Gearbox, Cutter (IL)*Shaft, Input*Bearing, Input Shaft"/>
    <x v="6"/>
    <s v="Y"/>
    <n v="2"/>
    <s v="Bearing, Input Shaft"/>
    <s v="Gearbox Parts (Cutter)*Gearbox, Cutter (IL)*Shaft, Input*Bearing, Input Shaft"/>
    <n v="0"/>
    <s v="TDO 95525-95927CD"/>
    <s v="TIMKEN"/>
    <n v="1"/>
  </r>
  <r>
    <s v="0008"/>
    <x v="1"/>
    <n v="7140"/>
    <s v="Gearbox Parts (Cutter)*Gearbox, Cutter (IL)*Shaft, Input*Bearing, Input Shaft"/>
    <x v="6"/>
    <s v="Y"/>
    <n v="2"/>
    <s v="Bearing, Input Shaft"/>
    <s v="Gearbox Parts (Cutter)*Gearbox, Cutter (IL)*Shaft, Input*Bearing, Input Shaft"/>
    <n v="0"/>
    <s v="23032 C3/ W25"/>
    <s v="SKF"/>
    <n v="1"/>
  </r>
  <r>
    <s v="0008"/>
    <x v="1"/>
    <n v="7214"/>
    <s v="Ladder Parts*Trunnions*Trunnion (AK-IL-TX)*Trunnion, Hull"/>
    <x v="7"/>
    <s v="Y"/>
    <n v="2"/>
    <s v="Trunnion, Hull"/>
    <s v="Ladder Parts*Trunnions*Trunnion (AK-IL-TX)*Trunnion, Hull"/>
    <n v="2"/>
    <s v="118-02-2262 Rev 7"/>
    <s v="GLDD DWG"/>
    <n v="1"/>
  </r>
  <r>
    <s v="0008"/>
    <x v="1"/>
    <n v="7217"/>
    <s v="Ladder Parts*Trunnions*Trunnion (AK-IL-TX)*Washer, Thrust, (Rough Machined)"/>
    <x v="7"/>
    <s v="Y"/>
    <n v="2"/>
    <s v="Washer, Thrust, (Rough Machined)"/>
    <s v="Ladder Parts*Trunnions*Trunnion (AK-IL-TX)*Washer, Thrust, (Rough Machined)"/>
    <n v="4"/>
    <s v="118-02-2260 Rev 5"/>
    <s v="GLDD DWG"/>
    <n v="1"/>
  </r>
  <r>
    <s v="0008"/>
    <x v="1"/>
    <n v="7219"/>
    <s v="Ladder Parts*Trunnions*Trunnion (AK-IL-TX)*Trunnion, Hull*Bushing, Ladder Trunnion (Split)"/>
    <x v="7"/>
    <s v="Y"/>
    <n v="2"/>
    <s v="Bushing, Ladder Trunnion (Split)"/>
    <s v="Ladder Parts*Trunnions*Trunnion (AK-IL-TX)*Trunnion, Hull*Bushing, Ladder Trunnion (Split)"/>
    <n v="4"/>
    <s v="118-02-2260 (REV 5)"/>
    <s v="GLDD DWG"/>
    <n v="1"/>
  </r>
  <r>
    <s v="0008"/>
    <x v="1"/>
    <n v="7666"/>
    <s v="Excavator (Liebherr 996)*Excavator Engine*Engine, Cummins Kta50"/>
    <x v="8"/>
    <s v="Y"/>
    <n v="1"/>
    <s v="Engine, Cummins Kta50"/>
    <s v="Excavator (Liebherr 996)*Excavator Engine*Engine, Cummins Kta50"/>
    <n v="0"/>
    <s v="KTA50-C1800"/>
    <s v="Cummins"/>
    <n v="1"/>
  </r>
  <r>
    <s v="0008"/>
    <x v="1"/>
    <n v="7961"/>
    <s v="Pump Parts (Unloader)*Slurry Pump*Sleeve, Shaft"/>
    <x v="9"/>
    <s v="Y"/>
    <n v="1"/>
    <s v="Sleeve, Shaft"/>
    <s v="Pump Parts (Unloader)*Slurry Pump*Sleeve, Shaft"/>
    <n v="2"/>
    <s v="BB-4757"/>
    <s v="MPMW Dwg "/>
    <n v="1"/>
  </r>
  <r>
    <s v="0008"/>
    <x v="1"/>
    <n v="8000"/>
    <s v="Pipe &amp; Hose (Jet Water)*Hose, Jet (Liberty Island)*Jet Hose, Gimbal"/>
    <x v="5"/>
    <s v="Y"/>
    <n v="2"/>
    <s v="Jet Hose, Gimbal"/>
    <s v="Pipe &amp; Hose (Jet Water)*Hose, Jet (Liberty Island)*Jet Hose, Gimbal"/>
    <n v="3"/>
    <m/>
    <m/>
    <n v="1"/>
  </r>
  <r>
    <s v="0008"/>
    <x v="1"/>
    <n v="8001"/>
    <s v="Pipe &amp; Hose (Jet Water)*Hose, Jet (Liberty Island)*Jet Hose, Turning Gland"/>
    <x v="5"/>
    <s v="Y"/>
    <n v="2"/>
    <s v="Jet Hose, Turning Gland"/>
    <s v="Pipe &amp; Hose (Jet Water)*Hose, Jet (Liberty Island)*Jet Hose, Turning Gland"/>
    <n v="3"/>
    <m/>
    <m/>
    <n v="1"/>
  </r>
  <r>
    <s v="0008"/>
    <x v="1"/>
    <n v="8049"/>
    <s v="Ladder Parts*Hoisting*Crown Block (CAR)*Pin, Crown Block"/>
    <x v="7"/>
    <s v="Y"/>
    <n v="1"/>
    <s v="Pin, Crown Block"/>
    <s v="Ladder Parts*Hoisting*Crown Block (CAR)*Pin, Crown Block"/>
    <n v="0"/>
    <s v="110-08-0506"/>
    <s v="GLDD DWG"/>
    <n v="1"/>
  </r>
  <r>
    <s v="0008"/>
    <x v="1"/>
    <n v="8050"/>
    <s v="Ladder Parts*Hoisting*Travel Block (CAR)*Pin, Travel Block"/>
    <x v="7"/>
    <s v="Y"/>
    <n v="1"/>
    <s v="Pin, Travel Block"/>
    <s v="Ladder Parts*Hoisting*Travel Block (CAR)*Pin, Travel Block"/>
    <n v="0"/>
    <s v="110-08-0507"/>
    <s v="GLDD DWG"/>
    <n v="1"/>
  </r>
  <r>
    <s v="0008"/>
    <x v="1"/>
    <n v="8243"/>
    <s v="Ladder Parts*Wear Parts*Ladder Head Section (AK-IL)*Front Plate*Wear Plate, Front, Ladder Head Section"/>
    <x v="7"/>
    <s v="Y"/>
    <n v="1"/>
    <s v="Wear Plate, Front, Ladder Head Section"/>
    <s v="Ladder Parts*Wear Parts*Ladder Head Section (AK-IL)*Front Plate*Wear Plate, Front, Ladder Head Section"/>
    <n v="2"/>
    <s v="B126-029-001"/>
    <s v="SPI/MPMW"/>
    <n v="1"/>
  </r>
  <r>
    <s v="0008"/>
    <x v="1"/>
    <n v="8245"/>
    <s v="Ladder Parts*Wear Parts*Ladder Head Section (AK-IL)*Ring, Base Plate, Ladder Head Section"/>
    <x v="7"/>
    <s v="Y"/>
    <n v="1"/>
    <s v="Ring, Base Plate, Ladder Head Section"/>
    <s v="Ladder Parts*Wear Parts*Ladder Head Section (AK-IL)*Ring, Base Plate, Ladder Head Section"/>
    <n v="1"/>
    <s v="107-02-10294"/>
    <s v="GLDD DWG"/>
    <n v="1"/>
  </r>
  <r>
    <s v="0008"/>
    <x v="1"/>
    <n v="8556"/>
    <s v="Pump Parts (Dredge Pumps)*Stuffing Box Parts (GIW TBC-84 Pumps)*Stuffing Box (Boosters)*Impeller Release Ring Kit (11.5&quot; Hub)"/>
    <x v="10"/>
    <s v="Y"/>
    <n v="1"/>
    <s v="Impeller Release Ring Kit (11.5&quot; Hub)"/>
    <s v="Pump Parts (Dredge Pumps)*Stuffing Box Parts (GIW TBC-84 Pumps)*Stuffing Box (Boosters)*Impeller Release Ring Kit (11.5&quot; Hub)"/>
    <n v="5"/>
    <s v="0919X (11.5&quot; Hub)"/>
    <s v="GIW"/>
    <n v="1"/>
  </r>
  <r>
    <s v="0008"/>
    <x v="1"/>
    <n v="8638"/>
    <s v="Gearbox Parts (Cutter)*Gearbox, Cutter (TX)*Shaft, Output (L.S.)*Sleeve, Bearing (Fixed) Thrust Bearing"/>
    <x v="6"/>
    <s v="Y"/>
    <n v="1"/>
    <s v="Sleeve, Bearing (Fixed) Thrust Bearing"/>
    <s v="Gearbox Parts (Cutter)*Gearbox, Cutter (TX)*Shaft, Output (L.S.)*Sleeve, Bearing (Fixed) Thrust Bearing"/>
    <n v="2"/>
    <s v="BH-10223"/>
    <s v="PRAGER"/>
    <n v="1"/>
  </r>
  <r>
    <s v="0008"/>
    <x v="1"/>
    <n v="8639"/>
    <s v="Gearbox Parts (Cutter)*Gearbox, Cutter (TX)*Shaft, LS Intermediate*Sleeve, Bearing (Fixed), LS Int Bearing"/>
    <x v="6"/>
    <s v="Y"/>
    <n v="2"/>
    <s v="Sleeve, Bearing (Fixed), LS Int Bearing"/>
    <s v="Gearbox Parts (Cutter)*Gearbox, Cutter (TX)*Shaft, LS Intermediate*Sleeve, Bearing (Fixed), LS Int Bearing"/>
    <n v="3"/>
    <s v="BH-10224"/>
    <s v="PRAGER"/>
    <n v="1"/>
  </r>
  <r>
    <s v="0008"/>
    <x v="1"/>
    <n v="8640"/>
    <s v="Gearbox Parts (Cutter)*Gearbox, Cutter (TX)*Shaft, HS Intermediate*Sleeve, Bearing (Fixed) HS Int, Pinion"/>
    <x v="6"/>
    <s v="Y"/>
    <n v="2"/>
    <s v="Sleeve, Bearing (Fixed) HS Int, Pinion"/>
    <s v="Gearbox Parts (Cutter)*Gearbox, Cutter (TX)*Shaft, HS Intermediate*Sleeve, Bearing (Fixed) HS Int, Pinion"/>
    <n v="2"/>
    <s v="BH-10225"/>
    <s v="PRAGER"/>
    <n v="1"/>
  </r>
  <r>
    <s v="0008"/>
    <x v="1"/>
    <n v="8641"/>
    <s v="Gearbox Parts (Cutter)*Gearbox, Cutter (TX)*Shaft, Input (H.S. Pinion)*Sleeve, Bearing (Fixed), Input Shaft Brg"/>
    <x v="6"/>
    <s v="Y"/>
    <n v="2"/>
    <s v="Sleeve, Bearing (Fixed), Input Shaft Brg"/>
    <s v="Gearbox Parts (Cutter)*Gearbox, Cutter (TX)*Shaft, Input (H.S. Pinion)*Sleeve, Bearing (Fixed), Input Shaft Brg"/>
    <n v="2"/>
    <s v="BH-10226"/>
    <s v="PRAGER"/>
    <n v="1"/>
  </r>
  <r>
    <s v="0008"/>
    <x v="1"/>
    <n v="8648"/>
    <s v="Gearbox Parts (Cutter)*Gearbox, Cutter (TX)*Shaft, Output (L.S.)*Sleeve, Bearing (Floating) Output Shaft"/>
    <x v="6"/>
    <s v="Y"/>
    <n v="1"/>
    <s v="Sleeve, Bearing (Floating) Output Shaft"/>
    <s v="Gearbox Parts (Cutter)*Gearbox, Cutter (TX)*Shaft, Output (L.S.)*Sleeve, Bearing (Floating) Output Shaft"/>
    <n v="1"/>
    <s v="BH-10262"/>
    <s v="PRAGER"/>
    <n v="1"/>
  </r>
  <r>
    <s v="0008"/>
    <x v="1"/>
    <n v="8649"/>
    <s v="Gearbox Parts (Cutter)*Gearbox, Cutter (TX)*Shaft, LS Intermediate*Sleeve, Bearing (Floating), LS Inter Brg"/>
    <x v="6"/>
    <s v="Y"/>
    <n v="2"/>
    <s v="Sleeve, Bearing (Floating), LS Inter Brg"/>
    <s v="Gearbox Parts (Cutter)*Gearbox, Cutter (TX)*Shaft, LS Intermediate*Sleeve, Bearing (Floating), LS Inter Brg"/>
    <n v="3"/>
    <s v="BH-10263"/>
    <s v="PRAGER"/>
    <n v="1"/>
  </r>
  <r>
    <s v="0008"/>
    <x v="1"/>
    <n v="8650"/>
    <s v="Gearbox Parts (Cutter)*Gearbox, Cutter (TX)*Shaft, HS Intermediate*Sleeve, Bearing (Floating) HS Int, Gear"/>
    <x v="6"/>
    <s v="Y"/>
    <n v="2"/>
    <s v="Sleeve, Bearing (Floating) HS Int, Gear"/>
    <s v="Gearbox Parts (Cutter)*Gearbox, Cutter (TX)*Shaft, HS Intermediate*Sleeve, Bearing (Floating) HS Int, Gear"/>
    <n v="2"/>
    <s v="BH-10264"/>
    <s v="PRAGER"/>
    <n v="1"/>
  </r>
  <r>
    <s v="0008"/>
    <x v="1"/>
    <n v="8651"/>
    <s v="Gearbox Parts (Cutter)*Gearbox, Cutter (TX)*Shaft, Input (H.S. Pinion)*Sleeve, Bearing (Floating) Input Shaft"/>
    <x v="6"/>
    <s v="Y"/>
    <n v="2"/>
    <s v="Sleeve, Bearing (Floating) Input Shaft"/>
    <s v="Gearbox Parts (Cutter)*Gearbox, Cutter (TX)*Shaft, Input (H.S. Pinion)*Sleeve, Bearing (Floating) Input Shaft"/>
    <n v="2"/>
    <s v="BH-10265"/>
    <s v="PRAGER"/>
    <n v="1"/>
  </r>
  <r>
    <s v="0008"/>
    <x v="1"/>
    <n v="8656"/>
    <s v="Gearbox Parts (Cutter)*Gearbox, Cutter (TX)*Shaft, Output (L.S.)*Sleeve, Output Shaft"/>
    <x v="6"/>
    <s v="Y"/>
    <n v="1"/>
    <s v="Sleeve, Output Shaft"/>
    <s v="Gearbox Parts (Cutter)*Gearbox, Cutter (TX)*Shaft, Output (L.S.)*Sleeve, Output Shaft"/>
    <n v="1"/>
    <s v="CH-10270"/>
    <s v="PRAGER"/>
    <n v="1"/>
  </r>
  <r>
    <s v="0008"/>
    <x v="1"/>
    <n v="8687"/>
    <s v="Gearbox Parts (Cutter)*Gearbox, Cutter (TX)*Housing Assembly*Superbolt, (1.500)"/>
    <x v="6"/>
    <s v="Y"/>
    <n v="2"/>
    <s v="Superbolt, (1.500)"/>
    <s v="Gearbox Parts (Cutter)*Gearbox, Cutter (TX)*Housing Assembly*Superbolt, (1.500)"/>
    <n v="3"/>
    <s v="H1218-06138, SPECIAL 1.500-6"/>
    <s v="SUPERBOLT"/>
    <n v="1"/>
  </r>
  <r>
    <s v="0008"/>
    <x v="1"/>
    <n v="8692"/>
    <s v="Gearbox Parts (Cutter)*Gearbox, Cutter (TX)*Shaft, LS Intermediate*Bearing, LS Intermediate Shaft"/>
    <x v="6"/>
    <s v="Y"/>
    <n v="8"/>
    <s v="Bearing, LS Intermediate Shaft"/>
    <s v="Gearbox Parts (Cutter)*Gearbox, Cutter (TX)*Shaft, LS Intermediate*Bearing, LS Intermediate Shaft"/>
    <n v="8"/>
    <s v="HM266446 902A7"/>
    <s v="TIMKEN"/>
    <n v="1"/>
  </r>
  <r>
    <s v="0008"/>
    <x v="1"/>
    <n v="8693"/>
    <s v="Gearbox Parts (Cutter)*Gearbox, Cutter (TX)*Shaft, HS Intermediate*Bearing, HS Int Shaft (Pinion Side)"/>
    <x v="6"/>
    <s v="Y"/>
    <n v="4"/>
    <s v="Bearing, HS Int Shaft (Pinion Side)"/>
    <s v="Gearbox Parts (Cutter)*Gearbox, Cutter (TX)*Shaft, HS Intermediate*Bearing, HS Int Shaft (Pinion Side)"/>
    <n v="4"/>
    <s v="H249148 902B2"/>
    <s v="TIMKEN"/>
    <n v="1"/>
  </r>
  <r>
    <s v="0008"/>
    <x v="1"/>
    <n v="8694"/>
    <s v="Gearbox Parts (Cutter)*Gearbox, Cutter (TX)*Shaft, Input (H.S. Pinion)*Bearing, High Speed Shaft"/>
    <x v="6"/>
    <s v="Y"/>
    <n v="8"/>
    <s v="Bearing, High Speed Shaft"/>
    <s v="Gearbox Parts (Cutter)*Gearbox, Cutter (TX)*Shaft, Input (H.S. Pinion)*Bearing, High Speed Shaft"/>
    <n v="8"/>
    <s v="H239640 902A1"/>
    <s v="TIMKEN"/>
    <n v="1"/>
  </r>
  <r>
    <s v="0008"/>
    <x v="1"/>
    <n v="9547"/>
    <s v="Pump Parts (Dredge Pumps)*Dredge Pump (GIW TBC-84)*Hardware &amp; Gaskets*O-Ring, Hub Liner-Plate"/>
    <x v="10"/>
    <s v="Y"/>
    <n v="2"/>
    <s v="O-Ring, Hub Liner-Plate"/>
    <s v="Pump Parts (Dredge Pumps)*Dredge Pump (GIW TBC-84)*Hardware &amp; Gaskets*O-Ring, Hub Liner-Plate"/>
    <n v="4"/>
    <s v="7718P-11"/>
    <s v="GIW"/>
    <n v="1"/>
  </r>
  <r>
    <s v="0008"/>
    <x v="1"/>
    <n v="9548"/>
    <s v="Pump Parts (Dredge Pumps)*Dredge Pump (GIW TBC-84)*Hardware &amp; Gaskets*O-Ring, Shaft Sleeve"/>
    <x v="10"/>
    <s v="Y"/>
    <n v="2"/>
    <s v="O-Ring, Shaft Sleeve"/>
    <s v="Pump Parts (Dredge Pumps)*Dredge Pump (GIW TBC-84)*Hardware &amp; Gaskets*O-Ring, Shaft Sleeve"/>
    <n v="0"/>
    <s v="7710P-47"/>
    <s v="GIW"/>
    <n v="1"/>
  </r>
  <r>
    <s v="0008"/>
    <x v="1"/>
    <n v="9617"/>
    <s v="Gearbox Parts (Cutter)*Gearbox, Cutter (TX)*Shaft, HS Intermediate*Bearing, HS Int Shaft (Gear Side)"/>
    <x v="6"/>
    <s v="Y"/>
    <n v="4"/>
    <s v="Bearing, HS Int Shaft (Gear Side)"/>
    <s v="Gearbox Parts (Cutter)*Gearbox, Cutter (TX)*Shaft, HS Intermediate*Bearing, HS Int Shaft (Gear Side)"/>
    <n v="4"/>
    <s v="EE420801 902A1"/>
    <s v="TIMKEN"/>
    <n v="1"/>
  </r>
  <r>
    <s v="0008"/>
    <x v="1"/>
    <n v="9945"/>
    <s v="Pump Parts (Submersible)*Submersible Pumps*Pump, Submersible (60HP)"/>
    <x v="11"/>
    <s v="Y"/>
    <n v="1"/>
    <s v="Pump, Submersible (60HP)"/>
    <s v="Pump Parts (Submersible)*Submersible Pumps*Pump, Submersible (60HP)"/>
    <n v="1"/>
    <s v="JCU"/>
    <s v="GOULDS PUMPS"/>
    <n v="1"/>
  </r>
  <r>
    <s v="0008"/>
    <x v="1"/>
    <n v="10112"/>
    <s v="Heat Exchangers*Heat Exchanger (Gearbox) (Boosters)*Heat Exchanger"/>
    <x v="12"/>
    <s v="Y"/>
    <n v="1"/>
    <s v="Heat Exchanger"/>
    <s v="Heat Exchangers*Heat Exchanger (Gearbox) (Boosters)*Heat Exchanger"/>
    <n v="1"/>
    <s v="AOL-950-3-HC"/>
    <s v="Thermal Transfer Products"/>
    <n v="1"/>
  </r>
  <r>
    <s v="0008"/>
    <x v="1"/>
    <n v="10229"/>
    <s v="Pump Parts (Dredge Pumps)*Dredge Pump (GIW TBC-84)*Hardware &amp; Gaskets*Gasket, Impeller To Sleeve"/>
    <x v="10"/>
    <s v="Y"/>
    <n v="4"/>
    <s v="Gasket, Impeller To Sleeve"/>
    <s v="Pump Parts (Dredge Pumps)*Dredge Pump (GIW TBC-84)*Hardware &amp; Gaskets*Gasket, Impeller To Sleeve"/>
    <n v="19"/>
    <s v="0479P-25"/>
    <s v="GIW"/>
    <n v="1"/>
  </r>
  <r>
    <s v="0008"/>
    <x v="1"/>
    <n v="10636"/>
    <s v="Piping (Liberty)*Bow Coupling (762MM) (LI)*Cylinder, Clamp Ring, Bow Coupling"/>
    <x v="13"/>
    <s v="Y"/>
    <n v="2"/>
    <s v="Cylinder, Clamp Ring, Bow Coupling"/>
    <s v="Piping (Liberty)*Bow Coupling (762MM) (LI)*Cylinder, Clamp Ring, Bow Coupling"/>
    <n v="4"/>
    <s v="147-09-11011"/>
    <s v="GLDD DWG"/>
    <n v="1"/>
  </r>
  <r>
    <s v="0008"/>
    <x v="1"/>
    <n v="10637"/>
    <s v="Piping (Liberty)*Bow Coupling (762MM) (LI)*Cylinder, Lock Pin, Bow Coupling"/>
    <x v="13"/>
    <s v="Y"/>
    <n v="2"/>
    <s v="Cylinder, Lock Pin, Bow Coupling"/>
    <s v="Piping (Liberty)*Bow Coupling (762MM) (LI)*Cylinder, Lock Pin, Bow Coupling"/>
    <n v="0"/>
    <s v="147-09-0584"/>
    <s v="GLDD DWG"/>
    <n v="1"/>
  </r>
  <r>
    <s v="0008"/>
    <x v="1"/>
    <n v="10721"/>
    <s v="Motors, Electric (&gt;100 HP)*MG Set (55)*Hoist Generator (55)*Armature, Hoist Generator"/>
    <x v="14"/>
    <s v="Y"/>
    <n v="1"/>
    <s v="Armature, Hoist Generator"/>
    <s v="Motors, Electric (&gt;100 HP)*MG Set (55)*Hoist Generator (55)*Armature, Hoist Generator"/>
    <n v="0"/>
    <m/>
    <m/>
    <n v="1"/>
  </r>
  <r>
    <s v="0008"/>
    <x v="1"/>
    <n v="10839"/>
    <s v="Excavator (Liebherr 996)*Hydraulic Cylinders (Bucket)*Hydraulic Cylinder, Bucket"/>
    <x v="8"/>
    <s v="Y"/>
    <n v="1"/>
    <s v="Hydraulic Cylinder, Bucket"/>
    <s v="Excavator (Liebherr 996)*Hydraulic Cylinders (Bucket)*Hydraulic Cylinder, Bucket"/>
    <n v="1"/>
    <s v="9905911"/>
    <s v="LIEBHERR"/>
    <n v="1"/>
  </r>
  <r>
    <s v="0008"/>
    <x v="1"/>
    <n v="11892"/>
    <s v="Engine Parts (Diesel)*Caterpillar (3612)*Turbocharger (LI)*Turbocharger, Complete (157-5514)"/>
    <x v="3"/>
    <s v="Y"/>
    <n v="2"/>
    <s v="Turbocharger, Complete (157-5514)"/>
    <s v="Engine Parts (Diesel)*Caterpillar (3612)*Turbocharger (LI)*Turbocharger, Complete (157-5514)"/>
    <n v="0"/>
    <s v="157-5514"/>
    <s v="Caterpillar"/>
    <n v="1"/>
  </r>
  <r>
    <s v="0008"/>
    <x v="1"/>
    <n v="12215"/>
    <s v="Vessel Specific*Dredge Wires (NY)*Wire, Back Stay (3-1/4&quot; x 171')"/>
    <x v="15"/>
    <s v="Y"/>
    <n v="2"/>
    <s v="Wire, Back Stay (3-1/4&quot; x 171')"/>
    <s v="Vessel Specific*Dredge Wires (NY)*Wire, Back Stay (3-1/4&quot; x 171')"/>
    <n v="2"/>
    <m/>
    <m/>
    <n v="1"/>
  </r>
  <r>
    <s v="0008"/>
    <x v="1"/>
    <n v="12252"/>
    <s v="Shafts &amp; Bearings (Dredge Pump Drive)*Pump Bearing Assembly (A-6358)*Bearing, Roller (Item 31)"/>
    <x v="16"/>
    <s v="Y"/>
    <n v="2"/>
    <s v="Bearing, Roller (Item 31)"/>
    <s v="Shafts &amp; Bearings (Dredge Pump Drive)*Pump Bearing Assembly (A-6358)*Bearing, Roller (Item 31)"/>
    <n v="4"/>
    <s v="420SD31-BR-F3-W33"/>
    <s v="TORRINGTON"/>
    <n v="1"/>
  </r>
  <r>
    <s v="0008"/>
    <x v="1"/>
    <n v="12254"/>
    <s v="Shafts &amp; Bearings (Dredge Pump Drive)*Pump Bearing Assembly (A-6358)*Bearing, Thrust (Item 33)"/>
    <x v="16"/>
    <s v="Y"/>
    <n v="1"/>
    <s v="Bearing, Thrust (Item 33)"/>
    <s v="Shafts &amp; Bearings (Dredge Pump Drive)*Pump Bearing Assembly (A-6358)*Bearing, Thrust (Item 33)"/>
    <n v="2"/>
    <s v="29488 EM"/>
    <s v="SKF"/>
    <n v="1"/>
  </r>
  <r>
    <s v="0008"/>
    <x v="1"/>
    <n v="12256"/>
    <s v="Shafts &amp; Bearings (Dredge Pump Drive)*Pump Bearing Assembly (A-6358)*Seal, Oil, Pump End (Item 21)"/>
    <x v="16"/>
    <s v="Y"/>
    <n v="4"/>
    <s v="Seal, Oil, Pump End (Item 21)"/>
    <s v="Shafts &amp; Bearings (Dredge Pump Drive)*Pump Bearing Assembly (A-6358)*Seal, Oil, Pump End (Item 21)"/>
    <n v="6"/>
    <s v="23X4178"/>
    <s v="MOTION IND."/>
    <n v="1"/>
  </r>
  <r>
    <s v="0008"/>
    <x v="1"/>
    <n v="14182"/>
    <s v="Dragheads*Draghead (Wild Dragon) (LB)*Visor Seal, Top"/>
    <x v="17"/>
    <s v="Y"/>
    <n v="2"/>
    <s v="Visor Seal, Top"/>
    <s v="Dragheads*Draghead (Wild Dragon) (LB)*Visor Seal, Top"/>
    <n v="0"/>
    <s v="147-11-14544 (Item 104)"/>
    <s v="GLDD DWG"/>
    <n v="1"/>
  </r>
  <r>
    <s v="0008"/>
    <x v="1"/>
    <n v="14183"/>
    <s v="Dragheads*Draghead (Wild Dragon) (LB)*Hydraulic Cylinder, Wild Dragon"/>
    <x v="17"/>
    <s v="Y"/>
    <n v="2"/>
    <s v="Hydraulic Cylinder, Wild Dragon"/>
    <s v="Dragheads*Draghead (Wild Dragon) (LB)*Hydraulic Cylinder, Wild Dragon"/>
    <n v="0"/>
    <s v="147-11-14544 (Item 110)"/>
    <s v="GLDD DWG"/>
    <n v="1"/>
  </r>
  <r>
    <s v="0008"/>
    <x v="1"/>
    <n v="14186"/>
    <s v="Dragheads*Draghead (Wild Dragon) (LB)*Wear Block w/o Nozzle (Weld On)"/>
    <x v="17"/>
    <s v="Y"/>
    <n v="50"/>
    <s v="Wear Block w/o Nozzle (Weld On)"/>
    <s v="Dragheads*Draghead (Wild Dragon) (LB)*Wear Block w/o Nozzle (Weld On)"/>
    <n v="0"/>
    <s v="100406493"/>
    <s v="IHC STOCK CODE"/>
    <n v="1"/>
  </r>
  <r>
    <s v="0008"/>
    <x v="1"/>
    <n v="16237"/>
    <s v="Pipe &amp; Hose (Service Water)*Suction Hose (6&quot; x 19')*Hose Suction, 6&quot; X 19'"/>
    <x v="18"/>
    <s v="Y"/>
    <n v="1"/>
    <s v="Hose Suction, 6&quot; X 19'"/>
    <s v="Pipe &amp; Hose (Service Water)*Suction Hose (6&quot; x 19')*Hose Suction, 6&quot; X 19'"/>
    <n v="2"/>
    <s v="6&quot; X 19'"/>
    <s v="TRICO/KELLY"/>
    <n v="1"/>
  </r>
  <r>
    <s v="0008"/>
    <x v="1"/>
    <n v="16624"/>
    <s v="Ladder Parts*Hoisting*Travel Block (TX)*Washer, Thrust"/>
    <x v="7"/>
    <s v="Y"/>
    <n v="21"/>
    <s v="Washer, Thrust"/>
    <s v="Ladder Parts*Hoisting*Travel Block (TX)*Washer, Thrust"/>
    <n v="0"/>
    <s v="118-02-2315"/>
    <s v="Gldd Dwg "/>
    <n v="1"/>
  </r>
  <r>
    <s v="0008"/>
    <x v="1"/>
    <n v="16809"/>
    <s v="Ladder Parts*Hoisting*Crown Block (AK)*Pin, Travel Block"/>
    <x v="7"/>
    <s v="Y"/>
    <n v="1"/>
    <s v="Pin, Travel Block"/>
    <s v="Ladder Parts*Hoisting*Crown Block (AK)*Pin, Travel Block"/>
    <n v="1"/>
    <s v="101 08 1199 (Rev 2)"/>
    <s v="GLDD DRG. NO."/>
    <n v="1"/>
  </r>
  <r>
    <s v="0008"/>
    <x v="1"/>
    <n v="18502"/>
    <s v="Propellers*CPP Parts*CPP Blades (LI)*Propeller Blade, Bronze (Port)"/>
    <x v="19"/>
    <s v="Y"/>
    <n v="4"/>
    <s v="Propeller Blade, Bronze (Port)"/>
    <s v="Propellers*CPP Parts*CPP Blades (LI)*Propeller Blade, Bronze (Port)"/>
    <n v="0"/>
    <s v="147-04-0341"/>
    <s v="GLDD DWG"/>
    <n v="1"/>
  </r>
  <r>
    <s v="0008"/>
    <x v="1"/>
    <n v="18503"/>
    <s v="Propellers*CPP Parts*CPP Blades (LI)*Propeller Blade, Bronze (Stbd)"/>
    <x v="19"/>
    <s v="Y"/>
    <n v="4"/>
    <s v="Propeller Blade, Bronze (Stbd)"/>
    <s v="Propellers*CPP Parts*CPP Blades (LI)*Propeller Blade, Bronze (Stbd)"/>
    <n v="0"/>
    <s v="147-04-0341"/>
    <s v="GLDD DWG"/>
    <n v="1"/>
  </r>
  <r>
    <s v="0008"/>
    <x v="1"/>
    <n v="19050"/>
    <s v="Pump Parts (Dredge Pumps)*Dredge Pump (GIW TBC-84)*Hardware &amp; Gaskets*Stud/Tie Bolt, 49&quot;, GIW TBC-84 Pump"/>
    <x v="10"/>
    <s v="Y"/>
    <n v="26"/>
    <s v="Stud/Tie Bolt, 49&quot;, GIW TBC-84 Pump"/>
    <s v="Pump Parts (Dredge Pumps)*Dredge Pump (GIW TBC-84)*Hardware &amp; Gaskets*Stud/Tie Bolt, 49&quot;, GIW TBC-84 Pump"/>
    <n v="49"/>
    <s v="902.01"/>
    <s v="GIW"/>
    <n v="1"/>
  </r>
  <r>
    <s v="0008"/>
    <x v="1"/>
    <n v="19052"/>
    <s v="Engine Parts (Diesel)*EMD (645- 20 Cylinder)*Crankcase/Oil Pan/Block*Flywheel, Marine Hd (Boosters)"/>
    <x v="3"/>
    <s v="Y"/>
    <n v="1"/>
    <s v="Flywheel, Marine Hd (Boosters)"/>
    <s v="Engine Parts (Diesel)*EMD (645- 20 Cylinder)*Crankcase/Oil Pan/Block*Flywheel, Marine Hd (Boosters)"/>
    <n v="1"/>
    <s v="8370850"/>
    <s v="EMD (MSI)"/>
    <n v="1"/>
  </r>
  <r>
    <s v="0008"/>
    <x v="1"/>
    <n v="19076"/>
    <s v="Shafts &amp; Bearings (Dredge Pump Drive)*Stub Shaft*Stub Shaft, Pump Drive"/>
    <x v="16"/>
    <s v="Y"/>
    <n v="1"/>
    <s v="Stub Shaft, Pump Drive"/>
    <s v="Shafts &amp; Bearings (Dredge Pump Drive)*Stub Shaft*Stub Shaft, Pump Drive"/>
    <n v="1"/>
    <s v="214-01-3000"/>
    <s v="GLDD DWG"/>
    <n v="1"/>
  </r>
  <r>
    <s v="0008"/>
    <x v="1"/>
    <n v="19077"/>
    <s v="Shafts &amp; Bearings (Dredge Pump Drive)*Radial Bearing (Cooper)*Bearing, Radial (Cooper)"/>
    <x v="16"/>
    <s v="Y"/>
    <n v="1"/>
    <s v="Bearing, Radial (Cooper)"/>
    <s v="Shafts &amp; Bearings (Dredge Pump Drive)*Radial Bearing (Cooper)*Bearing, Radial (Cooper)"/>
    <n v="0"/>
    <s v="01-BCP-900-GRAT20"/>
    <s v="COOPER"/>
    <n v="1"/>
  </r>
  <r>
    <s v="0008"/>
    <x v="1"/>
    <n v="19679"/>
    <s v="Shafts &amp; Bearings (Dredge Pump Drive)*Impeller Shaft (TX)*Forging, Dredge Pump Impeller Shaft"/>
    <x v="16"/>
    <s v="Y"/>
    <n v="1"/>
    <s v="Forging, Dredge Pump Impeller Shaft"/>
    <s v="Shafts &amp; Bearings (Dredge Pump Drive)*Impeller Shaft (TX)*Forging, Dredge Pump Impeller Shaft"/>
    <n v="1"/>
    <s v="C-439 (REV 12)"/>
    <s v="SPI/MPMW"/>
    <n v="1"/>
  </r>
  <r>
    <s v="0008"/>
    <x v="1"/>
    <n v="20011"/>
    <s v="Dragheads*Draghead (Wild Dragon) (LB)*Turtle Deflector*Turtle Deflector, Wild Dragon"/>
    <x v="17"/>
    <s v="Y"/>
    <n v="2"/>
    <s v="Turtle Deflector, Wild Dragon"/>
    <s v="Dragheads*Draghead (Wild Dragon) (LB)*Turtle Deflector*Turtle Deflector, Wild Dragon"/>
    <n v="0"/>
    <s v="147-11-12088 (Rev 5)"/>
    <s v="GLDD DWG"/>
    <n v="1"/>
  </r>
  <r>
    <s v="0008"/>
    <x v="1"/>
    <n v="22984"/>
    <s v="Pipe &amp; Hose (Dredge Slurry)*Piping (SI-DI-PI)*Dragarm*Dragarm, Lower"/>
    <x v="20"/>
    <s v="Y"/>
    <n v="2"/>
    <s v="Dragarm, Lower"/>
    <s v="Pipe &amp; Hose (Dredge Slurry)*Piping (SI-DI-PI)*Dragarm*Dragarm, Lower"/>
    <n v="0"/>
    <s v="143-02-12385"/>
    <s v="GLDD DWG"/>
    <n v="1"/>
  </r>
  <r>
    <s v="0008"/>
    <x v="1"/>
    <n v="24018"/>
    <s v="Excavator (Liebherr 996)*Excavator Engine*Radiator, Excavator Engine"/>
    <x v="8"/>
    <s v="Y"/>
    <n v="1"/>
    <s v="Radiator, Excavator Engine"/>
    <s v="Excavator (Liebherr 996)*Excavator Engine*Radiator, Excavator Engine"/>
    <n v="0"/>
    <s v="56112455"/>
    <s v="OEM"/>
    <n v="1"/>
  </r>
  <r>
    <s v="0008"/>
    <x v="1"/>
    <n v="24019"/>
    <s v="Excavator (Liebherr 996)*Excavator Engine*Radiator, Excavator Engine*Fan, Excavator Engine Radiator"/>
    <x v="8"/>
    <s v="Y"/>
    <n v="1"/>
    <s v="Fan, Excavator Engine Radiator"/>
    <s v="Excavator (Liebherr 996)*Excavator Engine*Radiator, Excavator Engine*Fan, Excavator Engine Radiator"/>
    <n v="1"/>
    <s v="5611091"/>
    <s v="Cummins"/>
    <n v="1"/>
  </r>
  <r>
    <s v="0008"/>
    <x v="1"/>
    <n v="24022"/>
    <s v="Excavator (Liebherr 996)*Excavator Engine*Radiator, Excavator Engine*Heat Exchanger"/>
    <x v="8"/>
    <s v="Y"/>
    <n v="1"/>
    <s v="Heat Exchanger"/>
    <s v="Excavator (Liebherr 996)*Excavator Engine*Radiator, Excavator Engine*Heat Exchanger"/>
    <n v="1"/>
    <s v="10492351"/>
    <s v="LIEBHERR"/>
    <n v="1"/>
  </r>
  <r>
    <s v="0008"/>
    <x v="1"/>
    <n v="25123"/>
    <s v="Pump Parts (Dredge Pumps)*Dredge Pump (GIW TBC-84)*Liner, Suction Side (Diverter)"/>
    <x v="10"/>
    <s v="Y"/>
    <n v="16"/>
    <s v="Liner, Suction Side (Diverter)"/>
    <s v="Pump Parts (Dredge Pumps)*Dredge Pump (GIW TBC-84)*Liner, Suction Side (Diverter)"/>
    <n v="13"/>
    <s v="6036C"/>
    <s v="HAGLER SYSTEMS"/>
    <n v="1"/>
  </r>
  <r>
    <s v="0008"/>
    <x v="1"/>
    <n v="25206"/>
    <s v="Dragarms*Trunnion Slide (SI-DI-PI)*Elbow, Trunnion"/>
    <x v="21"/>
    <s v="Y"/>
    <n v="2"/>
    <s v="Elbow, Trunnion"/>
    <s v="Dragarms*Trunnion Slide (SI-DI-PI)*Elbow, Trunnion"/>
    <n v="2"/>
    <s v="A-3727"/>
    <s v="MPMW/SPI"/>
    <n v="1"/>
  </r>
  <r>
    <s v="0008"/>
    <x v="1"/>
    <n v="25344"/>
    <s v="Pump Parts (Dredge Pumps)*Stuffing Box Parts (GIW TBC-84 Pumps)*Stuffing Box Box (LB-BU)*Impeller Release Ring Kit (13&quot; Hub)"/>
    <x v="10"/>
    <s v="Y"/>
    <n v="2"/>
    <s v="Impeller Release Ring Kit (13&quot; Hub)"/>
    <s v="Pump Parts (Dredge Pumps)*Stuffing Box Parts (GIW TBC-84 Pumps)*Stuffing Box Box (LB-BU)*Impeller Release Ring Kit (13&quot; Hub)"/>
    <n v="2"/>
    <s v="0912X (13&quot; HUB)"/>
    <s v="GIW"/>
    <n v="1"/>
  </r>
  <r>
    <s v="0008"/>
    <x v="1"/>
    <n v="25531"/>
    <s v="Gearbox Parts (Clamshell Cranes)*Swing Gearbox (53)*Second Reduction Pinion Shaft"/>
    <x v="22"/>
    <s v="Y"/>
    <n v="2"/>
    <s v="Second Reduction Pinion Shaft"/>
    <s v="Gearbox Parts (Clamshell Cranes)*Swing Gearbox (53)*Second Reduction Pinion Shaft"/>
    <n v="2"/>
    <s v="133-08-12850 Rev 1"/>
    <s v="Gldd Dwg "/>
    <n v="1"/>
  </r>
  <r>
    <s v="0008"/>
    <x v="1"/>
    <n v="26452"/>
    <s v="Shafts &amp; Bearings (Dredge Pump Drive)*Pump Bearing Assembly (CAR)*FORGING, PUMP SHAFT"/>
    <x v="16"/>
    <s v="Y"/>
    <n v="1"/>
    <s v="FORGING, PUMP SHAFT"/>
    <s v="Shafts &amp; Bearings (Dredge Pump Drive)*Pump Bearing Assembly (CAR)*FORGING, PUMP SHAFT"/>
    <n v="1"/>
    <s v="A-4594"/>
    <s v="SPI/MPMW"/>
    <n v="1"/>
  </r>
  <r>
    <s v="0008"/>
    <x v="1"/>
    <n v="27121"/>
    <s v="Pump Parts (Dredge Pumps)*Dredge Pump (TI)*Pump Shell (Port)"/>
    <x v="10"/>
    <s v="Y"/>
    <n v="1"/>
    <s v="Pump Shell (Port)"/>
    <s v="Pump Parts (Dredge Pumps)*Dredge Pump (TI)*Pump Shell (Port)"/>
    <n v="1"/>
    <s v="1A-4369"/>
    <s v="SPI/MPMW"/>
    <n v="1"/>
  </r>
  <r>
    <s v="0008"/>
    <x v="1"/>
    <n v="27124"/>
    <s v="Pump Parts (Dredge Pumps)*Dredge Pump (TI)*Door, Suction Side"/>
    <x v="10"/>
    <s v="Y"/>
    <n v="1"/>
    <s v="Door, Suction Side"/>
    <s v="Pump Parts (Dredge Pumps)*Dredge Pump (TI)*Door, Suction Side"/>
    <n v="1"/>
    <s v="A-4370"/>
    <s v="SPI/MPMW"/>
    <n v="1"/>
  </r>
  <r>
    <s v="0008"/>
    <x v="1"/>
    <n v="27129"/>
    <s v="Pump Parts (Dredge Pumps)*Dredge Pump (TI)*Liner, Suction Throat"/>
    <x v="10"/>
    <s v="Y"/>
    <n v="1"/>
    <s v="Liner, Suction Throat"/>
    <s v="Pump Parts (Dredge Pumps)*Dredge Pump (TI)*Liner, Suction Throat"/>
    <n v="5"/>
    <s v="C-1436"/>
    <s v="SPI/MPMW"/>
    <n v="1"/>
  </r>
  <r>
    <s v="0008"/>
    <x v="1"/>
    <n v="27131"/>
    <s v="Pump Parts (Dredge Pumps)*Dredge Pump (TI)*Retainer Plate"/>
    <x v="10"/>
    <s v="Y"/>
    <n v="2"/>
    <s v="Retainer Plate"/>
    <s v="Pump Parts (Dredge Pumps)*Dredge Pump (TI)*Retainer Plate"/>
    <n v="6"/>
    <s v="D-1646"/>
    <s v="SPI/MPMW"/>
    <n v="1"/>
  </r>
  <r>
    <s v="0008"/>
    <x v="1"/>
    <n v="27141"/>
    <s v="Pump Parts (Dredge Pumps)*Dredge Pump (TI)*Lip Seal (D/P)"/>
    <x v="10"/>
    <s v="Y"/>
    <n v="2"/>
    <s v="Lip Seal (D/P)"/>
    <s v="Pump Parts (Dredge Pumps)*Dredge Pump (TI)*Lip Seal (D/P)"/>
    <n v="0"/>
    <s v="B2-23736"/>
    <s v="SIMRIT"/>
    <n v="1"/>
  </r>
  <r>
    <s v="0008"/>
    <x v="1"/>
    <n v="27143"/>
    <s v="Pump Parts (Dredge Pumps)*Dredge Pump (TI)*Release Ring, Impeller"/>
    <x v="10"/>
    <s v="Y"/>
    <n v="2"/>
    <s v="Release Ring, Impeller"/>
    <s v="Pump Parts (Dredge Pumps)*Dredge Pump (TI)*Release Ring, Impeller"/>
    <n v="3"/>
    <s v="C-1437"/>
    <s v="SPI/MPMW"/>
    <n v="1"/>
  </r>
  <r>
    <s v="0008"/>
    <x v="1"/>
    <n v="29846"/>
    <s v="Pipe &amp; Hose (Dredge Slurry)*Coupling, Victaulic (Style 44) (36&quot;)*Victaulic Coupling, 36&quot;, Style 44"/>
    <x v="20"/>
    <s v="Y"/>
    <n v="1"/>
    <s v="Victaulic Coupling, 36&quot;, Style 44"/>
    <s v="Pipe &amp; Hose (Dredge Slurry)*Coupling, Victaulic (Style 44) (36&quot;)*Victaulic Coupling, 36&quot;, Style 44"/>
    <n v="1"/>
    <s v="STYLE 44 (36&quot; )"/>
    <s v="VITAULIC"/>
    <n v="1"/>
  </r>
  <r>
    <s v="0008"/>
    <x v="1"/>
    <n v="29849"/>
    <s v="Pipe &amp; Hose (Dredge Slurry)*Coupling, Victaulic (Style 44) (36&quot;)*Gasket, Victaulic Coupling"/>
    <x v="20"/>
    <s v="Y"/>
    <n v="2"/>
    <s v="Gasket, Victaulic Coupling"/>
    <s v="Pipe &amp; Hose (Dredge Slurry)*Coupling, Victaulic (Style 44) (36&quot;)*Gasket, Victaulic Coupling"/>
    <n v="3"/>
    <s v="SF22662"/>
    <s v="TOWNLEY"/>
    <n v="1"/>
  </r>
  <r>
    <s v="0008"/>
    <x v="1"/>
    <n v="31522"/>
    <s v="Shafts &amp; Bearings (Cutter Drive)*Thrust Bearing Assembly (OH-CAR-TX)*Forging Only, Thrust Shaft"/>
    <x v="23"/>
    <s v="Y"/>
    <n v="1"/>
    <s v="Forging Only, Thrust Shaft"/>
    <s v="Shafts &amp; Bearings (Cutter Drive)*Thrust Bearing Assembly (OH-CAR-TX)*Forging Only, Thrust Shaft"/>
    <n v="1"/>
    <s v="110-02-1006"/>
    <s v="SCOT"/>
    <n v="1"/>
  </r>
  <r>
    <s v="0008"/>
    <x v="1"/>
    <n v="35013"/>
    <s v="Pump Parts (Dredge Pumps)*Dredge Pump (TI)*Pump Shell (Stbd)"/>
    <x v="10"/>
    <s v="Y"/>
    <n v="1"/>
    <s v="Pump Shell (Stbd)"/>
    <s v="Pump Parts (Dredge Pumps)*Dredge Pump (TI)*Pump Shell (Stbd)"/>
    <n v="0"/>
    <s v="A-4369"/>
    <s v="SPI/MPMW"/>
    <n v="1"/>
  </r>
  <r>
    <s v="0008"/>
    <x v="1"/>
    <n v="36780"/>
    <s v="Pump Parts (Ladder Pumps)*Ladder Pump (CAR)*Pump Shell (Iron)"/>
    <x v="2"/>
    <s v="Y"/>
    <n v="1"/>
    <s v="Pump Shell (Iron)"/>
    <s v="Pump Parts (Ladder Pumps)*Ladder Pump (CAR)*Pump Shell (Iron)"/>
    <n v="0"/>
    <s v="4A-4157"/>
    <s v="SPI/MPMW"/>
    <n v="1"/>
  </r>
  <r>
    <s v="0008"/>
    <x v="1"/>
    <n v="37340"/>
    <s v="Piping (Terrapin)*Piping, Discharge (TI)*Dragarm Lower Pipe"/>
    <x v="24"/>
    <s v="Y"/>
    <n v="1"/>
    <s v="Dragarm Lower Pipe"/>
    <s v="Piping (Terrapin)*Piping, Discharge (TI)*Dragarm Lower Pipe"/>
    <n v="1"/>
    <s v="148-32-20363"/>
    <s v="GLDD DRAWING"/>
    <n v="1"/>
  </r>
  <r>
    <s v="0008"/>
    <x v="1"/>
    <n v="37342"/>
    <s v="Piping (Terrapin)*Piping, Discharge (TI)*Dragarm Upper Pipe"/>
    <x v="24"/>
    <s v="Y"/>
    <n v="2"/>
    <s v="Dragarm Upper Pipe"/>
    <s v="Piping (Terrapin)*Piping, Discharge (TI)*Dragarm Upper Pipe"/>
    <n v="1"/>
    <s v="148-32-20363"/>
    <s v="GLDD DRAWING"/>
    <n v="1"/>
  </r>
  <r>
    <s v="0008"/>
    <x v="1"/>
    <n v="38429"/>
    <s v="Pump Parts (Ladder Pumps)*Ladder Pump (Universal)*Impeller, 58&quot; 3-Vane"/>
    <x v="2"/>
    <s v="Y"/>
    <n v="1"/>
    <s v="Impeller, 58&quot; 3-Vane"/>
    <s v="Pump Parts (Ladder Pumps)*Ladder Pump (Universal)*Impeller, 58&quot; 3-Vane"/>
    <n v="0"/>
    <s v="5A-3611"/>
    <s v="SPI/MPMW"/>
    <n v="1"/>
  </r>
  <r>
    <s v="0008"/>
    <x v="1"/>
    <n v="46358"/>
    <s v="Clutches*Clutch, Eaton (18CB500)*Clutch, Complete Assembly (18CB500)"/>
    <x v="25"/>
    <s v="Y"/>
    <n v="1"/>
    <s v="Clutch, Complete Assembly (18CB500)"/>
    <s v="Clutches*Clutch, Eaton (18CB500)*Clutch, Complete Assembly (18CB500)"/>
    <n v="1"/>
    <s v="18CB500"/>
    <s v="EATON/AIRFLEX"/>
    <n v="1"/>
  </r>
  <r>
    <s v="0008"/>
    <x v="1"/>
    <n v="46556"/>
    <s v="Gearbox Parts (Clamshell Cranes)*Swing Gearbox (54)*Swing Shaft, Vertical"/>
    <x v="22"/>
    <s v="Y"/>
    <n v="2"/>
    <s v="Swing Shaft, Vertical"/>
    <s v="Gearbox Parts (Clamshell Cranes)*Swing Gearbox (54)*Swing Shaft, Vertical"/>
    <n v="2"/>
    <s v="96090"/>
    <s v="PAGE ENGINEERING"/>
    <n v="1"/>
  </r>
  <r>
    <s v="0008"/>
    <x v="1"/>
    <n v="46561"/>
    <s v="Gearbox Parts (Clamshell Cranes)*Swing Gearbox (54)*Bearing retainer plate"/>
    <x v="22"/>
    <s v="Y"/>
    <n v="2"/>
    <s v="Bearing retainer plate"/>
    <s v="Gearbox Parts (Clamshell Cranes)*Swing Gearbox (54)*Bearing retainer plate"/>
    <n v="2"/>
    <s v="R113381F1"/>
    <s v="PAGE ENGINEERING"/>
    <n v="1"/>
  </r>
  <r>
    <s v="0008"/>
    <x v="1"/>
    <n v="46573"/>
    <s v="Gearbox Parts (Clamshell Cranes)*Swing Gearbox (54)*Pinion, Swing Motor"/>
    <x v="22"/>
    <s v="Y"/>
    <n v="2"/>
    <s v="Pinion, Swing Motor"/>
    <s v="Gearbox Parts (Clamshell Cranes)*Swing Gearbox (54)*Pinion, Swing Motor"/>
    <n v="1"/>
    <s v="96087"/>
    <s v="PAGE ENGINEERING"/>
    <n v="1"/>
  </r>
  <r>
    <s v="0008"/>
    <x v="1"/>
    <n v="50546"/>
    <s v="Dragheads*Draghead (Wild Dragon) (LB)*Visor Seal, Side"/>
    <x v="17"/>
    <s v="Y"/>
    <n v="4"/>
    <s v="Visor Seal, Side"/>
    <s v="Dragheads*Draghead (Wild Dragon) (LB)*Visor Seal, Side"/>
    <n v="0"/>
    <s v="147-11-14544 (Item 108)"/>
    <s v="GLDD DWG"/>
    <n v="1"/>
  </r>
  <r>
    <s v="0008"/>
    <x v="1"/>
    <n v="50581"/>
    <s v="Dragheads*Draghead (Wild Dragon) (LB)*Wear Plate, Side, Wild Dragon"/>
    <x v="17"/>
    <s v="Y"/>
    <n v="4"/>
    <s v="Wear Plate, Side, Wild Dragon"/>
    <s v="Dragheads*Draghead (Wild Dragon) (LB)*Wear Plate, Side, Wild Dragon"/>
    <n v="0"/>
    <s v="147-11-24351"/>
    <s v="Gldd Dwg "/>
    <n v="1"/>
  </r>
  <r>
    <s v="0008"/>
    <x v="1"/>
    <n v="50850"/>
    <s v="Pump Parts (Ladder Pumps)*Ladder Pump (CAR)*Impeller, 74&quot;  4 Vane"/>
    <x v="2"/>
    <s v="Y"/>
    <n v="2"/>
    <s v="Impeller, 74&quot;  4 Vane"/>
    <s v="Pump Parts (Ladder Pumps)*Ladder Pump (CAR)*Impeller, 74&quot;  4 Vane"/>
    <n v="0"/>
    <s v="1A-4158"/>
    <s v="SPI/MPMW"/>
    <n v="1"/>
  </r>
  <r>
    <s v="0008"/>
    <x v="1"/>
    <n v="51022"/>
    <s v="Sheaves*Deck Sheave (22&quot;) (SI-DI-PI)*Sheave 22&quot; (Bushing Type)"/>
    <x v="26"/>
    <s v="Y"/>
    <n v="1"/>
    <s v="Sheave 22&quot; (Bushing Type)"/>
    <s v="Sheaves*Deck Sheave (22&quot;) (SI-DI-PI)*Sheave 22&quot; (Bushing Type)"/>
    <n v="1"/>
    <m/>
    <m/>
    <n v="1"/>
  </r>
  <r>
    <s v="0008"/>
    <x v="1"/>
    <n v="51194"/>
    <s v="Shafts &amp; Bearings (Dredge Pump Drive)*Pump Bearing Assembly (SI-DI-PI)*Pump Shaft Assembly (D/P) (Complete)"/>
    <x v="16"/>
    <s v="Y"/>
    <n v="1"/>
    <s v="Pump Shaft Assembly (D/P) (Complete)"/>
    <s v="Shafts &amp; Bearings (Dredge Pump Drive)*Pump Bearing Assembly (SI-DI-PI)*Pump Shaft Assembly (D/P) (Complete)"/>
    <n v="0"/>
    <s v="C-2303"/>
    <s v="MOBILE PULLEY"/>
    <n v="1"/>
  </r>
  <r>
    <s v="0008"/>
    <x v="1"/>
    <n v="52181"/>
    <s v="Spuds*Spuds (53-54-55)*Sheave, Spud, Lower"/>
    <x v="27"/>
    <s v="Y"/>
    <n v="1"/>
    <s v="Sheave, Spud, Lower"/>
    <s v="Spuds*Spuds (53-54-55)*Sheave, Spud, Lower"/>
    <n v="1"/>
    <s v="134-03-0252"/>
    <s v="Gldd Dwg "/>
    <n v="1"/>
  </r>
  <r>
    <s v="0008"/>
    <x v="1"/>
    <n v="52182"/>
    <s v="Spuds*Spuds (53-54-55)*Sheave, Upper"/>
    <x v="27"/>
    <s v="Y"/>
    <n v="3"/>
    <s v="Sheave, Upper"/>
    <s v="Spuds*Spuds (53-54-55)*Sheave, Upper"/>
    <n v="2"/>
    <s v="134-03-0252"/>
    <s v="Gldd Dwg "/>
    <n v="1"/>
  </r>
  <r>
    <s v="0008"/>
    <x v="1"/>
    <n v="52189"/>
    <s v="Spuds*Spuds (53-54-55)*Pin, Upper Spud Sheave"/>
    <x v="27"/>
    <s v="Y"/>
    <n v="1"/>
    <s v="Pin, Upper Spud Sheave"/>
    <s v="Spuds*Spuds (53-54-55)*Pin, Upper Spud Sheave"/>
    <n v="0"/>
    <s v="132-03-0168r6"/>
    <s v="Gldd Dwg "/>
    <n v="1"/>
  </r>
  <r>
    <s v="0008"/>
    <x v="1"/>
    <n v="52190"/>
    <s v="Spuds*Spuds (53-54-55)*Pin, Lower Spud Sheave"/>
    <x v="27"/>
    <s v="Y"/>
    <n v="1"/>
    <s v="Pin, Lower Spud Sheave"/>
    <s v="Spuds*Spuds (53-54-55)*Pin, Lower Spud Sheave"/>
    <n v="0"/>
    <s v="132/134-03-30380"/>
    <s v="Gldd Dwg "/>
    <n v="1"/>
  </r>
  <r>
    <s v="0008"/>
    <x v="1"/>
    <n v="52191"/>
    <s v="Spuds*Spuds (53-54-55)*Bearing Block, Lower Sheave"/>
    <x v="27"/>
    <s v="Y"/>
    <n v="12"/>
    <s v="Bearing Block, Lower Sheave"/>
    <s v="Spuds*Spuds (53-54-55)*Bearing Block, Lower Sheave"/>
    <n v="6"/>
    <s v="BA03-88"/>
    <s v="SPI/MPMW Dwg "/>
    <n v="1"/>
  </r>
  <r>
    <s v="0008"/>
    <x v="1"/>
    <n v="55033"/>
    <s v="Pump Parts (Ladder Pumps)*Stuffing Box (OH-TX)*Sleeve, Shaft"/>
    <x v="2"/>
    <s v="Y"/>
    <n v="3"/>
    <s v="Sleeve, Shaft"/>
    <s v="Pump Parts (Ladder Pumps)*Stuffing Box (OH-TX)*Sleeve, Shaft"/>
    <n v="2"/>
    <s v="B-6282"/>
    <s v="SPI/MPMW"/>
    <n v="1"/>
  </r>
  <r>
    <s v="0008"/>
    <x v="1"/>
    <n v="55831"/>
    <s v="Pump Parts (Ladder Pumps)*Ladder Pump (Universal)*Washer, Impeller, Soft Copper"/>
    <x v="2"/>
    <s v="Y"/>
    <n v="8"/>
    <s v="Washer, Impeller, Soft Copper"/>
    <s v="Pump Parts (Ladder Pumps)*Ladder Pump (Universal)*Washer, Impeller, Soft Copper"/>
    <n v="8"/>
    <s v="B-5526"/>
    <s v="SPI/MPMW"/>
    <n v="1"/>
  </r>
  <r>
    <s v="0008"/>
    <x v="1"/>
    <n v="56058"/>
    <s v="Pump Parts (Ladder Pumps)*Stuffing Box (OH-TX)*Stuffing Box, Split, Ladder Pump"/>
    <x v="2"/>
    <s v="Y"/>
    <n v="2"/>
    <s v="Stuffing Box, Split, Ladder Pump"/>
    <s v="Pump Parts (Ladder Pumps)*Stuffing Box (OH-TX)*Stuffing Box, Split, Ladder Pump"/>
    <n v="1"/>
    <s v="A-4914"/>
    <s v="SPI/MPMW"/>
    <n v="1"/>
  </r>
  <r>
    <s v="0008"/>
    <x v="1"/>
    <n v="700001081"/>
    <s v="Clutches*Clutch, Eaton (30CM500)*Drum, Forward Drive"/>
    <x v="25"/>
    <s v="Y"/>
    <n v="1"/>
    <s v="Drum, Forward Drive"/>
    <s v="Clutches*Clutch, Eaton (30CM500)*Drum, Forward Drive"/>
    <n v="2"/>
    <s v="512349"/>
    <s v="Eaton"/>
    <n v="1"/>
  </r>
  <r>
    <s v="0008"/>
    <x v="1"/>
    <n v="700001085"/>
    <s v="Clutches*Clutch, Eaton (30CM500)*Drum, Reverse Drive"/>
    <x v="25"/>
    <s v="Y"/>
    <n v="1"/>
    <s v="Drum, Reverse Drive"/>
    <s v="Clutches*Clutch, Eaton (30CM500)*Drum, Reverse Drive"/>
    <n v="1"/>
    <s v="512350"/>
    <s v="Eaton"/>
    <n v="1"/>
  </r>
  <r>
    <s v="0008"/>
    <x v="1"/>
    <n v="800000060"/>
    <s v="Shafts &amp; Bearings (Cutter Drive)*Cutless Bearing (AK-IL)*Stave Set, Cutless Bearing"/>
    <x v="23"/>
    <s v="Y"/>
    <n v="1"/>
    <s v="Stave Set, Cutless Bearing"/>
    <s v="Shafts &amp; Bearings (Cutter Drive)*Cutless Bearing (AK-IL)*Stave Set, Cutless Bearing"/>
    <n v="1"/>
    <s v="806793062"/>
    <s v="DURAMAX MARINE"/>
    <n v="1"/>
  </r>
  <r>
    <s v="0008"/>
    <x v="1"/>
    <n v="900000013"/>
    <s v="Pump Parts (Ladder Pumps)*Stuffing Box (AK-IL)*Packing Gland, Split (S/S)"/>
    <x v="2"/>
    <s v="Y"/>
    <n v="1"/>
    <s v="Packing Gland, Split (S/S)"/>
    <s v="Pump Parts (Ladder Pumps)*Stuffing Box (AK-IL)*Packing Gland, Split (S/S)"/>
    <n v="4"/>
    <s v="D-1462"/>
    <s v="SPI/MPMW"/>
    <n v="1"/>
  </r>
  <r>
    <s v="0008"/>
    <x v="1"/>
    <n v="900000032"/>
    <s v="Pump Parts (Ladder Pumps)*Stuffing Box (AK-IL)*Water Ring"/>
    <x v="2"/>
    <s v="Y"/>
    <n v="1"/>
    <s v="Water Ring"/>
    <s v="Pump Parts (Ladder Pumps)*Stuffing Box (AK-IL)*Water Ring"/>
    <n v="1"/>
    <s v="D-1463"/>
    <s v="SPI/MPMW"/>
    <n v="1"/>
  </r>
  <r>
    <s v="0008"/>
    <x v="1"/>
    <n v="900000033"/>
    <s v="Pump Parts (Ladder Pumps)*Stuffing Box (AK-IL)*Retainer, Water Ring"/>
    <x v="2"/>
    <s v="Y"/>
    <n v="1"/>
    <s v="Retainer, Water Ring"/>
    <s v="Pump Parts (Ladder Pumps)*Stuffing Box (AK-IL)*Retainer, Water Ring"/>
    <n v="2"/>
    <s v="B-4533"/>
    <s v="SPI/MPMW"/>
    <n v="1"/>
  </r>
  <r>
    <s v="0008"/>
    <x v="1"/>
    <n v="1100003182"/>
    <s v="Swing Parts (Clamshell)*Swing Circle (54)*Bushing, Dolly Wheel"/>
    <x v="28"/>
    <s v="Y"/>
    <n v="90"/>
    <s v="Bushing, Dolly Wheel"/>
    <s v="Swing Parts (Clamshell)*Swing Circle (54)*Bushing, Dolly Wheel"/>
    <n v="90"/>
    <s v="92148-02"/>
    <s v="FEMCO"/>
    <n v="1"/>
  </r>
  <r>
    <s v="0008"/>
    <x v="1"/>
    <n v="1100003184"/>
    <s v="Swing Parts (Clamshell)*Swing Circle (54)*Dolly Wheel, Double Flange"/>
    <x v="28"/>
    <s v="Y"/>
    <n v="90"/>
    <s v="Dolly Wheel, Double Flange"/>
    <s v="Swing Parts (Clamshell)*Swing Circle (54)*Dolly Wheel, Double Flange"/>
    <n v="90"/>
    <s v="35591"/>
    <s v="FEMCO"/>
    <n v="1"/>
  </r>
  <r>
    <s v="0008"/>
    <x v="1"/>
    <n v="1100004841"/>
    <s v="Gearbox Parts (Clamshell Cranes)*Swing Gearbox (53)*Gear, High Speed Swing"/>
    <x v="22"/>
    <s v="Y"/>
    <n v="2"/>
    <s v="Gear, High Speed Swing"/>
    <s v="Gearbox Parts (Clamshell Cranes)*Swing Gearbox (53)*Gear, High Speed Swing"/>
    <n v="2"/>
    <s v="133-08-12847."/>
    <s v="Gldd Dwg "/>
    <n v="1"/>
  </r>
  <r>
    <s v="0008"/>
    <x v="1"/>
    <n v="1100004843"/>
    <s v="Gearbox Parts (Clamshell Cranes)*Swing Gearbox (53)*Second Reduction Gear"/>
    <x v="22"/>
    <s v="Y"/>
    <n v="2"/>
    <s v="Second Reduction Gear"/>
    <s v="Gearbox Parts (Clamshell Cranes)*Swing Gearbox (53)*Second Reduction Gear"/>
    <n v="2"/>
    <s v="133-08-12851"/>
    <s v="Gldd Dwg "/>
    <n v="1"/>
  </r>
  <r>
    <s v="0008"/>
    <x v="1"/>
    <n v="3600000070"/>
    <s v="Pump Parts (Dredge Pumps)*Dredge Pump (SI-DI-PI)*Washer, Impeller (Copper)"/>
    <x v="10"/>
    <s v="Y"/>
    <n v="2"/>
    <s v="Washer, Impeller (Copper)"/>
    <s v="Pump Parts (Dredge Pumps)*Dredge Pump (SI-DI-PI)*Washer, Impeller (Copper)"/>
    <n v="3"/>
    <s v="B-4555"/>
    <s v="SPI/MPMW"/>
    <n v="1"/>
  </r>
  <r>
    <s v="0008"/>
    <x v="1"/>
    <n v="4600000224"/>
    <s v="Pump Parts (Dredge Pumps)*Dredge Pump (SI-DI-PI)*Liner, Suction Side"/>
    <x v="10"/>
    <s v="Y"/>
    <n v="2"/>
    <s v="Liner, Suction Side"/>
    <s v="Pump Parts (Dredge Pumps)*Dredge Pump (SI-DI-PI)*Liner, Suction Side"/>
    <n v="0"/>
    <s v="C-2153"/>
    <s v="MOBILE PULLEY"/>
    <n v="1"/>
  </r>
  <r>
    <s v="0008"/>
    <x v="1"/>
    <n v="4600000226"/>
    <s v="Pump Parts (Dredge Pumps)*Stuffing Box Parts (SPI/MPMW Pumps)*Stuffing Box (SI-DI-PI)*Stuffing Box, Split"/>
    <x v="10"/>
    <s v="Y"/>
    <n v="2"/>
    <s v="Stuffing Box, Split"/>
    <s v="Pump Parts (Dredge Pumps)*Stuffing Box Parts (SPI/MPMW Pumps)*Stuffing Box (SI-DI-PI)*Stuffing Box, Split"/>
    <n v="1"/>
    <s v="C-1302"/>
    <s v="SPI/MPMW"/>
    <n v="1"/>
  </r>
  <r>
    <s v="0008"/>
    <x v="1"/>
    <n v="4900000046"/>
    <s v="Dragarms*Trunnion Slide (SI-DI-PI)*Trunnion Seat/ Wear Ring, Inboard"/>
    <x v="21"/>
    <s v="Y"/>
    <n v="2"/>
    <s v="Trunnion Seat/ Wear Ring, Inboard"/>
    <s v="Dragarms*Trunnion Slide (SI-DI-PI)*Trunnion Seat/ Wear Ring, Inboard"/>
    <n v="2"/>
    <s v="B-4563"/>
    <s v="MOBILE PULLEY"/>
    <n v="1"/>
  </r>
  <r>
    <s v="0008"/>
    <x v="1"/>
    <n v="4900000068"/>
    <s v="Sheaves*Deck Sheave (22&quot;) (SI-DI-PI)*Sheave, Deck, 22&quot; (Complete Assembly)"/>
    <x v="26"/>
    <s v="Y"/>
    <n v="2"/>
    <s v="Sheave, Deck, 22&quot; (Complete Assembly)"/>
    <s v="Sheaves*Deck Sheave (22&quot;) (SI-DI-PI)*Sheave, Deck, 22&quot; (Complete Assembly)"/>
    <n v="4"/>
    <s v="141-04-5039 r5"/>
    <s v="Gldd Dwg "/>
    <n v="1"/>
  </r>
  <r>
    <s v="0008"/>
    <x v="1"/>
    <n v="4900000086"/>
    <s v="Hydraulic Cylinders*Cylinder, Hydraulic (CRC-1286)*Pin, Skimmer Cylinder"/>
    <x v="29"/>
    <s v="Y"/>
    <n v="2"/>
    <s v="Pin, Skimmer Cylinder"/>
    <s v="Hydraulic Cylinders*Cylinder, Hydraulic (CRC-1286)*Pin, Skimmer Cylinder"/>
    <n v="4"/>
    <s v="140-03-11255r3"/>
    <s v="Gldd Dwg "/>
    <n v="1"/>
  </r>
  <r>
    <s v="0008"/>
    <x v="1"/>
    <n v="4900000120"/>
    <s v="Skimmer Tubes*Skimmer Tube (SI-DI-PI)*Seal, Skimmer Overflow"/>
    <x v="30"/>
    <s v="Y"/>
    <n v="2"/>
    <s v="Seal, Skimmer Overflow"/>
    <s v="Skimmer Tubes*Skimmer Tube (SI-DI-PI)*Seal, Skimmer Overflow"/>
    <n v="4"/>
    <s v="144-07-6594"/>
    <s v="GLDD DWG"/>
    <n v="1"/>
  </r>
  <r>
    <s v="0008"/>
    <x v="1"/>
    <n v="4900000149"/>
    <s v="Pipe &amp; Hose (Dredge Slurry)*Piping (SI-DI-PI)*Suction/Discharge Fitting*Coupling, Victaulic, 30&quot;"/>
    <x v="20"/>
    <s v="Y"/>
    <n v="2"/>
    <s v="Coupling, Victaulic, 30&quot;"/>
    <s v="Pipe &amp; Hose (Dredge Slurry)*Piping (SI-DI-PI)*Suction/Discharge Fitting*Coupling, Victaulic, 30&quot;"/>
    <n v="5"/>
    <s v="30&quot;"/>
    <s v="SPI MOBILE PULLEY"/>
    <n v="1"/>
  </r>
  <r>
    <s v="0008"/>
    <x v="1"/>
    <n v="4900000183"/>
    <s v="Pipe &amp; Hose (Jet Water)*Hose, Jet (8&quot;)*Hose, Jet, 8&quot; X 38'"/>
    <x v="5"/>
    <s v="Y"/>
    <n v="2"/>
    <s v="Hose, Jet, 8&quot; X 38'"/>
    <s v="Pipe &amp; Hose (Jet Water)*Hose, Jet (8&quot;)*Hose, Jet, 8&quot; X 38'"/>
    <n v="3"/>
    <m/>
    <m/>
    <n v="1"/>
  </r>
  <r>
    <s v="0008"/>
    <x v="1"/>
    <n v="4900000187"/>
    <s v="Pipe &amp; Hose (Jet Water)*Hose, Jet (8&quot;)*Jet Hose, 8&quot; X 13' 8&quot;"/>
    <x v="5"/>
    <s v="Y"/>
    <n v="4"/>
    <s v="Jet Hose, 8&quot; X 13' 8&quot;"/>
    <s v="Pipe &amp; Hose (Jet Water)*Hose, Jet (8&quot;)*Jet Hose, 8&quot; X 13' 8&quot;"/>
    <n v="1"/>
    <m/>
    <m/>
    <n v="1"/>
  </r>
  <r>
    <s v="0008"/>
    <x v="1"/>
    <n v="4900000222"/>
    <s v="Clutches*Clutch, Eaton (30CM500)*Element Assembly"/>
    <x v="25"/>
    <s v="Y"/>
    <n v="2"/>
    <s v="Element Assembly"/>
    <s v="Clutches*Clutch, Eaton (30CM500)*Element Assembly"/>
    <n v="2"/>
    <s v="146212AB"/>
    <s v="EATON AIR-FLEX"/>
    <n v="1"/>
  </r>
  <r>
    <s v="0008"/>
    <x v="1"/>
    <n v="4900000314"/>
    <s v="Pump Parts (Dredge Pumps)*Dredge Pump (SI-DI-PI)*Liner, Engine Side"/>
    <x v="10"/>
    <s v="Y"/>
    <n v="3"/>
    <s v="Liner, Engine Side"/>
    <s v="Pump Parts (Dredge Pumps)*Dredge Pump (SI-DI-PI)*Liner, Engine Side"/>
    <n v="6"/>
    <s v="A-3687"/>
    <s v="SPI/MPMW"/>
    <n v="1"/>
  </r>
  <r>
    <s v="0008"/>
    <x v="1"/>
    <n v="4900000357"/>
    <s v="Hydraulic Cylinders*Cylinder, Hydraulic (CRC-1286)*Bushing, Skimmer Cylinder"/>
    <x v="29"/>
    <s v="Y"/>
    <n v="4"/>
    <s v="Bushing, Skimmer Cylinder"/>
    <s v="Hydraulic Cylinders*Cylinder, Hydraulic (CRC-1286)*Bushing, Skimmer Cylinder"/>
    <n v="8"/>
    <s v="140-143-03-11255"/>
    <s v="GLDD DWG"/>
    <n v="1"/>
  </r>
  <r>
    <s v="0008"/>
    <x v="1"/>
    <n v="4900000358"/>
    <s v="Pump Parts (Dredge Pumps)*Dredge Pump (SI-DI-PI)*Pump Shell (Steel)"/>
    <x v="10"/>
    <s v="Y"/>
    <n v="2"/>
    <s v="Pump Shell (Steel)"/>
    <s v="Pump Parts (Dredge Pumps)*Dredge Pump (SI-DI-PI)*Pump Shell (Steel)"/>
    <n v="1"/>
    <s v="1A-3682 (REV 2)"/>
    <s v="SPI/MPMW"/>
    <n v="1"/>
  </r>
  <r>
    <s v="0008"/>
    <x v="1"/>
    <n v="4900000424"/>
    <s v="Pump Parts (Dredge Pumps)*Stuffing Box Parts (SPI/MPMW Pumps)*Stuffing Box (SI-DI-PI)*Lantern Ring, Brass, Split"/>
    <x v="10"/>
    <s v="Y"/>
    <n v="2"/>
    <s v="Lantern Ring, Brass, Split"/>
    <s v="Pump Parts (Dredge Pumps)*Stuffing Box Parts (SPI/MPMW Pumps)*Stuffing Box (SI-DI-PI)*Lantern Ring, Brass, Split"/>
    <n v="4"/>
    <s v="D-1489"/>
    <s v="SPI/MPMW"/>
    <n v="1"/>
  </r>
  <r>
    <s v="0008"/>
    <x v="1"/>
    <n v="6800000676"/>
    <s v="Pump Parts (Dredge Pumps)*Dredge Pump (TX)*Liner, Peripheral (Inner Shell)"/>
    <x v="10"/>
    <s v="Y"/>
    <n v="2"/>
    <s v="Liner, Peripheral (Inner Shell)"/>
    <s v="Pump Parts (Dredge Pumps)*Dredge Pump (TX)*Liner, Peripheral (Inner Shell)"/>
    <n v="2"/>
    <s v="A-4923"/>
    <s v="SPI/MPMW"/>
    <n v="1"/>
  </r>
  <r>
    <s v="0008"/>
    <x v="1"/>
    <n v="6800000683"/>
    <s v="Pump Parts (Dredge Pumps)*Stuffing Box Parts (SPI/MPMW Pumps)*Stuffing Box (TX)*Stuffing Box Housing (Split)"/>
    <x v="10"/>
    <s v="Y"/>
    <n v="1"/>
    <s v="Stuffing Box Housing (Split)"/>
    <s v="Pump Parts (Dredge Pumps)*Stuffing Box Parts (SPI/MPMW Pumps)*Stuffing Box (TX)*Stuffing Box Housing (Split)"/>
    <n v="0"/>
    <s v="2A-1692"/>
    <s v="MPMW Dwg "/>
    <n v="1"/>
  </r>
  <r>
    <s v="0008"/>
    <x v="1"/>
    <n v="6800000685"/>
    <s v="Pump Parts (Dredge Pumps)*Stuffing Box Parts (SPI/MPMW Pumps)*Stuffing Box (TX)*Shaft Sleeve"/>
    <x v="10"/>
    <s v="Y"/>
    <n v="2"/>
    <s v="Shaft Sleeve"/>
    <s v="Pump Parts (Dredge Pumps)*Stuffing Box Parts (SPI/MPMW Pumps)*Stuffing Box (TX)*Shaft Sleeve"/>
    <n v="2"/>
    <s v="BB-5384"/>
    <s v="MPMW Dwg "/>
    <n v="1"/>
  </r>
  <r>
    <s v="0008"/>
    <x v="1"/>
    <n v="6800000686"/>
    <s v="Pump Parts (Dredge Pumps)*Stuffing Box Parts (SPI/MPMW Pumps)*Stuffing Box (TX)*Ring, Lantern (Gathane)"/>
    <x v="10"/>
    <s v="Y"/>
    <n v="2"/>
    <s v="Ring, Lantern (Gathane)"/>
    <s v="Pump Parts (Dredge Pumps)*Stuffing Box Parts (SPI/MPMW Pumps)*Stuffing Box (TX)*Ring, Lantern (Gathane)"/>
    <n v="2"/>
    <s v="D-1854"/>
    <s v="MPMW Dwg "/>
    <n v="1"/>
  </r>
  <r>
    <s v="0008"/>
    <x v="1"/>
    <n v="6800000694"/>
    <s v="Pump Parts (Dredge Pumps)*Stuffing Box Parts (SPI/MPMW Pumps)*Stuffing Box (TX)*Packing Gland, Split"/>
    <x v="10"/>
    <s v="Y"/>
    <n v="1"/>
    <s v="Packing Gland, Split"/>
    <s v="Pump Parts (Dredge Pumps)*Stuffing Box Parts (SPI/MPMW Pumps)*Stuffing Box (TX)*Packing Gland, Split"/>
    <n v="0"/>
    <s v="D-846"/>
    <s v="MPMW Dwg "/>
    <n v="1"/>
  </r>
  <r>
    <s v="0008"/>
    <x v="1"/>
    <n v="6900000024"/>
    <s v="Shafts &amp; Bearings (Dredge Pump Drive)*Impeller Shaft (TX)*Impeller Shaft, Dredge Pump"/>
    <x v="16"/>
    <s v="Y"/>
    <n v="1"/>
    <s v="Impeller Shaft, Dredge Pump"/>
    <s v="Shafts &amp; Bearings (Dredge Pump Drive)*Impeller Shaft (TX)*Impeller Shaft, Dredge Pump"/>
    <n v="1"/>
    <s v="C-439 (REV 13)"/>
    <s v="SPI/MPMW"/>
    <n v="1"/>
  </r>
  <r>
    <s v="0008"/>
    <x v="1"/>
    <n v="6900000025"/>
    <s v="Shafts &amp; Bearings (Dredge Pump Drive)*Intermediate Shaft (TX)*Intermediate Shaft, Dredge Pump"/>
    <x v="16"/>
    <s v="Y"/>
    <n v="1"/>
    <s v="Intermediate Shaft, Dredge Pump"/>
    <s v="Shafts &amp; Bearings (Dredge Pump Drive)*Intermediate Shaft (TX)*Intermediate Shaft, Dredge Pump"/>
    <n v="2"/>
    <s v="200-M-2-1"/>
    <s v="MPMW Dwg "/>
    <n v="1"/>
  </r>
  <r>
    <s v="0008"/>
    <x v="1"/>
    <n v="6900000164"/>
    <s v="Spuds*Christmas Tree (IL)*Fairlead Yoke Assembly, Christmas Tree"/>
    <x v="27"/>
    <s v="Y"/>
    <n v="1"/>
    <s v="Fairlead Yoke Assembly, Christmas Tree"/>
    <s v="Spuds*Christmas Tree (IL)*Fairlead Yoke Assembly, Christmas Tree"/>
    <n v="0"/>
    <s v="105-07-0804"/>
    <s v="Gldd Dwg "/>
    <n v="1"/>
  </r>
  <r>
    <s v="0008"/>
    <x v="1"/>
    <n v="6900000216"/>
    <s v="Pump Parts (Dredge Pumps)*Stuffing Box Parts (SPI/MPMW Pumps)*Stuffing Box (AK-IL)*Sleeve, Shaft (NCB Coated)"/>
    <x v="10"/>
    <s v="Y"/>
    <n v="3"/>
    <s v="Sleeve, Shaft (NCB Coated)"/>
    <s v="Pump Parts (Dredge Pumps)*Stuffing Box Parts (SPI/MPMW Pumps)*Stuffing Box (AK-IL)*Sleeve, Shaft (NCB Coated)"/>
    <n v="4"/>
    <s v="B-5175"/>
    <s v="SPI/MPMW"/>
    <n v="1"/>
  </r>
  <r>
    <s v="0008"/>
    <x v="1"/>
    <n v="7000000010"/>
    <s v="Valves (Slurry)*Valve (27&quot;)*Valve, 27&quot; (Cargo)*Hydraulic Cylinder, 27&quot; Valve"/>
    <x v="31"/>
    <s v="Y"/>
    <n v="2"/>
    <s v="Hydraulic Cylinder, 27&quot; Valve"/>
    <s v="Valves (Slurry)*Valve (27&quot;)*Valve, 27&quot; (Cargo)*Hydraulic Cylinder, 27&quot; Valve"/>
    <n v="3"/>
    <s v="03-21838 r2"/>
    <s v="GLDD DWG"/>
    <n v="1"/>
  </r>
  <r>
    <s v="0008"/>
    <x v="1"/>
    <n v="7100001138"/>
    <s v="Pipe &amp; Hose (Dredge Slurry)*Piping (SI-DI-PI)*Dragarm*Dragarm Lifting Padeye"/>
    <x v="20"/>
    <s v="Y"/>
    <n v="1"/>
    <s v="Dragarm Lifting Padeye"/>
    <s v="Pipe &amp; Hose (Dredge Slurry)*Piping (SI-DI-PI)*Dragarm*Dragarm Lifting Padeye"/>
    <n v="4"/>
    <s v="142-02-0205 REV 1"/>
    <s v="GLDD DWG"/>
    <n v="1"/>
  </r>
  <r>
    <s v="0008"/>
    <x v="1"/>
    <n v="7500000490"/>
    <s v="Gearbox Parts (Ladder Pump)*Gearbox, Ladder Pump (TX)*Bearing, Input Pinnion"/>
    <x v="32"/>
    <s v="Y"/>
    <n v="2"/>
    <s v="Bearing, Input Pinnion"/>
    <s v="Gearbox Parts (Ladder Pump)*Gearbox, Ladder Pump (TX)*Bearing, Input Pinnion"/>
    <n v="2"/>
    <s v="E9052428"/>
    <s v="LUFKIN"/>
    <n v="1"/>
  </r>
  <r>
    <s v="0008"/>
    <x v="1"/>
    <n v="7500000501"/>
    <s v="Gearbox Parts (Ladder Pump)*Gearbox, Ladder Pump (TX)*Bearing, OPP Output"/>
    <x v="32"/>
    <s v="Y"/>
    <n v="1"/>
    <s v="Bearing, OPP Output"/>
    <s v="Gearbox Parts (Ladder Pump)*Gearbox, Ladder Pump (TX)*Bearing, OPP Output"/>
    <n v="1"/>
    <s v="96900 / 96140D"/>
    <s v="TIMKEN"/>
    <n v="1"/>
  </r>
  <r>
    <s v="0008"/>
    <x v="1"/>
    <n v="7500002434"/>
    <s v="Buckets*Bucket (500) (13 YD) Liebherr*Bushing, Rear"/>
    <x v="33"/>
    <s v="Y"/>
    <n v="4"/>
    <s v="Bushing, Rear"/>
    <s v="Buckets*Bucket (500) (13 YD) Liebherr*Bushing, Rear"/>
    <n v="1"/>
    <s v="11078618"/>
    <s v="LIEBHERR"/>
    <n v="1"/>
  </r>
  <r>
    <s v="0008"/>
    <x v="1"/>
    <n v="7500003463"/>
    <s v="Excavator (Liebherr 996)*Upper Carriage*Uppercarriage*OIL RADIATOR INSTALL 2*OIL COOLER 1*Hydraulic Oil Cooler, small"/>
    <x v="8"/>
    <s v="Y"/>
    <n v="2"/>
    <s v="Hydraulic Oil Cooler, small"/>
    <s v="Excavator (Liebherr 996)*Upper Carriage*Uppercarriage*OIL RADIATOR INSTALL 2*OIL COOLER 1*Hydraulic Oil Cooler, small"/>
    <n v="0"/>
    <s v="5611937"/>
    <s v="LIEBHERR"/>
    <n v="1"/>
  </r>
  <r>
    <s v="0008"/>
    <x v="1"/>
    <n v="7500003464"/>
    <s v="Excavator (Liebherr 996)*Upper Carriage*Uppercarriage*OIL RADIATOR INSTALL 2*OIL COOLER 1*Hydraulic Oil Cooler, large"/>
    <x v="8"/>
    <s v="Y"/>
    <n v="2"/>
    <s v="Hydraulic Oil Cooler, large"/>
    <s v="Excavator (Liebherr 996)*Upper Carriage*Uppercarriage*OIL RADIATOR INSTALL 2*OIL COOLER 1*Hydraulic Oil Cooler, large"/>
    <n v="0"/>
    <s v="5611936"/>
    <s v="LIEBHERR"/>
    <n v="1"/>
  </r>
  <r>
    <s v="0008"/>
    <x v="1"/>
    <n v="7500003700"/>
    <s v="Motors, Electric (&gt;100 HP)*Ladder Hoist Motor (IL)*Ladder Hoist Motor, 375 HP"/>
    <x v="14"/>
    <s v="Y"/>
    <n v="1"/>
    <s v="Ladder Hoist Motor, 375 HP"/>
    <s v="Motors, Electric (&gt;100 HP)*Ladder Hoist Motor (IL)*Ladder Hoist Motor, 375 HP"/>
    <n v="1"/>
    <s v="75F47479"/>
    <s v="Westinghouse"/>
    <n v="1"/>
  </r>
  <r>
    <s v="0008"/>
    <x v="1"/>
    <n v="7500004131"/>
    <s v="Winches*Boom Hoist Winch (54)*Gear, Boom Hoist Winch"/>
    <x v="34"/>
    <s v="Y"/>
    <n v="1"/>
    <s v="Gear, Boom Hoist Winch"/>
    <s v="Winches*Boom Hoist Winch (54)*Gear, Boom Hoist Winch"/>
    <n v="1"/>
    <s v="96189"/>
    <s v="PAGE ENGINEERING"/>
    <n v="1"/>
  </r>
  <r>
    <s v="0008"/>
    <x v="1"/>
    <n v="7500004159"/>
    <s v="Winches*Boom Hoist Winch (54)*Pinion, Boom Hoist Winch"/>
    <x v="34"/>
    <s v="Y"/>
    <n v="1"/>
    <s v="Pinion, Boom Hoist Winch"/>
    <s v="Winches*Boom Hoist Winch (54)*Pinion, Boom Hoist Winch"/>
    <n v="1"/>
    <s v="G96190"/>
    <s v="PAGE ENGINEERING"/>
    <n v="1"/>
  </r>
  <r>
    <s v="0008"/>
    <x v="1"/>
    <n v="7500005895"/>
    <s v="Gearbox Parts (Dredge Pump)*Gearbox (Lufkin) (Car)*BEARING, H/S SHAFT"/>
    <x v="35"/>
    <s v="Y"/>
    <n v="2"/>
    <s v="BEARING, H/S SHAFT"/>
    <s v="Gearbox Parts (Dredge Pump)*Gearbox (Lufkin) (Car)*BEARING, H/S SHAFT"/>
    <n v="4"/>
    <s v="E952440"/>
    <s v="LUFKIN"/>
    <n v="1"/>
  </r>
  <r>
    <s v="0008"/>
    <x v="1"/>
    <n v="7500005896"/>
    <s v="Gearbox Parts (Dredge Pump)*Gearbox (Lufkin) (Car)*BEARING, L/S SHAFT"/>
    <x v="35"/>
    <s v="Y"/>
    <n v="2"/>
    <s v="BEARING, L/S SHAFT"/>
    <s v="Gearbox Parts (Dredge Pump)*Gearbox (Lufkin) (Car)*BEARING, L/S SHAFT"/>
    <n v="4"/>
    <s v="23060C/W33"/>
    <s v="SKF"/>
    <n v="1"/>
  </r>
  <r>
    <s v="0008"/>
    <x v="1"/>
    <n v="7500006120"/>
    <s v="Shafts &amp; Bearings (Cutter Drive)*Cutless Bearing (CAR-TX)*Staves, Cutless Bearing (Set)"/>
    <x v="23"/>
    <s v="Y"/>
    <n v="2"/>
    <s v="Staves, Cutless Bearing (Set)"/>
    <s v="Shafts &amp; Bearings (Cutter Drive)*Cutless Bearing (CAR-TX)*Staves, Cutless Bearing (Set)"/>
    <n v="3"/>
    <s v="806953301"/>
    <s v="DURAMAX MARINE"/>
    <n v="1"/>
  </r>
  <r>
    <s v="0008"/>
    <x v="1"/>
    <n v="7500006155"/>
    <s v="Couplings*Coupling, Splined (MP 1A-3435)*Splined Hub, Coupling (Gearbox Side)"/>
    <x v="36"/>
    <s v="Y"/>
    <n v="1"/>
    <s v="Splined Hub, Coupling (Gearbox Side)"/>
    <s v="Couplings*Coupling, Splined (MP 1A-3435)*Splined Hub, Coupling (Gearbox Side)"/>
    <n v="1"/>
    <s v="1A-2022-A"/>
    <s v="MPMW Dwg "/>
    <n v="1"/>
  </r>
  <r>
    <s v="0008"/>
    <x v="1"/>
    <n v="7500006157"/>
    <s v="Couplings*Coupling, Splined (MP 1A-3435)*Splined Ring, Coupling"/>
    <x v="36"/>
    <s v="Y"/>
    <n v="1"/>
    <s v="Splined Ring, Coupling"/>
    <s v="Couplings*Coupling, Splined (MP 1A-3435)*Splined Ring, Coupling"/>
    <n v="2"/>
    <s v="1A-2022-B"/>
    <s v="MPMW Dwg "/>
    <n v="1"/>
  </r>
  <r>
    <s v="0008"/>
    <x v="1"/>
    <n v="7500006164"/>
    <s v="Shafts &amp; Bearings (Cutter Drive)*Thrust Bearing Assembly (OH-CAR-TX)*Bushing, Brass"/>
    <x v="23"/>
    <s v="Y"/>
    <n v="1"/>
    <s v="Bushing, Brass"/>
    <s v="Shafts &amp; Bearings (Cutter Drive)*Thrust Bearing Assembly (OH-CAR-TX)*Bushing, Brass"/>
    <n v="0"/>
    <s v="B-5687"/>
    <s v="MPMW Dwg "/>
    <n v="1"/>
  </r>
  <r>
    <s v="0008"/>
    <x v="1"/>
    <n v="7500006169"/>
    <s v="Shafts &amp; Bearings (Cutter Drive)*Thrust Bearing Assembly (OH-CAR-TX)*Seal, Split Lip"/>
    <x v="23"/>
    <s v="Y"/>
    <n v="2"/>
    <s v="Seal, Split Lip"/>
    <s v="Shafts &amp; Bearings (Cutter Drive)*Thrust Bearing Assembly (OH-CAR-TX)*Seal, Split Lip"/>
    <n v="1"/>
    <s v="25003-3741"/>
    <s v="Garlock"/>
    <n v="1"/>
  </r>
  <r>
    <s v="0008"/>
    <x v="1"/>
    <n v="7500006226"/>
    <s v="Pump Parts (Ladder Pumps)*Ladder Pump (Universal)*Washer, Copper, Impeller"/>
    <x v="2"/>
    <s v="Y"/>
    <n v="4"/>
    <s v="Washer, Copper, Impeller"/>
    <s v="Pump Parts (Ladder Pumps)*Ladder Pump (Universal)*Washer, Copper, Impeller"/>
    <n v="6"/>
    <s v="B-6281"/>
    <s v="SPI/MPMW"/>
    <n v="1"/>
  </r>
  <r>
    <s v="0008"/>
    <x v="1"/>
    <n v="7500007070"/>
    <s v="Pump Parts (Dredge Pumps)*Dredge Pump (TX)*Washer, Copper, Impeller, 1/8&quot;"/>
    <x v="10"/>
    <s v="Y"/>
    <n v="1"/>
    <s v="Washer, Copper, Impeller, 1/8&quot;"/>
    <s v="Pump Parts (Dredge Pumps)*Dredge Pump (TX)*Washer, Copper, Impeller, 1/8&quot;"/>
    <n v="4"/>
    <s v="B-5387"/>
    <s v="SPI/MPMW"/>
    <n v="1"/>
  </r>
  <r>
    <s v="0008"/>
    <x v="1"/>
    <n v="7500007076"/>
    <s v="Pump Parts (Ladder Pumps)*Ladder Pump (CAR)*Liner, Peripheral"/>
    <x v="2"/>
    <s v="Y"/>
    <n v="2"/>
    <s v="Liner, Peripheral"/>
    <s v="Pump Parts (Ladder Pumps)*Ladder Pump (CAR)*Liner, Peripheral"/>
    <n v="0"/>
    <s v="C-1324"/>
    <s v="MPMW Dwg "/>
    <n v="1"/>
  </r>
  <r>
    <s v="0008"/>
    <x v="1"/>
    <n v="7500007077"/>
    <s v="Pump Parts (Ladder Pumps)*Ladder Pump (CAR)*Liner, Engine Side"/>
    <x v="2"/>
    <s v="Y"/>
    <n v="1"/>
    <s v="Liner, Engine Side"/>
    <s v="Pump Parts (Ladder Pumps)*Ladder Pump (CAR)*Liner, Engine Side"/>
    <n v="0"/>
    <s v="C-1326"/>
    <s v="MPMW Dwg "/>
    <n v="1"/>
  </r>
  <r>
    <s v="0008"/>
    <x v="1"/>
    <n v="7500007078"/>
    <s v="Pump Parts (Ladder Pumps)*Ladder Pump (CAR)*Sleeve, Shaft, L/P, NCB Coated"/>
    <x v="2"/>
    <s v="Y"/>
    <n v="1"/>
    <s v="Sleeve, Shaft, L/P, NCB Coated"/>
    <s v="Pump Parts (Ladder Pumps)*Ladder Pump (CAR)*Sleeve, Shaft, L/P, NCB Coated"/>
    <n v="0"/>
    <s v="AB-5373"/>
    <s v="SPI/MPMW"/>
    <n v="1"/>
  </r>
  <r>
    <s v="0008"/>
    <x v="1"/>
    <n v="7500007079"/>
    <s v="Pump Parts (Ladder Pumps)*Ladder Pump (CAR)*Stuffing Box (Split)*Ring, Water"/>
    <x v="2"/>
    <s v="Y"/>
    <n v="1"/>
    <s v="Ring, Water"/>
    <s v="Pump Parts (Ladder Pumps)*Ladder Pump (CAR)*Stuffing Box (Split)*Ring, Water"/>
    <n v="0"/>
    <s v="D-1846"/>
    <s v="MPMW Dwg "/>
    <n v="1"/>
  </r>
  <r>
    <s v="0008"/>
    <x v="1"/>
    <n v="7600005789"/>
    <s v="Motors, Electric (&gt;100 HP)*Jet Pump Motor (LI)*Motor, Jet Pump (1000 HP)"/>
    <x v="14"/>
    <s v="Y"/>
    <n v="1"/>
    <s v="Motor, Jet Pump (1000 HP)"/>
    <s v="Motors, Electric (&gt;100 HP)*Jet Pump Motor (LI)*Motor, Jet Pump (1000 HP)"/>
    <n v="1"/>
    <s v="5K68114074201"/>
    <s v="General Electric"/>
    <n v="1"/>
  </r>
  <r>
    <s v="0008"/>
    <x v="1"/>
    <n v="7600011286"/>
    <s v="Valves (Slurry)*Valve (24&quot;)*Cylinder, Hydraulic, 24&quot; Valve"/>
    <x v="31"/>
    <s v="Y"/>
    <n v="4"/>
    <s v="Cylinder, Hydraulic, 24&quot; Valve"/>
    <s v="Valves (Slurry)*Valve (24&quot;)*Cylinder, Hydraulic, 24&quot; Valve"/>
    <n v="3"/>
    <s v="151-71-25544r2"/>
    <s v="Gldd Dwg "/>
    <n v="1"/>
  </r>
  <r>
    <s v="0008"/>
    <x v="1"/>
    <n v="7600011304"/>
    <s v="Bowthrusters*Bowthruster (SI-DI-PI)*Lower Unit (Brunvoll)*Lower Unit (Brunvoll)"/>
    <x v="37"/>
    <s v="Y"/>
    <n v="1"/>
    <s v="Lower Unit (Brunvoll)"/>
    <s v="Bowthrusters*Bowthruster (SI-DI-PI)*Lower Unit (Brunvoll)*Lower Unit (Brunvoll)"/>
    <n v="1"/>
    <s v="SPZ-AP"/>
    <s v="BRUNVOLL"/>
    <n v="1"/>
  </r>
  <r>
    <s v="0008"/>
    <x v="1"/>
    <n v="7600011331"/>
    <s v="Skimmer Tubes*Skimmer Tubes (LI)*Wiping Seal, Skimmer Tube"/>
    <x v="30"/>
    <s v="Y"/>
    <n v="1"/>
    <s v="Wiping Seal, Skimmer Tube"/>
    <s v="Skimmer Tubes*Skimmer Tubes (LI)*Wiping Seal, Skimmer Tube"/>
    <n v="0"/>
    <s v="3341939"/>
    <s v="DRAWING "/>
    <n v="1"/>
  </r>
  <r>
    <s v="0008"/>
    <x v="1"/>
    <n v="7800000415"/>
    <s v="Pump Parts (Ladder Pumps)*Stuffing Box (AK-IL)*Sleeve, Shaft"/>
    <x v="2"/>
    <s v="Y"/>
    <n v="1"/>
    <s v="Sleeve, Shaft"/>
    <s v="Pump Parts (Ladder Pumps)*Stuffing Box (AK-IL)*Sleeve, Shaft"/>
    <n v="2"/>
    <s v="1B-4540"/>
    <s v="SPI/MPMW"/>
    <n v="1"/>
  </r>
  <r>
    <s v="0008"/>
    <x v="1"/>
    <n v="8800000092"/>
    <s v="Pump Parts (Dredge Pumps)*Dredge Pump (TX)*Liner, Engine Side"/>
    <x v="10"/>
    <s v="Y"/>
    <n v="1"/>
    <s v="Liner, Engine Side"/>
    <s v="Pump Parts (Dredge Pumps)*Dredge Pump (TX)*Liner, Engine Side"/>
    <n v="2"/>
    <s v="A-4960"/>
    <s v="SPI/MPMW"/>
    <n v="1"/>
  </r>
  <r>
    <s v="0008"/>
    <x v="1"/>
    <n v="8800000112"/>
    <s v="Shafts &amp; Bearings (Cutter Drive)*Thrust Bearing Assembly (OH-CAR-TX)*Ring, Lantern"/>
    <x v="23"/>
    <s v="Y"/>
    <n v="2"/>
    <s v="Ring, Lantern"/>
    <s v="Shafts &amp; Bearings (Cutter Drive)*Thrust Bearing Assembly (OH-CAR-TX)*Ring, Lantern"/>
    <n v="2"/>
    <s v="118-02-2371"/>
    <s v="GLDD DWG"/>
    <n v="1"/>
  </r>
  <r>
    <s v="0008"/>
    <x v="1"/>
    <n v="8800000361"/>
    <s v="Engine Parts (Diesel)*EMD (645- 20 Cylinder)*Crankcase/Oil Pan/Block*Flywheel, Marine Hd (Boosters)*Gear, Ring (Split)"/>
    <x v="3"/>
    <s v="Y"/>
    <n v="2"/>
    <s v="Gear, Ring (Split)"/>
    <s v="Engine Parts (Diesel)*EMD (645- 20 Cylinder)*Crankcase/Oil Pan/Block*Flywheel, Marine Hd (Boosters)*Gear, Ring (Split)"/>
    <n v="2"/>
    <s v="8356275-S"/>
    <s v="EMD (MSI)"/>
    <n v="1"/>
  </r>
  <r>
    <s v="0008"/>
    <x v="1"/>
    <n v="9200002156"/>
    <s v="Generators*Generator (Kato) (1825 KW)*Generator  (KATO) (1825 KW)"/>
    <x v="4"/>
    <s v="Y"/>
    <n v="1"/>
    <s v="Generator  (KATO) (1825 KW)"/>
    <s v="Generators*Generator (Kato) (1825 KW)*Generator  (KATO) (1825 KW)"/>
    <n v="1"/>
    <s v="A267950002"/>
    <s v="KATO"/>
    <n v="1"/>
  </r>
  <r>
    <s v="0008"/>
    <x v="1"/>
    <n v="9200002172"/>
    <s v="HVAC*Air Conditioning (LI)*A/C PLANT*A/C Condenser"/>
    <x v="38"/>
    <s v="Y"/>
    <n v="1"/>
    <s v="A/C Condenser"/>
    <s v="HVAC*Air Conditioning (LI)*A/C PLANT*A/C Condenser"/>
    <n v="1"/>
    <s v="90C02-1182-28"/>
    <s v="CARRIER TRANSCOLD"/>
    <n v="1"/>
  </r>
  <r>
    <s v="0008"/>
    <x v="1"/>
    <n v="9500000313"/>
    <s v="Gearbox Parts (Clamshell Cranes)*Main Hoist Gearbox (54)*Main Hoist Pinion Shaft*Pinion Shaft, Main Hoist"/>
    <x v="22"/>
    <s v="Y"/>
    <n v="2"/>
    <s v="Pinion Shaft, Main Hoist"/>
    <s v="Gearbox Parts (Clamshell Cranes)*Main Hoist Gearbox (54)*Main Hoist Pinion Shaft*Pinion Shaft, Main Hoist"/>
    <n v="2"/>
    <s v="C-503240"/>
    <s v="XTEK"/>
    <n v="1"/>
  </r>
  <r>
    <s v="0008"/>
    <x v="1"/>
    <n v="11200000041"/>
    <s v="Excavator (Liebherr 996)*Stick*8M/5M STICK COMMON PARTS*CONNECTING LINK*Bushing"/>
    <x v="8"/>
    <s v="Y"/>
    <n v="4"/>
    <s v="Bushing"/>
    <s v="Excavator (Liebherr 996)*Stick*8M/5M STICK COMMON PARTS*CONNECTING LINK*Bushing"/>
    <n v="1"/>
    <s v="11078618"/>
    <s v="LIEBHERR"/>
    <n v="1"/>
  </r>
  <r>
    <s v="0008"/>
    <x v="1"/>
    <n v="11200002848"/>
    <s v="Excavator (Liebherr 996)*Gooseneck Boom*Gooseneck Boom*Steel Bushing, Item 60"/>
    <x v="8"/>
    <s v="Y"/>
    <n v="2"/>
    <s v="Steel Bushing, Item 60"/>
    <s v="Excavator (Liebherr 996)*Gooseneck Boom*Gooseneck Boom*Steel Bushing, Item 60"/>
    <n v="3"/>
    <s v="11078682"/>
    <s v="LIEBHERR"/>
    <n v="1"/>
  </r>
  <r>
    <s v="0008"/>
    <x v="1"/>
    <n v="11200002849"/>
    <s v="Excavator (Liebherr 996)*Gooseneck Boom*Gooseneck Boom*Bushing, Gooseneck Boom"/>
    <x v="8"/>
    <s v="Y"/>
    <n v="2"/>
    <s v="Bushing, Gooseneck Boom"/>
    <s v="Excavator (Liebherr 996)*Gooseneck Boom*Gooseneck Boom*Bushing, Gooseneck Boom"/>
    <n v="2"/>
    <s v="11078685"/>
    <s v="LIEBHERR"/>
    <n v="1"/>
  </r>
  <r>
    <s v="0008"/>
    <x v="1"/>
    <n v="11200002850"/>
    <s v="Excavator (Liebherr 996)*Gooseneck Boom*Gooseneck Boom*Steel Bushing, Item 62"/>
    <x v="8"/>
    <s v="Y"/>
    <n v="4"/>
    <s v="Steel Bushing, Item 62"/>
    <s v="Excavator (Liebherr 996)*Gooseneck Boom*Gooseneck Boom*Steel Bushing, Item 62"/>
    <n v="0"/>
    <s v="11078684"/>
    <s v="LIEBHERR"/>
    <n v="1"/>
  </r>
  <r>
    <s v="0008"/>
    <x v="1"/>
    <n v="11200002852"/>
    <s v="Excavator (Liebherr 996)*Gooseneck Boom*Gooseneck Boom*Bushing, Gooseneck Boom"/>
    <x v="8"/>
    <s v="Y"/>
    <n v="2"/>
    <s v="Bushing, Gooseneck Boom"/>
    <s v="Excavator (Liebherr 996)*Gooseneck Boom*Gooseneck Boom*Bushing, Gooseneck Boom"/>
    <n v="2"/>
    <s v="11078683"/>
    <s v="LIEBHERR"/>
    <n v="1"/>
  </r>
  <r>
    <s v="0008"/>
    <x v="1"/>
    <n v="11200003891"/>
    <s v="Spuds*Spud System (NY)*Port Spud*Lead Sheave*Spud Sheave, Lower"/>
    <x v="27"/>
    <s v="Y"/>
    <n v="4"/>
    <s v="Spud Sheave, Lower"/>
    <s v="Spuds*Spud System (NY)*Port Spud*Lead Sheave*Spud Sheave, Lower"/>
    <n v="1"/>
    <s v="120-06-24967 Rev 2"/>
    <s v="Gldd Dwg "/>
    <n v="1"/>
  </r>
  <r>
    <s v="0008"/>
    <x v="1"/>
    <n v="11200003893"/>
    <s v="Spuds*Spud System (NY)*Port Spud*Lead Sheave*Spud Sheave, Lower*Bearing, Lower Spud Sheave (2 PC)"/>
    <x v="27"/>
    <s v="Y"/>
    <n v="16"/>
    <s v="Bearing, Lower Spud Sheave (2 PC)"/>
    <s v="Spuds*Spud System (NY)*Port Spud*Lead Sheave*Spud Sheave, Lower*Bearing, Lower Spud Sheave (2 PC)"/>
    <n v="0"/>
    <s v="120-06-24967"/>
    <s v="Gldd Dwg "/>
    <n v="1"/>
  </r>
  <r>
    <s v="0008"/>
    <x v="1"/>
    <n v="11500000600"/>
    <s v="Pipe &amp; Hose (Jet Water)*Hose, Jet (Liberty Island)*Jet Hose, Draghead Visor"/>
    <x v="5"/>
    <s v="Y"/>
    <n v="4"/>
    <s v="Jet Hose, Draghead Visor"/>
    <s v="Pipe &amp; Hose (Jet Water)*Hose, Jet (Liberty Island)*Jet Hose, Draghead Visor"/>
    <n v="2"/>
    <m/>
    <m/>
    <n v="1"/>
  </r>
  <r>
    <s v="0008"/>
    <x v="1"/>
    <n v="11500002544"/>
    <s v="Gearbox Parts (Cutter)*Gearbox, Cutter (IL)*Shaft, Output (L.S.)*Bearing, Roller, Output Shaft"/>
    <x v="6"/>
    <s v="Y"/>
    <n v="1"/>
    <s v="Bearing, Roller, Output Shaft"/>
    <s v="Gearbox Parts (Cutter)*Gearbox, Cutter (IL)*Shaft, Output (L.S.)*Bearing, Roller, Output Shaft"/>
    <n v="1"/>
    <s v="239/530 W25"/>
    <s v="SKF"/>
    <n v="1"/>
  </r>
  <r>
    <s v="0008"/>
    <x v="1"/>
    <n v="11500002556"/>
    <s v="Gearbox Parts (Cutter)*Gearbox, Cutter (IL)*Shaft, Output (L.S.)*Sleeve, Packing Gland"/>
    <x v="6"/>
    <s v="Y"/>
    <n v="1"/>
    <s v="Sleeve, Packing Gland"/>
    <s v="Gearbox Parts (Cutter)*Gearbox, Cutter (IL)*Shaft, Output (L.S.)*Sleeve, Packing Gland"/>
    <n v="1"/>
    <s v="B25796"/>
    <s v="HORSBOURGH &amp; SCOTT"/>
    <n v="1"/>
  </r>
  <r>
    <s v="0008"/>
    <x v="1"/>
    <n v="11500002572"/>
    <s v="Gearbox Parts (Cutter)*Gearbox, Cutter (IL)*Shaft, LS Intermediate*Bearing, LS Intermediate Shaft"/>
    <x v="6"/>
    <s v="Y"/>
    <n v="4"/>
    <s v="Bearing, LS Intermediate Shaft"/>
    <s v="Gearbox Parts (Cutter)*Gearbox, Cutter (IL)*Shaft, LS Intermediate*Bearing, LS Intermediate Shaft"/>
    <n v="4"/>
    <s v="23068 C3/W25"/>
    <s v="SKF"/>
    <n v="1"/>
  </r>
  <r>
    <s v="0008"/>
    <x v="1"/>
    <n v="11500002580"/>
    <s v="Gearbox Parts (Cutter)*Gearbox, Cutter (IL)*Shaft, HS Intermediate*Bearing, HS Intermediate Shaft"/>
    <x v="6"/>
    <s v="Y"/>
    <n v="4"/>
    <s v="Bearing, HS Intermediate Shaft"/>
    <s v="Gearbox Parts (Cutter)*Gearbox, Cutter (IL)*Shaft, HS Intermediate*Bearing, HS Intermediate Shaft"/>
    <n v="0"/>
    <s v="22332 C3/W25"/>
    <s v="SKF"/>
    <n v="1"/>
  </r>
  <r>
    <s v="0008"/>
    <x v="1"/>
    <n v="11500002899"/>
    <s v="Pump Parts (Dredge Pumps)*Dredge Pump (GIW TBC-84)*Pumpshell (HP) (TBC-84)"/>
    <x v="10"/>
    <s v="Y"/>
    <n v="7"/>
    <s v="Pumpshell (HP) (TBC-84)"/>
    <s v="Pump Parts (Dredge Pumps)*Dredge Pump (GIW TBC-84)*Pumpshell (HP) (TBC-84)"/>
    <n v="11"/>
    <s v="6392C"/>
    <s v="GIW"/>
    <n v="1"/>
  </r>
  <r>
    <s v="0008"/>
    <x v="1"/>
    <n v="11500002902"/>
    <s v="Pump Parts (Dredge Pumps)*Dredge Pump (GIW TBC-84)*Liner, Engine Side"/>
    <x v="10"/>
    <s v="Y"/>
    <n v="8"/>
    <s v="Liner, Engine Side"/>
    <s v="Pump Parts (Dredge Pumps)*Dredge Pump (GIW TBC-84)*Liner, Engine Side"/>
    <n v="7"/>
    <s v="AC-1868"/>
    <s v="MPMW Dwg "/>
    <n v="1"/>
  </r>
  <r>
    <s v="0008"/>
    <x v="1"/>
    <n v="11500002903"/>
    <s v="Pump Parts (Dredge Pumps)*Dredge Pump (GIW TBC-84)*Liner, Throat"/>
    <x v="10"/>
    <s v="Y"/>
    <n v="6"/>
    <s v="Liner, Throat"/>
    <s v="Pump Parts (Dredge Pumps)*Dredge Pump (GIW TBC-84)*Liner, Throat"/>
    <n v="5"/>
    <s v="1C-2082"/>
    <s v="MPMW Dwg "/>
    <n v="1"/>
  </r>
  <r>
    <s v="0008"/>
    <x v="1"/>
    <n v="11500002905"/>
    <s v="Pump Parts (Dredge Pumps)*Dredge Pump (GIW TBC-84)*Door, Engine Side (HP)"/>
    <x v="10"/>
    <s v="Y"/>
    <n v="1"/>
    <s v="Door, Engine Side (HP)"/>
    <s v="Pump Parts (Dredge Pumps)*Dredge Pump (GIW TBC-84)*Door, Engine Side (HP)"/>
    <n v="2"/>
    <s v="A-5811"/>
    <s v="MPMW Dwg "/>
    <n v="1"/>
  </r>
  <r>
    <s v="0008"/>
    <x v="1"/>
    <n v="11500002921"/>
    <s v="Pump Parts (Dredge Pumps)*Dredge Pump (GIW TBC-84)*Hardware &amp; Gaskets*x-O-Ring, Inner Liner, DO NOT IN USE"/>
    <x v="10"/>
    <s v="Y"/>
    <n v="2"/>
    <s v="x-O-Ring, Inner Liner, DO NOT IN USE"/>
    <s v="Pump Parts (Dredge Pumps)*Dredge Pump (GIW TBC-84)*Hardware &amp; Gaskets*x-O-Ring, Inner Liner, DO NOT IN USE"/>
    <n v="1"/>
    <s v="7719P-19"/>
    <s v="MPMW Dwg "/>
    <n v="1"/>
  </r>
  <r>
    <s v="0008"/>
    <x v="1"/>
    <n v="11500002926"/>
    <s v="Pump Parts (Dredge Pumps)*Dredge Pump (GIW TBC-84)*Hardware &amp; Gaskets*O-Ring, Outer Liner O.D."/>
    <x v="10"/>
    <s v="Y"/>
    <n v="2"/>
    <s v="O-Ring, Outer Liner O.D."/>
    <s v="Pump Parts (Dredge Pumps)*Dredge Pump (GIW TBC-84)*Hardware &amp; Gaskets*O-Ring, Outer Liner O.D."/>
    <n v="4"/>
    <s v="7719P-20"/>
    <s v="MPMW Dwg "/>
    <n v="1"/>
  </r>
  <r>
    <s v="0008"/>
    <x v="1"/>
    <n v="11500002927"/>
    <s v="Pump Parts (Dredge Pumps)*Dredge Pump (GIW TBC-84)*Hardware &amp; Gaskets*O-Ring, Back Door O.D."/>
    <x v="10"/>
    <s v="Y"/>
    <n v="2"/>
    <s v="O-Ring, Back Door O.D."/>
    <s v="Pump Parts (Dredge Pumps)*Dredge Pump (GIW TBC-84)*Hardware &amp; Gaskets*O-Ring, Back Door O.D."/>
    <n v="8"/>
    <s v="7739P-03"/>
    <s v="MPMW Dwg "/>
    <n v="1"/>
  </r>
  <r>
    <s v="0008"/>
    <x v="1"/>
    <n v="11500002928"/>
    <s v="Pump Parts (Dredge Pumps)*Dredge Pump (GIW TBC-84)*Hardware &amp; Gaskets*O-Ring, Back Door I.D."/>
    <x v="10"/>
    <s v="Y"/>
    <n v="2"/>
    <s v="O-Ring, Back Door I.D."/>
    <s v="Pump Parts (Dredge Pumps)*Dredge Pump (GIW TBC-84)*Hardware &amp; Gaskets*O-Ring, Back Door I.D."/>
    <n v="6"/>
    <s v="7743P-01"/>
    <s v="MPMW Dwg "/>
    <n v="1"/>
  </r>
  <r>
    <s v="0008"/>
    <x v="1"/>
    <n v="11500002946"/>
    <s v="Pump Parts (Dredge Pumps)*Dredge Pump (GIW TBC-84)*Hardware &amp; Gaskets*Washer, Tie Bolt, 2-3/4&quot;"/>
    <x v="10"/>
    <s v="Y"/>
    <n v="26"/>
    <s v="Washer, Tie Bolt, 2-3/4&quot;"/>
    <s v="Pump Parts (Dredge Pumps)*Dredge Pump (GIW TBC-84)*Hardware &amp; Gaskets*Washer, Tie Bolt, 2-3/4&quot;"/>
    <n v="23"/>
    <s v="9707P-22"/>
    <s v="GIW"/>
    <n v="1"/>
  </r>
  <r>
    <s v="0008"/>
    <x v="1"/>
    <n v="11500002947"/>
    <s v="Pump Parts (Dredge Pumps)*Dredge Pump (GIW TBC-84)*Hardware &amp; Gaskets*Nut, Tie Bolt, 2-3/4&quot;"/>
    <x v="10"/>
    <s v="Y"/>
    <n v="26"/>
    <s v="Nut, Tie Bolt, 2-3/4&quot;"/>
    <s v="Pump Parts (Dredge Pumps)*Dredge Pump (GIW TBC-84)*Hardware &amp; Gaskets*Nut, Tie Bolt, 2-3/4&quot;"/>
    <n v="48"/>
    <s v="9706P-13"/>
    <s v="GIW"/>
    <n v="1"/>
  </r>
  <r>
    <s v="0008"/>
    <x v="1"/>
    <n v="11500002960"/>
    <s v="Shafts &amp; Bearings (Dredge Pump Drive)*Pump Bearing Assembly (CAR)*Bearing, Roller"/>
    <x v="16"/>
    <s v="Y"/>
    <n v="2"/>
    <s v="Bearing, Roller"/>
    <s v="Shafts &amp; Bearings (Dredge Pump Drive)*Pump Bearing Assembly (CAR)*Bearing, Roller"/>
    <n v="2"/>
    <s v="8700P-12"/>
    <s v="GIW"/>
    <n v="1"/>
  </r>
  <r>
    <s v="0008"/>
    <x v="1"/>
    <n v="11500002961"/>
    <s v="Shafts &amp; Bearings (Dredge Pump Drive)*Pump Bearing Assembly (CAR)*Bearing, Thrust"/>
    <x v="16"/>
    <s v="Y"/>
    <n v="1"/>
    <s v="Bearing, Thrust"/>
    <s v="Shafts &amp; Bearings (Dredge Pump Drive)*Pump Bearing Assembly (CAR)*Bearing, Thrust"/>
    <n v="1"/>
    <s v="29468"/>
    <s v="SKF"/>
    <n v="1"/>
  </r>
  <r>
    <s v="0008"/>
    <x v="1"/>
    <n v="12100000005"/>
    <s v="Hydraulic Cylinders*Cylinder, Hydraulic (C5212SK-NOPAK)*Cylinder, Hydraulic, Swell Compensator"/>
    <x v="29"/>
    <s v="Y"/>
    <n v="1"/>
    <s v="Cylinder, Hydraulic, Swell Compensator"/>
    <s v="Hydraulic Cylinders*Cylinder, Hydraulic (C5212SK-NOPAK)*Cylinder, Hydraulic, Swell Compensator"/>
    <n v="1"/>
    <s v="C5212SK-NOPAK"/>
    <s v="SHEFFER"/>
    <n v="1"/>
  </r>
  <r>
    <s v="0008"/>
    <x v="1"/>
    <n v="12500000691"/>
    <s v="Pump Parts (Jet Pumps)*Jet Pump (GIW) (LI)*Pumpshell, Jet Pump"/>
    <x v="39"/>
    <s v="Y"/>
    <n v="1"/>
    <s v="Pumpshell, Jet Pump"/>
    <s v="Pump Parts (Jet Pumps)*Jet Pump (GIW) (LI)*Pumpshell, Jet Pump"/>
    <n v="2"/>
    <s v="210-1217D-00-0028G"/>
    <s v="GEORGA IRON WORKS"/>
    <n v="1"/>
  </r>
  <r>
    <s v="0008"/>
    <x v="1"/>
    <n v="12500000692"/>
    <s v="Pump Parts (Jet Pumps)*Jet Pump (GIW) (LI)*Impeller, J/P, 31-3/4&quot; (RH)"/>
    <x v="39"/>
    <s v="Y"/>
    <n v="1"/>
    <s v="Impeller, J/P, 31-3/4&quot; (RH)"/>
    <s v="Pump Parts (Jet Pumps)*Jet Pump (GIW) (LI)*Impeller, J/P, 31-3/4&quot; (RH)"/>
    <n v="0"/>
    <s v="410-1493C-01-0028G"/>
    <s v="GEORGA IRON WORKS"/>
    <n v="1"/>
  </r>
  <r>
    <s v="0008"/>
    <x v="1"/>
    <n v="12500000693"/>
    <s v="Pump Parts (Jet Pumps)*Jet Pump (GIW) (LI)*Liner, Suction Side, J/P"/>
    <x v="39"/>
    <s v="Y"/>
    <n v="1"/>
    <s v="Liner, Suction Side, J/P"/>
    <s v="Pump Parts (Jet Pumps)*Jet Pump (GIW) (LI)*Liner, Suction Side, J/P"/>
    <n v="0"/>
    <s v="0781B"/>
    <s v="GEORGA IRON WORKS"/>
    <n v="1"/>
  </r>
  <r>
    <s v="0008"/>
    <x v="1"/>
    <n v="12500000694"/>
    <s v="Pump Parts (Jet Pumps)*Jet Pump (GIW) (LI)*Stuffing Box"/>
    <x v="39"/>
    <s v="Y"/>
    <n v="1"/>
    <s v="Stuffing Box"/>
    <s v="Pump Parts (Jet Pumps)*Jet Pump (GIW) (LI)*Stuffing Box"/>
    <n v="1"/>
    <s v="616-0694D-02-0000A"/>
    <s v="GEORGA IRON WORKS"/>
    <n v="1"/>
  </r>
  <r>
    <s v="0008"/>
    <x v="1"/>
    <n v="12500001225"/>
    <s v="Ladder Parts*Trunnions*Trunnion (AK-IL-TX)*Trunnion, Hull*Key, Trunnion Bushing"/>
    <x v="7"/>
    <s v="Y"/>
    <n v="4"/>
    <s v="Key, Trunnion Bushing"/>
    <s v="Ladder Parts*Trunnions*Trunnion (AK-IL-TX)*Trunnion, Hull*Key, Trunnion Bushing"/>
    <n v="4"/>
    <s v="B124383"/>
    <s v="SPI/MPMW "/>
    <n v="1"/>
  </r>
  <r>
    <s v="0008"/>
    <x v="1"/>
    <n v="12500001387"/>
    <s v="Shafts &amp; Bearings (Cutter Drive)*Cutless Bearing (CAR-TX)*Water Box, Cutless Bearing"/>
    <x v="23"/>
    <s v="Y"/>
    <n v="1"/>
    <s v="Water Box, Cutless Bearing"/>
    <s v="Shafts &amp; Bearings (Cutter Drive)*Cutless Bearing (CAR-TX)*Water Box, Cutless Bearing"/>
    <n v="1"/>
    <s v="118-02-0084"/>
    <s v="Gldd Dwg "/>
    <n v="1"/>
  </r>
  <r>
    <s v="0008"/>
    <x v="1"/>
    <n v="13000000083"/>
    <s v="Shafts &amp; Bearings (Jet Pump)*Pump Shaft Assembly (GIW) (SI,DI,PI)*Shaft Assembly (Complete) 4-7/16&quot; Shaft"/>
    <x v="40"/>
    <s v="Y"/>
    <n v="1"/>
    <s v="Shaft Assembly (Complete) 4-7/16&quot; Shaft"/>
    <s v="Shafts &amp; Bearings (Jet Pump)*Pump Shaft Assembly (GIW) (SI,DI,PI)*Shaft Assembly (Complete) 4-7/16&quot; Shaft"/>
    <n v="2"/>
    <s v="650-0863D-03-0000A"/>
    <s v="GIW / HAGLER"/>
    <n v="1"/>
  </r>
  <r>
    <s v="0008"/>
    <x v="1"/>
    <n v="13000000120"/>
    <s v="Dragarms*Jet Hose Reel (SI-DI-PI)*Gear, Hose Reel"/>
    <x v="21"/>
    <s v="Y"/>
    <n v="1"/>
    <s v="Gear, Hose Reel"/>
    <s v="Dragarms*Jet Hose Reel (SI-DI-PI)*Gear, Hose Reel"/>
    <n v="3"/>
    <s v="142-04-0461"/>
    <s v="Gldd Dwg "/>
    <n v="1"/>
  </r>
  <r>
    <s v="0008"/>
    <x v="1"/>
    <n v="13200000582"/>
    <s v="Motors, Electric (&gt;100 HP)*Traction Motors (GE 752)(Double Shafted)*Motor, GE 752, Double Shaft (1000 HP)"/>
    <x v="14"/>
    <s v="Y"/>
    <n v="1"/>
    <s v="Motor, GE 752, Double Shaft (1000 HP)"/>
    <s v="Motors, Electric (&gt;100 HP)*Traction Motors (GE 752)(Double Shafted)*Motor, GE 752, Double Shaft (1000 HP)"/>
    <n v="1"/>
    <s v="752DS"/>
    <s v="General Electric"/>
    <n v="1"/>
  </r>
  <r>
    <s v="0008"/>
    <x v="1"/>
    <n v="13200000955"/>
    <s v="Pipe &amp; Hose (Dredge Slurry)*Castings (34&quot;)*Suction Mouthpiece*Suction Mouthpiece"/>
    <x v="20"/>
    <s v="Y"/>
    <n v="1"/>
    <s v="Suction Mouthpiece"/>
    <s v="Pipe &amp; Hose (Dredge Slurry)*Castings (34&quot;)*Suction Mouthpiece*Suction Mouthpiece"/>
    <n v="1"/>
    <s v="1C-972 R2"/>
    <s v="SPI/MPMW"/>
    <n v="1"/>
  </r>
  <r>
    <s v="0008"/>
    <x v="1"/>
    <n v="13200001175"/>
    <s v="Ladder Parts*Wear Parts*Ladder Head Section (OH-CAR-TX)*Back Wear Plate"/>
    <x v="7"/>
    <s v="Y"/>
    <n v="1"/>
    <s v="Back Wear Plate"/>
    <s v="Ladder Parts*Wear Parts*Ladder Head Section (OH-CAR-TX)*Back Wear Plate"/>
    <n v="3"/>
    <s v="110-02-12688"/>
    <s v="Gldd Dwg "/>
    <n v="1"/>
  </r>
  <r>
    <s v="0008"/>
    <x v="1"/>
    <n v="13200001369"/>
    <s v="Ladder Parts*Trunnions*Trunnion (AK-IL-TX)*Trunnion Pin, Ladder"/>
    <x v="7"/>
    <s v="Y"/>
    <n v="2"/>
    <s v="Trunnion Pin, Ladder"/>
    <s v="Ladder Parts*Trunnions*Trunnion (AK-IL-TX)*Trunnion Pin, Ladder"/>
    <n v="2"/>
    <s v="118-02-2260 Rev 5"/>
    <s v="GLDD DWG"/>
    <n v="1"/>
  </r>
  <r>
    <s v="0008"/>
    <x v="1"/>
    <n v="13200001372"/>
    <s v="Ladder Parts*Trunnions*Trunnion (AK-IL-TX)*Trunnion, Hull*Bolt, Vertical, Trunnion 2&quot; X 13-1/2&quot;"/>
    <x v="7"/>
    <s v="Y"/>
    <n v="8"/>
    <s v="Bolt, Vertical, Trunnion 2&quot; X 13-1/2&quot;"/>
    <s v="Ladder Parts*Trunnions*Trunnion (AK-IL-TX)*Trunnion, Hull*Bolt, Vertical, Trunnion 2&quot; X 13-1/2&quot;"/>
    <n v="16"/>
    <s v="118-02-2262r7"/>
    <s v="GLDD DWG"/>
    <n v="1"/>
  </r>
  <r>
    <s v="0008"/>
    <x v="1"/>
    <n v="13200001376"/>
    <s v="Ladder Parts*Trunnions*Trunnion (AK-IL-TX)*Trunnion, Hull*Bolt, Horizontal, 1.748&quot; X 7.5&quot;"/>
    <x v="7"/>
    <s v="Y"/>
    <n v="16"/>
    <s v="Bolt, Horizontal, 1.748&quot; X 7.5&quot;"/>
    <s v="Ladder Parts*Trunnions*Trunnion (AK-IL-TX)*Trunnion, Hull*Bolt, Horizontal, 1.748&quot; X 7.5&quot;"/>
    <n v="16"/>
    <s v="118-02-2262 Rev 7"/>
    <s v="GLDD DWG"/>
    <n v="1"/>
  </r>
  <r>
    <s v="0008"/>
    <x v="1"/>
    <n v="13200001377"/>
    <s v="Ladder Parts*Trunnions*Trunnion (AK-IL-TX)*Trunnion, Hull*Bolt, Horizontal,  1.873&quot; X 7.5&quot; (OS)"/>
    <x v="7"/>
    <s v="Y"/>
    <n v="16"/>
    <s v="Bolt, Horizontal,  1.873&quot; X 7.5&quot; (OS)"/>
    <s v="Ladder Parts*Trunnions*Trunnion (AK-IL-TX)*Trunnion, Hull*Bolt, Horizontal,  1.873&quot; X 7.5&quot; (OS)"/>
    <n v="16"/>
    <s v="118-02-2262 Rev 7"/>
    <s v="GLDD DWG"/>
    <n v="1"/>
  </r>
  <r>
    <s v="0008"/>
    <x v="1"/>
    <n v="13200001618"/>
    <s v="Pump Parts (Dredge Pumps)*Dredge Pump (AK-IL)*Transition, Discharge"/>
    <x v="10"/>
    <s v="Y"/>
    <n v="1"/>
    <s v="Transition, Discharge"/>
    <s v="Pump Parts (Dredge Pumps)*Dredge Pump (AK-IL)*Transition, Discharge"/>
    <n v="1"/>
    <s v="A-5605"/>
    <s v="SPI/MPMW"/>
    <n v="1"/>
  </r>
  <r>
    <s v="0008"/>
    <x v="1"/>
    <n v="13200002541"/>
    <s v="Gearbox Parts (Ladder Pump)*Gearbox, Ladder Pump (TX)*Shaft, Low Speed, With Gear"/>
    <x v="32"/>
    <s v="Y"/>
    <n v="1"/>
    <s v="Shaft, Low Speed, With Gear"/>
    <s v="Gearbox Parts (Ladder Pump)*Gearbox, Ladder Pump (TX)*Shaft, Low Speed, With Gear"/>
    <n v="0"/>
    <s v="85762490"/>
    <s v="LUFKIN"/>
    <n v="1"/>
  </r>
  <r>
    <s v="0008"/>
    <x v="1"/>
    <n v="13200002542"/>
    <s v="Gearbox Parts (Ladder Pump)*Gearbox, Ladder Pump (TX)*Shaft, High Speed Pinion"/>
    <x v="32"/>
    <s v="Y"/>
    <n v="1"/>
    <s v="Shaft, High Speed Pinion"/>
    <s v="Gearbox Parts (Ladder Pump)*Gearbox, Ladder Pump (TX)*Shaft, High Speed Pinion"/>
    <n v="0"/>
    <s v="85762450"/>
    <s v="LUFKIN"/>
    <n v="1"/>
  </r>
  <r>
    <s v="0008"/>
    <x v="1"/>
    <n v="13200002544"/>
    <s v="Gearbox Parts (Ladder Pump)*Gearbox, Ladder Pump (TX)*Carrier, Bearing H/S"/>
    <x v="32"/>
    <s v="Y"/>
    <n v="1"/>
    <s v="Carrier, Bearing H/S"/>
    <s v="Gearbox Parts (Ladder Pump)*Gearbox, Ladder Pump (TX)*Carrier, Bearing H/S"/>
    <n v="1"/>
    <s v="BM108075"/>
    <s v="LUFKIN"/>
    <n v="1"/>
  </r>
  <r>
    <s v="0008"/>
    <x v="1"/>
    <n v="13200002545"/>
    <s v="Gearbox Parts (Ladder Pump)*Gearbox, Ladder Pump (TX)*Carrier, Bearing, H/S"/>
    <x v="32"/>
    <s v="Y"/>
    <n v="1"/>
    <s v="Carrier, Bearing, H/S"/>
    <s v="Gearbox Parts (Ladder Pump)*Gearbox, Ladder Pump (TX)*Carrier, Bearing, H/S"/>
    <n v="1"/>
    <s v="BM115102"/>
    <s v="LUFKIN"/>
    <n v="1"/>
  </r>
  <r>
    <s v="0008"/>
    <x v="1"/>
    <n v="13200002547"/>
    <s v="Gearbox Parts (Ladder Pump)*Gearbox, Ladder Pump (TX)*Carrier, Bearing, L/S"/>
    <x v="32"/>
    <s v="Y"/>
    <n v="1"/>
    <s v="Carrier, Bearing, L/S"/>
    <s v="Gearbox Parts (Ladder Pump)*Gearbox, Ladder Pump (TX)*Carrier, Bearing, L/S"/>
    <n v="1"/>
    <s v="CM115104"/>
    <s v="LUFKIN"/>
    <n v="1"/>
  </r>
  <r>
    <s v="0008"/>
    <x v="1"/>
    <n v="13200002637"/>
    <s v="Clutches*Clutch, Eaton (32VC1000)*Rotary Air Seal, 1&quot;"/>
    <x v="25"/>
    <s v="Y"/>
    <n v="1"/>
    <s v="Rotary Air Seal, 1&quot;"/>
    <s v="Clutches*Clutch, Eaton (32VC1000)*Rotary Air Seal, 1&quot;"/>
    <n v="2"/>
    <s v="145488AB"/>
    <s v="EATON AIRFLEX"/>
    <n v="1"/>
  </r>
  <r>
    <s v="0008"/>
    <x v="1"/>
    <n v="13200002667"/>
    <s v="Ladder Parts*Hoisting*Travel Block (TX)*Sheave, Travel Block"/>
    <x v="7"/>
    <s v="Y"/>
    <n v="12"/>
    <s v="Sheave, Travel Block"/>
    <s v="Ladder Parts*Hoisting*Travel Block (TX)*Sheave, Travel Block"/>
    <n v="0"/>
    <s v="ITEM 03- 118-02-2315"/>
    <s v="Gldd Dwg "/>
    <n v="1"/>
  </r>
  <r>
    <s v="0008"/>
    <x v="1"/>
    <n v="13200002898"/>
    <s v="Ladder Parts*Hoisting*Travel Block (TX)*Pin, Travel Block (8'-11&quot;)"/>
    <x v="7"/>
    <s v="Y"/>
    <n v="1"/>
    <s v="Pin, Travel Block (8'-11&quot;)"/>
    <s v="Ladder Parts*Hoisting*Travel Block (TX)*Pin, Travel Block (8'-11&quot;)"/>
    <n v="0"/>
    <s v="118-06-0633r3"/>
    <s v="Gldd Dwg "/>
    <n v="1"/>
  </r>
  <r>
    <s v="0008"/>
    <x v="1"/>
    <n v="13200002934"/>
    <s v="Motors, Electric (&gt;100 HP)*Swing Motor (AK)*Swing Motor, 200 HP"/>
    <x v="14"/>
    <s v="Y"/>
    <n v="1"/>
    <s v="Swing Motor, 200 HP"/>
    <s v="Motors, Electric (&gt;100 HP)*Swing Motor (AK)*Swing Motor, 200 HP"/>
    <n v="0"/>
    <s v="32B858"/>
    <s v="General Electric"/>
    <n v="1"/>
  </r>
  <r>
    <s v="0008"/>
    <x v="1"/>
    <n v="13200003385"/>
    <s v="Pump Parts (Ladder Pumps)*Ladder Pump (CAR)*Stuffing Box (Split)"/>
    <x v="2"/>
    <s v="Y"/>
    <n v="1"/>
    <s v="Stuffing Box (Split)"/>
    <s v="Pump Parts (Ladder Pumps)*Ladder Pump (CAR)*Stuffing Box (Split)"/>
    <n v="0"/>
    <s v="A-4914"/>
    <s v="SPI/MPMW"/>
    <n v="1"/>
  </r>
  <r>
    <s v="0008"/>
    <x v="1"/>
    <n v="13200003386"/>
    <s v="Pump Parts (Ladder Pumps)*Ladder Pump (CAR)*Stuffing Box (Split)*PACKING GLAND, (SPLIT)"/>
    <x v="2"/>
    <s v="Y"/>
    <n v="1"/>
    <s v="PACKING GLAND, (SPLIT)"/>
    <s v="Pump Parts (Ladder Pumps)*Ladder Pump (CAR)*Stuffing Box (Split)*PACKING GLAND, (SPLIT)"/>
    <n v="0"/>
    <s v="D-1847"/>
    <s v="MPMW Dwg "/>
    <n v="1"/>
  </r>
  <r>
    <s v="0008"/>
    <x v="1"/>
    <n v="13200003389"/>
    <s v="Pump Parts (Ladder Pumps)*Ladder Pump (CAR)*Liner, Suction Throat"/>
    <x v="2"/>
    <s v="Y"/>
    <n v="1"/>
    <s v="Liner, Suction Throat"/>
    <s v="Pump Parts (Ladder Pumps)*Ladder Pump (CAR)*Liner, Suction Throat"/>
    <n v="0"/>
    <s v="A2-4161"/>
    <s v="SPI/MPMW"/>
    <n v="1"/>
  </r>
  <r>
    <s v="0008"/>
    <x v="1"/>
    <n v="13200003390"/>
    <s v="Pump Parts (Ladder Pumps)*Ladder Pump (CAR)*Suction Nose, impeller"/>
    <x v="2"/>
    <s v="Y"/>
    <n v="3"/>
    <s v="Suction Nose, impeller"/>
    <s v="Pump Parts (Ladder Pumps)*Ladder Pump (CAR)*Suction Nose, impeller"/>
    <n v="1"/>
    <s v="C-1325"/>
    <s v="SPI/MPMW"/>
    <n v="1"/>
  </r>
  <r>
    <s v="0008"/>
    <x v="1"/>
    <n v="13200003399"/>
    <s v="Ladder Parts*Wear Parts*Ladder Head Section (AK-IL)*Rope Guard"/>
    <x v="7"/>
    <s v="Y"/>
    <n v="1"/>
    <s v="Rope Guard"/>
    <s v="Ladder Parts*Wear Parts*Ladder Head Section (AK-IL)*Rope Guard"/>
    <n v="2"/>
    <s v="107-02-10294 R3"/>
    <s v="GLDD DWG"/>
    <n v="1"/>
  </r>
  <r>
    <s v="0008"/>
    <x v="1"/>
    <n v="13500002210"/>
    <s v="Clutches*Clutch, Eaton (35CM500)*Air Shaft, Clutch"/>
    <x v="25"/>
    <s v="Y"/>
    <n v="1"/>
    <s v="Air Shaft, Clutch"/>
    <s v="Clutches*Clutch, Eaton (35CM500)*Air Shaft, Clutch"/>
    <n v="1"/>
    <s v="421707"/>
    <s v="Falk"/>
    <n v="1"/>
  </r>
  <r>
    <s v="0008"/>
    <x v="1"/>
    <n v="13500002218"/>
    <s v="Clutches*Clutch, Eaton (35CM500)*Drum, Clutch, Forward Drive"/>
    <x v="25"/>
    <s v="Y"/>
    <n v="2"/>
    <s v="Drum, Clutch, Forward Drive"/>
    <s v="Clutches*Clutch, Eaton (35CM500)*Drum, Clutch, Forward Drive"/>
    <n v="4"/>
    <s v="512241"/>
    <s v="Eaton"/>
    <n v="1"/>
  </r>
  <r>
    <s v="0008"/>
    <x v="1"/>
    <n v="13500002219"/>
    <s v="Clutches*Clutch, Eaton (35CM500)*Drum, Clutch, Reverse Drive"/>
    <x v="25"/>
    <s v="Y"/>
    <n v="2"/>
    <s v="Drum, Clutch, Reverse Drive"/>
    <s v="Clutches*Clutch, Eaton (35CM500)*Drum, Clutch, Reverse Drive"/>
    <n v="7"/>
    <s v="512242"/>
    <s v="Eaton"/>
    <n v="1"/>
  </r>
  <r>
    <s v="0008"/>
    <x v="1"/>
    <n v="13500002308"/>
    <s v="Pump Parts (Dredge Pumps)*Stuffing Box Parts (SPI/MPMW Pumps)*Stuffing Box (SI-DI-PI)*Sleeve, Shaft (D/P)"/>
    <x v="10"/>
    <s v="Y"/>
    <n v="2"/>
    <s v="Sleeve, Shaft (D/P)"/>
    <s v="Pump Parts (Dredge Pumps)*Stuffing Box Parts (SPI/MPMW Pumps)*Stuffing Box (SI-DI-PI)*Sleeve, Shaft (D/P)"/>
    <n v="3"/>
    <s v="A-3681 Item 26"/>
    <s v="MOBILE PULLEY"/>
    <n v="1"/>
  </r>
  <r>
    <s v="0008"/>
    <x v="1"/>
    <n v="14500000383"/>
    <s v="Engine Parts (Diesel)*EMD (645- 20 Cylinder)*Turbo Charger (T2)*Turbocharger (L20-645)"/>
    <x v="3"/>
    <s v="Y"/>
    <n v="1"/>
    <s v="Turbocharger (L20-645)"/>
    <s v="Engine Parts (Diesel)*EMD (645- 20 Cylinder)*Turbo Charger (T2)*Turbocharger (L20-645)"/>
    <n v="2"/>
    <s v="40108834"/>
    <s v="EMD (MSI)"/>
    <n v="1"/>
  </r>
  <r>
    <s v="0008"/>
    <x v="1"/>
    <n v="14500002209"/>
    <s v="Pump Parts (Dredge Pumps)*Stuffing Box Parts (GIW TBC-84 Pumps)*Stuffing Box (Boosters)*Lantern Ring, Gathane (Split)"/>
    <x v="10"/>
    <s v="Y"/>
    <n v="6"/>
    <s v="Lantern Ring, Gathane (Split)"/>
    <s v="Pump Parts (Dredge Pumps)*Stuffing Box Parts (GIW TBC-84 Pumps)*Stuffing Box (Boosters)*Lantern Ring, Gathane (Split)"/>
    <n v="7"/>
    <s v="618-0365A-00-03GAT"/>
    <s v="GIW"/>
    <n v="1"/>
  </r>
  <r>
    <s v="0008"/>
    <x v="1"/>
    <n v="14500002333"/>
    <s v="Pump Parts (Dredge Pumps)*Stuffing Box Parts (GIW TBC-84 Pumps)*Stuffing Box (Boosters)*Stuffing Box, Complete (11.5&quot;)"/>
    <x v="10"/>
    <s v="Y"/>
    <n v="3"/>
    <s v="Stuffing Box, Complete (11.5&quot;)"/>
    <s v="Pump Parts (Dredge Pumps)*Stuffing Box Parts (GIW TBC-84 Pumps)*Stuffing Box (Boosters)*Stuffing Box, Complete (11.5&quot;)"/>
    <n v="1"/>
    <s v="6560C-00-0P40C"/>
    <s v="GIW"/>
    <n v="1"/>
  </r>
  <r>
    <s v="0008"/>
    <x v="1"/>
    <n v="18000000007"/>
    <s v="Shafts &amp; Bearings (Cutter Drive)*Cutless Bearing (CAR-TX)*Ring, Stave Retainer, Cutless Bearing"/>
    <x v="23"/>
    <s v="Y"/>
    <n v="1"/>
    <s v="Ring, Stave Retainer, Cutless Bearing"/>
    <s v="Shafts &amp; Bearings (Cutter Drive)*Cutless Bearing (CAR-TX)*Ring, Stave Retainer, Cutless Bearing"/>
    <n v="1"/>
    <s v="104-02-0201"/>
    <s v="GLDD DRWG."/>
    <n v="1"/>
  </r>
  <r>
    <s v="0008"/>
    <x v="1"/>
    <n v="18000000045"/>
    <s v="Clutches*Clutch, Eaton (35CM500)*Clutch, 35CM500"/>
    <x v="25"/>
    <s v="Y"/>
    <n v="2"/>
    <s v="Clutch, 35CM500"/>
    <s v="Clutches*Clutch, Eaton (35CM500)*Clutch, 35CM500"/>
    <n v="2"/>
    <s v="35CM500"/>
    <s v="Eaton"/>
    <n v="1"/>
  </r>
  <r>
    <s v="0008"/>
    <x v="1"/>
    <n v="20100000268"/>
    <s v="Gearbox Parts (Clamshell Cranes)*Tagline Gearbox (55)*Speed Reducer, Tagline"/>
    <x v="22"/>
    <s v="Y"/>
    <n v="1"/>
    <s v="Speed Reducer, Tagline"/>
    <s v="Gearbox Parts (Clamshell Cranes)*Tagline Gearbox (55)*Speed Reducer, Tagline"/>
    <n v="2"/>
    <s v="2080FC2A"/>
    <s v="Falk"/>
    <n v="1"/>
  </r>
  <r>
    <s v="0008"/>
    <x v="1"/>
    <n v="20100000564"/>
    <s v="Motors, Electric (&gt;100 HP)*MG Set (55)*Hoist Generator (55)*Hoist Generator"/>
    <x v="14"/>
    <s v="Y"/>
    <n v="1"/>
    <s v="Hoist Generator"/>
    <s v="Motors, Electric (&gt;100 HP)*MG Set (55)*Hoist Generator (55)*Hoist Generator"/>
    <n v="0"/>
    <s v="27N8965"/>
    <s v="Westinghouse"/>
    <n v="1"/>
  </r>
  <r>
    <s v="0008"/>
    <x v="1"/>
    <n v="20100000570"/>
    <s v="Motors, Electric (&lt;100 HP)*Swing &amp; Boom Hoist Motor (55)*Motor, Swing/Boom Hoist (94 HP)"/>
    <x v="41"/>
    <s v="Y"/>
    <n v="1"/>
    <s v="Motor, Swing/Boom Hoist (94 HP)"/>
    <s v="Motors, Electric (&lt;100 HP)*Swing &amp; Boom Hoist Motor (55)*Motor, Swing/Boom Hoist (94 HP)"/>
    <n v="0"/>
    <s v="27N8961"/>
    <s v="Westinghouse"/>
    <n v="1"/>
  </r>
  <r>
    <s v="0008"/>
    <x v="1"/>
    <n v="21800000347"/>
    <s v="Buckets*Bucket (512) (24 YD) SPI*Bushing, Backhoe-Link"/>
    <x v="33"/>
    <s v="Y"/>
    <n v="4"/>
    <s v="Bushing, Backhoe-Link"/>
    <s v="Buckets*Bucket (512) (24 YD) SPI*Bushing, Backhoe-Link"/>
    <n v="1"/>
    <s v="11078618"/>
    <s v="LIEBHERR"/>
    <n v="1"/>
  </r>
  <r>
    <s v="0008"/>
    <x v="1"/>
    <n v="21800000351"/>
    <s v="Buckets*Bucket Teeth (NY)*Adapter, Base (Weld-On)  (6811-130)"/>
    <x v="33"/>
    <s v="Y"/>
    <n v="4"/>
    <s v="Adapter, Base (Weld-On)  (6811-130)"/>
    <s v="Buckets*Bucket Teeth (NY)*Adapter, Base (Weld-On)  (6811-130)"/>
    <n v="0"/>
    <s v="6811-130"/>
    <s v="ESCO"/>
    <n v="1"/>
  </r>
  <r>
    <s v="0008"/>
    <x v="1"/>
    <n v="21800000356"/>
    <s v="Buckets*Bucket (513) (24 YD) SPI*Bushing, Link"/>
    <x v="33"/>
    <s v="Y"/>
    <n v="4"/>
    <s v="Bushing, Link"/>
    <s v="Buckets*Bucket (513) (24 YD) SPI*Bushing, Link"/>
    <n v="1"/>
    <s v=" 120-10-10167"/>
    <s v="GLDD DWG"/>
    <n v="1"/>
  </r>
  <r>
    <s v="0008"/>
    <x v="1"/>
    <n v="21800000574"/>
    <s v="Pipe &amp; Hose (Jet Water)*Hose, Jet (8&quot;)*Jet Hose, 8&quot; X 5'"/>
    <x v="5"/>
    <s v="Y"/>
    <n v="2"/>
    <s v="Jet Hose, 8&quot; X 5'"/>
    <s v="Pipe &amp; Hose (Jet Water)*Hose, Jet (8&quot;)*Jet Hose, 8&quot; X 5'"/>
    <n v="4"/>
    <m/>
    <m/>
    <n v="1"/>
  </r>
  <r>
    <s v="0008"/>
    <x v="1"/>
    <n v="21800000646"/>
    <s v="Gearbox Parts (Propulsion)*Gearbox (LB)*Pinion &amp; Shaft, HS, Item 6"/>
    <x v="42"/>
    <s v="Y"/>
    <n v="1"/>
    <s v="Pinion &amp; Shaft, HS, Item 6"/>
    <s v="Gearbox Parts (Propulsion)*Gearbox (LB)*Pinion &amp; Shaft, HS, Item 6"/>
    <n v="1"/>
    <s v="50365*3062"/>
    <s v="PHILADELPHIA GEAR CORP"/>
    <n v="1"/>
  </r>
  <r>
    <s v="0008"/>
    <x v="1"/>
    <n v="21800000649"/>
    <s v="Gearbox Parts (Propulsion)*Gearbox (LB)*Oil Flinger"/>
    <x v="42"/>
    <s v="Y"/>
    <n v="1"/>
    <s v="Oil Flinger"/>
    <s v="Gearbox Parts (Propulsion)*Gearbox (LB)*Oil Flinger"/>
    <n v="1"/>
    <s v="50215*1257"/>
    <s v="PHILADELPHIA GEAR CORP"/>
    <n v="1"/>
  </r>
  <r>
    <s v="0008"/>
    <x v="1"/>
    <n v="21800000650"/>
    <s v="Gearbox Parts (Propulsion)*Gearbox (LB)*Oil Pump Drive Gear"/>
    <x v="42"/>
    <s v="Y"/>
    <n v="1"/>
    <s v="Oil Pump Drive Gear"/>
    <s v="Gearbox Parts (Propulsion)*Gearbox (LB)*Oil Pump Drive Gear"/>
    <n v="1"/>
    <s v="50260*0208"/>
    <s v="PHILADELPHIA GEAR CORP"/>
    <n v="1"/>
  </r>
  <r>
    <s v="0008"/>
    <x v="1"/>
    <n v="21800000653"/>
    <s v="Gearbox Parts (Propulsion)*Gearbox (LB)*Bearing Assembly, LS (Output) (25)"/>
    <x v="42"/>
    <s v="Y"/>
    <n v="1"/>
    <s v="Bearing Assembly, LS (Output) (25)"/>
    <s v="Gearbox Parts (Propulsion)*Gearbox (LB)*Bearing Assembly, LS (Output) (25)"/>
    <n v="1"/>
    <s v="L163149/110CD"/>
    <s v="TIMKEN"/>
    <n v="1"/>
  </r>
  <r>
    <s v="0008"/>
    <x v="1"/>
    <n v="21800000654"/>
    <s v="Gearbox Parts (Propulsion)*Gearbox (LB)*Bearing Assembly, HS (Input) (11)"/>
    <x v="42"/>
    <s v="Y"/>
    <n v="1"/>
    <s v="Bearing Assembly, HS (Input) (11)"/>
    <s v="Gearbox Parts (Propulsion)*Gearbox (LB)*Bearing Assembly, HS (Input) (11)"/>
    <n v="2"/>
    <s v="22232C"/>
    <s v="TIMKEN"/>
    <n v="1"/>
  </r>
  <r>
    <s v="0008"/>
    <x v="1"/>
    <n v="21800000655"/>
    <s v="Gearbox Parts (Propulsion)*Gearbox (LB)*Bearing Assembly, HS (Input) (15)"/>
    <x v="42"/>
    <s v="Y"/>
    <n v="1"/>
    <s v="Bearing Assembly, HS (Input) (15)"/>
    <s v="Gearbox Parts (Propulsion)*Gearbox (LB)*Bearing Assembly, HS (Input) (15)"/>
    <n v="1"/>
    <s v="H247535/510CD"/>
    <s v="TIMKEN"/>
    <n v="1"/>
  </r>
  <r>
    <s v="0008"/>
    <x v="1"/>
    <n v="21800000656"/>
    <s v="Gearbox Parts (Propulsion)*Gearbox (LB)*Bearing Assembly, HS (34)"/>
    <x v="42"/>
    <s v="Y"/>
    <n v="1"/>
    <s v="Bearing Assembly, HS (34)"/>
    <s v="Gearbox Parts (Propulsion)*Gearbox (LB)*Bearing Assembly, HS (34)"/>
    <n v="1"/>
    <s v="EE420801/421451CD"/>
    <s v="TIMKEN"/>
    <n v="1"/>
  </r>
  <r>
    <s v="0008"/>
    <x v="1"/>
    <n v="23500000062"/>
    <s v="Pump Parts (Dredge Pumps)*Stuffing Box Parts (GIW TBC-84 Pumps)*Stuffing Box (Boosters)*Sleeve, Shaft, D/P 11.5&quot;"/>
    <x v="10"/>
    <s v="Y"/>
    <n v="3"/>
    <s v="Sleeve, Shaft, D/P 11.5&quot;"/>
    <s v="Pump Parts (Dredge Pumps)*Stuffing Box Parts (GIW TBC-84 Pumps)*Stuffing Box (Boosters)*Sleeve, Shaft, D/P 11.5&quot;"/>
    <n v="4"/>
    <s v="8213D"/>
    <s v="GIW"/>
    <n v="1"/>
  </r>
  <r>
    <s v="0008"/>
    <x v="1"/>
    <n v="26400000023"/>
    <s v="Pump Parts (Ladder Pumps)*Ladder Pump (CAR)*Retaining Ring, Lip Seal"/>
    <x v="2"/>
    <s v="Y"/>
    <n v="1"/>
    <s v="Retaining Ring, Lip Seal"/>
    <s v="Pump Parts (Ladder Pumps)*Ladder Pump (CAR)*Retaining Ring, Lip Seal"/>
    <n v="0"/>
    <s v="B4825"/>
    <s v="MPMW Dwg "/>
    <n v="1"/>
  </r>
  <r>
    <s v="0008"/>
    <x v="1"/>
    <n v="26400000042"/>
    <s v="Engine Parts (Diesel)*EMD (645- 20 Cylinder)*?Lube Oil  Coolers (CO12)*Lube Oil Cooler (Col2)"/>
    <x v="3"/>
    <s v="Y"/>
    <n v="1"/>
    <s v="Lube Oil Cooler (Col2)"/>
    <s v="Engine Parts (Diesel)*EMD (645- 20 Cylinder)*?Lube Oil  Coolers (CO12)*Lube Oil Cooler (Col2)"/>
    <n v="0"/>
    <s v="8437992"/>
    <s v="EMD (MSI)"/>
    <n v="1"/>
  </r>
  <r>
    <s v="0008"/>
    <x v="1"/>
    <n v="26400000201"/>
    <s v="Shafts &amp; Bearings (Cutter Drive)*Thrust Bearing Assembly (OH-CAR-TX)*Spring, Cutter Thrust Bearing"/>
    <x v="23"/>
    <s v="Y"/>
    <n v="16"/>
    <s v="Spring, Cutter Thrust Bearing"/>
    <s v="Shafts &amp; Bearings (Cutter Drive)*Thrust Bearing Assembly (OH-CAR-TX)*Spring, Cutter Thrust Bearing"/>
    <n v="32"/>
    <s v="9-2006-21"/>
    <s v="DANLY"/>
    <n v="1"/>
  </r>
  <r>
    <s v="0008"/>
    <x v="1"/>
    <n v="27900000105"/>
    <s v="Shafts &amp; Bearings (Cutter Drive)*Intermediate Shafts (AK)*Cutter Shaft, Intermediate, 20'"/>
    <x v="23"/>
    <s v="Y"/>
    <n v="1"/>
    <s v="Cutter Shaft, Intermediate, 20'"/>
    <s v="Shafts &amp; Bearings (Cutter Drive)*Intermediate Shafts (AK)*Cutter Shaft, Intermediate, 20'"/>
    <n v="4"/>
    <m/>
    <m/>
    <n v="1"/>
  </r>
  <r>
    <s v="0008"/>
    <x v="1"/>
    <n v="27900000750"/>
    <s v="Shafts &amp; Bearings (Cutter Drive)*Tailshaft (IL)*Tailshaft, Finish Machined (W/ Coupling)"/>
    <x v="23"/>
    <s v="Y"/>
    <n v="1"/>
    <s v="Tailshaft, Finish Machined (W/ Coupling)"/>
    <s v="Shafts &amp; Bearings (Cutter Drive)*Tailshaft (IL)*Tailshaft, Finish Machined (W/ Coupling)"/>
    <n v="0"/>
    <m/>
    <m/>
    <n v="1"/>
  </r>
  <r>
    <s v="0008"/>
    <x v="1"/>
    <n v="27900000763"/>
    <s v="Ladder Parts*Wear Parts*Ladder Head Section (OH-CAR-TX)*Rope Guard, Ladder Head Section"/>
    <x v="7"/>
    <s v="Y"/>
    <n v="1"/>
    <s v="Rope Guard, Ladder Head Section"/>
    <s v="Ladder Parts*Wear Parts*Ladder Head Section (OH-CAR-TX)*Rope Guard, Ladder Head Section"/>
    <n v="2"/>
    <s v="110-02-12688"/>
    <s v="Gldd Dwg "/>
    <n v="1"/>
  </r>
  <r>
    <s v="0008"/>
    <x v="1"/>
    <n v="27900000764"/>
    <s v="Clutches*Clutch, Eaton (32VC1000)*Drum, Eaton 32VC1000 Clutch"/>
    <x v="25"/>
    <s v="Y"/>
    <n v="1"/>
    <s v="Drum, Eaton 32VC1000 Clutch"/>
    <s v="Clutches*Clutch, Eaton (32VC1000)*Drum, Eaton 32VC1000 Clutch"/>
    <n v="3"/>
    <s v="410824"/>
    <s v="EATON AIRFLEX"/>
    <n v="1"/>
  </r>
  <r>
    <s v="0008"/>
    <x v="1"/>
    <n v="27900000770"/>
    <s v="Shafts &amp; Bearings (Dredge Pump Drive)*Pump Bearing Assembly (A-6358)*Thrust Shaft/ Bearing Assy (Complete)"/>
    <x v="16"/>
    <s v="Y"/>
    <n v="1"/>
    <s v="Thrust Shaft/ Bearing Assy (Complete)"/>
    <s v="Shafts &amp; Bearings (Dredge Pump Drive)*Pump Bearing Assembly (A-6358)*Thrust Shaft/ Bearing Assy (Complete)"/>
    <n v="2"/>
    <s v="A-6358"/>
    <s v="SPI / MOBILE PULLEY"/>
    <n v="1"/>
  </r>
  <r>
    <s v="0008"/>
    <x v="1"/>
    <n v="31500000001"/>
    <s v="Shafts &amp; Bearings (Cutter Drive)*Cutless Bearing (AK-IL)*Waterbox, Cutless Bearing*Mounting Plate, Water Box"/>
    <x v="23"/>
    <s v="Y"/>
    <n v="1"/>
    <s v="Mounting Plate, Water Box"/>
    <s v="Shafts &amp; Bearings (Cutter Drive)*Cutless Bearing (AK-IL)*Waterbox, Cutless Bearing*Mounting Plate, Water Box"/>
    <n v="1"/>
    <s v="107-02-0120 ITEM 16"/>
    <s v="GLDD DWG"/>
    <n v="1"/>
  </r>
  <r>
    <s v="0008"/>
    <x v="1"/>
    <n v="32400000287"/>
    <s v="Shafts &amp; Bearings (Cutter Drive)*Thrust Bearing Assembly (OH-CAR-TX)*Seal, Labyrinth"/>
    <x v="23"/>
    <s v="Y"/>
    <n v="2"/>
    <s v="Seal, Labyrinth"/>
    <s v="Shafts &amp; Bearings (Cutter Drive)*Thrust Bearing Assembly (OH-CAR-TX)*Seal, Labyrinth"/>
    <n v="5"/>
    <s v="YSKD-1799-S02"/>
    <s v="SMALLEY"/>
    <n v="1"/>
  </r>
  <r>
    <s v="0008"/>
    <x v="1"/>
    <n v="32400000341"/>
    <s v="Ladder Parts*Hoisting*Travel Block (TX)*Lift Chain Assembly (3-3/4&quot;)"/>
    <x v="7"/>
    <s v="Y"/>
    <n v="1"/>
    <s v="Lift Chain Assembly (3-3/4&quot;)"/>
    <s v="Ladder Parts*Hoisting*Travel Block (TX)*Lift Chain Assembly (3-3/4&quot;)"/>
    <n v="1"/>
    <s v="ITEM 15- 118-02-2315"/>
    <s v="Gldd Dwg "/>
    <n v="1"/>
  </r>
  <r>
    <s v="0008"/>
    <x v="1"/>
    <n v="39200001185"/>
    <s v="Hydraulic Cylinders*Cylinder, Hydraulic (322)*Cylinder, Hydraulic, Draghead Davit"/>
    <x v="29"/>
    <s v="Y"/>
    <n v="1"/>
    <s v="Cylinder, Hydraulic, Draghead Davit"/>
    <s v="Hydraulic Cylinders*Cylinder, Hydraulic (322)*Cylinder, Hydraulic, Draghead Davit"/>
    <n v="0"/>
    <s v="322"/>
    <s v="IHC/BOSKALIS"/>
    <n v="1"/>
  </r>
  <r>
    <s v="0008"/>
    <x v="1"/>
    <n v="45000001323"/>
    <s v="Pump Parts (Ladder Pumps)*Ladder Pump (Universal)*Door, Engine Side"/>
    <x v="2"/>
    <s v="Y"/>
    <n v="2"/>
    <s v="Door, Engine Side"/>
    <s v="Pump Parts (Ladder Pumps)*Ladder Pump (Universal)*Door, Engine Side"/>
    <n v="0"/>
    <s v="5A-3610"/>
    <s v="MPMW/SPI"/>
    <n v="1"/>
  </r>
  <r>
    <s v="0008"/>
    <x v="1"/>
    <n v="45000001324"/>
    <s v="Pump Parts (Ladder Pumps)*Ladder Pump (Universal)*Liner, Engine Side"/>
    <x v="2"/>
    <s v="Y"/>
    <n v="3"/>
    <s v="Liner, Engine Side"/>
    <s v="Pump Parts (Ladder Pumps)*Ladder Pump (Universal)*Liner, Engine Side"/>
    <n v="2"/>
    <s v="SK-4760"/>
    <s v="MPMW/SPI"/>
    <n v="1"/>
  </r>
  <r>
    <s v="0008"/>
    <x v="1"/>
    <n v="45000001327"/>
    <s v="Pump Parts (Ladder Pumps)*Stuffing Box (OH-TX)*Packing Gland, Split"/>
    <x v="2"/>
    <s v="Y"/>
    <n v="2"/>
    <s v="Packing Gland, Split"/>
    <s v="Pump Parts (Ladder Pumps)*Stuffing Box (OH-TX)*Packing Gland, Split"/>
    <n v="0"/>
    <s v="D-1847"/>
    <s v="SPI/MPMW"/>
    <n v="1"/>
  </r>
  <r>
    <s v="0008"/>
    <x v="1"/>
    <n v="45000001328"/>
    <s v="Pump Parts (Ladder Pumps)*Stuffing Box (OH-TX)*Water Ring, Split, Ladder Pump"/>
    <x v="2"/>
    <s v="Y"/>
    <n v="2"/>
    <s v="Water Ring, Split, Ladder Pump"/>
    <s v="Pump Parts (Ladder Pumps)*Stuffing Box (OH-TX)*Water Ring, Split, Ladder Pump"/>
    <n v="5"/>
    <s v="D-1846"/>
    <s v="SPI/MPMW"/>
    <n v="1"/>
  </r>
  <r>
    <s v="0008"/>
    <x v="1"/>
    <n v="45000001347"/>
    <s v="Clutches*Clutch, Eaton (32VC1000)*Spider, 32VC1000 Clutch"/>
    <x v="25"/>
    <s v="Y"/>
    <n v="1"/>
    <s v="Spider, 32VC1000 Clutch"/>
    <s v="Clutches*Clutch, Eaton (32VC1000)*Spider, 32VC1000 Clutch"/>
    <n v="0"/>
    <s v="509706-0001"/>
    <s v="EATON AIRFLEX"/>
    <n v="1"/>
  </r>
  <r>
    <s v="0008"/>
    <x v="1"/>
    <n v="45000001765"/>
    <s v="Skimmer Tubes*Skimmer Tube (TI)*Cylinder, Hydraulic Skimmer Tube"/>
    <x v="30"/>
    <s v="Y"/>
    <n v="1"/>
    <s v="Cylinder, Hydraulic Skimmer Tube"/>
    <s v="Skimmer Tubes*Skimmer Tube (TI)*Cylinder, Hydraulic Skimmer Tube"/>
    <n v="1"/>
    <s v="2538"/>
    <s v="CRC"/>
    <n v="1"/>
  </r>
  <r>
    <s v="0008"/>
    <x v="1"/>
    <n v="45000002225"/>
    <s v="Hopper Systems*Collection Line Doors (TI)*Cylinder, Hydraulic, Collection Doors"/>
    <x v="43"/>
    <s v="Y"/>
    <n v="2"/>
    <s v="Cylinder, Hydraulic, Collection Doors"/>
    <s v="Hopper Systems*Collection Line Doors (TI)*Cylinder, Hydraulic, Collection Doors"/>
    <n v="3"/>
    <s v="145-03-11217"/>
    <s v="Gldd Dwg "/>
    <n v="1"/>
  </r>
  <r>
    <s v="0008"/>
    <x v="1"/>
    <n v="45000002989"/>
    <s v="Skimmer Tubes*Skimmer Tube (SI-DI-PI)*Skimmer Screen, Flat (New Style)"/>
    <x v="30"/>
    <s v="Y"/>
    <n v="2"/>
    <s v="Skimmer Screen, Flat (New Style)"/>
    <s v="Skimmer Tubes*Skimmer Tube (SI-DI-PI)*Skimmer Screen, Flat (New Style)"/>
    <n v="0"/>
    <s v="141-143-03-36231"/>
    <s v="Gldd Dwg "/>
    <n v="1"/>
  </r>
  <r>
    <s v="0008"/>
    <x v="1"/>
    <n v="45000003571"/>
    <s v="Valves (Slurry)*Valve (30&quot;) (LI)*Clevis, Welded Type"/>
    <x v="31"/>
    <s v="Y"/>
    <n v="2"/>
    <s v="Clevis, Welded Type"/>
    <s v="Valves (Slurry)*Valve (30&quot;) (LI)*Clevis, Welded Type"/>
    <n v="0"/>
    <s v="147-09-28629"/>
    <s v="Gldd Dwg "/>
    <n v="1"/>
  </r>
  <r>
    <s v="0008"/>
    <x v="1"/>
    <n v="45000005538"/>
    <s v="Liebherr*Splitter Box (#1)*Bearing Lube Oil Pump (P9.1)*Splitter Box*Coupling, Splitter Box"/>
    <x v="44"/>
    <s v="Y"/>
    <n v="1"/>
    <s v="Coupling, Splitter Box"/>
    <s v="Liebherr*Splitter Box (#1)*Bearing Lube Oil Pump (P9.1)*Splitter Box*Coupling, Splitter Box"/>
    <n v="1"/>
    <s v="11000887"/>
    <s v="LIEBHERR"/>
    <n v="2"/>
  </r>
  <r>
    <s v="0008"/>
    <x v="1"/>
    <n v="45000008648"/>
    <s v="Gearbox Parts (Clamshell Cranes)*Swing Gearbox (55)*Swing gear, large"/>
    <x v="22"/>
    <s v="Y"/>
    <n v="2"/>
    <s v="Swing gear, large"/>
    <s v="Gearbox Parts (Clamshell Cranes)*Swing Gearbox (55)*Swing gear, large"/>
    <n v="1"/>
    <s v="91503"/>
    <s v="PAGE ENGINEERING"/>
    <n v="1"/>
  </r>
  <r>
    <s v="0008"/>
    <x v="1"/>
    <n v="45000008650"/>
    <s v="Gearbox Parts (Clamshell Cranes)*Swing Gearbox (55)*Thrust washer, swing shaft"/>
    <x v="22"/>
    <s v="Y"/>
    <n v="2"/>
    <s v="Thrust washer, swing shaft"/>
    <s v="Gearbox Parts (Clamshell Cranes)*Swing Gearbox (55)*Thrust washer, swing shaft"/>
    <n v="0"/>
    <s v="5702C"/>
    <s v="PAGE ENGINEERING"/>
    <n v="1"/>
  </r>
  <r>
    <s v="0008"/>
    <x v="1"/>
    <n v="45000008651"/>
    <s v="Gearbox Parts (Clamshell Cranes)*Swing Gearbox (55)*Thrust washer, swing shaft"/>
    <x v="22"/>
    <s v="Y"/>
    <n v="2"/>
    <s v="Thrust washer, swing shaft"/>
    <s v="Gearbox Parts (Clamshell Cranes)*Swing Gearbox (55)*Thrust washer, swing shaft"/>
    <n v="0"/>
    <s v="5702B"/>
    <s v="PAGE ENGINEERING"/>
    <n v="1"/>
  </r>
  <r>
    <s v="0008"/>
    <x v="1"/>
    <n v="45000008652"/>
    <s v="Gearbox Parts (Clamshell Cranes)*Swing Gearbox (55)*Bearing retainer plate"/>
    <x v="22"/>
    <s v="Y"/>
    <n v="2"/>
    <s v="Bearing retainer plate"/>
    <s v="Gearbox Parts (Clamshell Cranes)*Swing Gearbox (55)*Bearing retainer plate"/>
    <n v="2"/>
    <s v="5703E"/>
    <s v="PAGE ENGINEERING"/>
    <n v="1"/>
  </r>
  <r>
    <s v="0008"/>
    <x v="1"/>
    <n v="45000008653"/>
    <s v="Gearbox Parts (Clamshell Cranes)*Swing Gearbox (55)*Bearing retainer plate"/>
    <x v="22"/>
    <s v="Y"/>
    <n v="2"/>
    <s v="Bearing retainer plate"/>
    <s v="Gearbox Parts (Clamshell Cranes)*Swing Gearbox (55)*Bearing retainer plate"/>
    <n v="2"/>
    <s v="5703D"/>
    <s v="PAGE ENGINEERING"/>
    <n v="1"/>
  </r>
  <r>
    <s v="0008"/>
    <x v="1"/>
    <n v="45000008654"/>
    <s v="Gearbox Parts (Clamshell Cranes)*Swing Gearbox (55)*Shell, upper bearing (Brass)"/>
    <x v="22"/>
    <s v="Y"/>
    <n v="2"/>
    <s v="Shell, upper bearing (Brass)"/>
    <s v="Gearbox Parts (Clamshell Cranes)*Swing Gearbox (55)*Shell, upper bearing (Brass)"/>
    <n v="0"/>
    <s v="5702A"/>
    <s v="PAGE ENGINEERING"/>
    <n v="1"/>
  </r>
  <r>
    <s v="0008"/>
    <x v="1"/>
    <n v="45000008655"/>
    <s v="Gearbox Parts (Clamshell Cranes)*Swing Gearbox (55)*Shaft, Vertical Swing"/>
    <x v="22"/>
    <s v="Y"/>
    <n v="2"/>
    <s v="Shaft, Vertical Swing"/>
    <s v="Gearbox Parts (Clamshell Cranes)*Swing Gearbox (55)*Shaft, Vertical Swing"/>
    <n v="2"/>
    <s v="RG91504-13"/>
    <s v="Joyglobal"/>
    <n v="1"/>
  </r>
  <r>
    <s v="0008"/>
    <x v="1"/>
    <n v="45000008656"/>
    <s v="Gearbox Parts (Clamshell Cranes)*Swing Gearbox (55)*Bushing, swing gear"/>
    <x v="22"/>
    <s v="Y"/>
    <n v="2"/>
    <s v="Bushing, swing gear"/>
    <s v="Gearbox Parts (Clamshell Cranes)*Swing Gearbox (55)*Bushing, swing gear"/>
    <n v="2"/>
    <s v="9493D"/>
    <s v="PAGE ENGINEERING"/>
    <n v="1"/>
  </r>
  <r>
    <s v="0008"/>
    <x v="1"/>
    <n v="45000008657"/>
    <s v="Gearbox Parts (Clamshell Cranes)*Swing Gearbox (55)*Shell, lower bearing, swing shaft"/>
    <x v="22"/>
    <s v="Y"/>
    <n v="2"/>
    <s v="Shell, lower bearing, swing shaft"/>
    <s v="Gearbox Parts (Clamshell Cranes)*Swing Gearbox (55)*Shell, lower bearing, swing shaft"/>
    <n v="2"/>
    <s v="9493C"/>
    <s v="PAGE ENGINEERING"/>
    <n v="1"/>
  </r>
  <r>
    <s v="0008"/>
    <x v="1"/>
    <n v="45000008658"/>
    <s v="Gearbox Parts (Clamshell Cranes)*Swing Gearbox (55)*Bearing, swing shaft"/>
    <x v="22"/>
    <s v="Y"/>
    <n v="2"/>
    <s v="Bearing, swing shaft"/>
    <s v="Gearbox Parts (Clamshell Cranes)*Swing Gearbox (55)*Bearing, swing shaft"/>
    <n v="2"/>
    <s v="9494S"/>
    <s v="PAGE ENGINEERING"/>
    <n v="1"/>
  </r>
  <r>
    <s v="0008"/>
    <x v="1"/>
    <n v="45000008659"/>
    <s v="Gearbox Parts (Clamshell Cranes)*Swing Gearbox (55)*Bearing, swing shaft"/>
    <x v="22"/>
    <s v="Y"/>
    <n v="2"/>
    <s v="Bearing, swing shaft"/>
    <s v="Gearbox Parts (Clamshell Cranes)*Swing Gearbox (55)*Bearing, swing shaft"/>
    <n v="2"/>
    <s v="9494AS"/>
    <s v="PAGE ENGINEERING"/>
    <n v="1"/>
  </r>
  <r>
    <s v="0008"/>
    <x v="1"/>
    <n v="45000008661"/>
    <s v="Gearbox Parts (Clamshell Cranes)*Swing Gearbox (55)*Swing pinion"/>
    <x v="22"/>
    <s v="Y"/>
    <n v="2"/>
    <s v="Swing pinion"/>
    <s v="Gearbox Parts (Clamshell Cranes)*Swing Gearbox (55)*Swing pinion"/>
    <n v="2"/>
    <s v="34829A-1"/>
    <s v="PAGE ENGINEERING"/>
    <n v="1"/>
  </r>
  <r>
    <s v="0008"/>
    <x v="1"/>
    <n v="45000008663"/>
    <s v="Gearbox Parts (Clamshell Cranes)*Swing Gearbox (55)*Shell, intermediate bearing"/>
    <x v="22"/>
    <s v="Y"/>
    <n v="2"/>
    <s v="Shell, intermediate bearing"/>
    <s v="Gearbox Parts (Clamshell Cranes)*Swing Gearbox (55)*Shell, intermediate bearing"/>
    <n v="1"/>
    <s v="3798Y"/>
    <s v="PAGE ENGINEERING"/>
    <n v="1"/>
  </r>
  <r>
    <s v="0008"/>
    <x v="1"/>
    <n v="45000008664"/>
    <s v="Gearbox Parts (Clamshell Cranes)*Swing Gearbox (55)*Bearing retainer plate"/>
    <x v="22"/>
    <s v="Y"/>
    <n v="2"/>
    <s v="Bearing retainer plate"/>
    <s v="Gearbox Parts (Clamshell Cranes)*Swing Gearbox (55)*Bearing retainer plate"/>
    <n v="1"/>
    <s v="3799M"/>
    <s v="PAGE ENGINEERING"/>
    <n v="1"/>
  </r>
  <r>
    <s v="0008"/>
    <x v="1"/>
    <n v="45000008665"/>
    <s v="Gearbox Parts (Clamshell Cranes)*Swing Gearbox (55)*Bearing retainer plate"/>
    <x v="22"/>
    <s v="Y"/>
    <n v="2"/>
    <s v="Bearing retainer plate"/>
    <s v="Gearbox Parts (Clamshell Cranes)*Swing Gearbox (55)*Bearing retainer plate"/>
    <n v="2"/>
    <s v="3799C"/>
    <s v="PAGE ENGINEERING"/>
    <n v="1"/>
  </r>
  <r>
    <s v="0008"/>
    <x v="1"/>
    <n v="45000008668"/>
    <s v="Gearbox Parts (Clamshell Cranes)*Swing Gearbox (55)*Motor Pinion"/>
    <x v="22"/>
    <s v="Y"/>
    <n v="2"/>
    <s v="Motor Pinion"/>
    <s v="Gearbox Parts (Clamshell Cranes)*Swing Gearbox (55)*Motor Pinion"/>
    <n v="2"/>
    <s v="91500"/>
    <s v="PAGE ENGINEERING"/>
    <n v="1"/>
  </r>
  <r>
    <s v="0008"/>
    <x v="1"/>
    <n v="45000008669"/>
    <s v="Gearbox Parts (Clamshell Cranes)*Swing Gearbox (55)*Gear, intermediate swing"/>
    <x v="22"/>
    <s v="Y"/>
    <n v="2"/>
    <s v="Gear, intermediate swing"/>
    <s v="Gearbox Parts (Clamshell Cranes)*Swing Gearbox (55)*Gear, intermediate swing"/>
    <n v="2"/>
    <s v="91501"/>
    <s v="PAGE ENGINEERING"/>
    <n v="1"/>
  </r>
  <r>
    <s v="0008"/>
    <x v="1"/>
    <n v="45000008671"/>
    <s v="Gearbox Parts (Clamshell Cranes)*Swing Gearbox (55)*Bushing, intermediate shaft"/>
    <x v="22"/>
    <s v="Y"/>
    <n v="2"/>
    <s v="Bushing, intermediate shaft"/>
    <s v="Gearbox Parts (Clamshell Cranes)*Swing Gearbox (55)*Bushing, intermediate shaft"/>
    <n v="1"/>
    <s v="34087"/>
    <s v="PAGE ENGINEERING"/>
    <n v="1"/>
  </r>
  <r>
    <s v="0008"/>
    <x v="1"/>
    <n v="45000008677"/>
    <s v="Swing Parts (Clamshell)*Swing Circle (55)*Bushing, Dolly Wheel"/>
    <x v="28"/>
    <s v="Y"/>
    <n v="90"/>
    <s v="Bushing, Dolly Wheel"/>
    <s v="Swing Parts (Clamshell)*Swing Circle (55)*Bushing, Dolly Wheel"/>
    <n v="90"/>
    <s v="92148-1"/>
    <s v="PAGE ENGINEERING"/>
    <n v="1"/>
  </r>
  <r>
    <s v="0008"/>
    <x v="1"/>
    <n v="45000008680"/>
    <s v="Swing Parts (Clamshell)*Swing Circle (55)*Dolly Wheel, Double Flange"/>
    <x v="28"/>
    <s v="Y"/>
    <n v="90"/>
    <s v="Dolly Wheel, Double Flange"/>
    <s v="Swing Parts (Clamshell)*Swing Circle (55)*Dolly Wheel, Double Flange"/>
    <n v="90"/>
    <s v="35591"/>
    <s v="PAGE ENGINEERING"/>
    <n v="1"/>
  </r>
  <r>
    <s v="0008"/>
    <x v="1"/>
    <n v="45000010254"/>
    <s v="Spuds*Spud System (NY)*Port Spud*Lead Sheave*Bearing, Upper Sheave"/>
    <x v="27"/>
    <s v="Y"/>
    <n v="8"/>
    <s v="Bearing, Upper Sheave"/>
    <s v="Spuds*Spud System (NY)*Port Spud*Lead Sheave*Bearing, Upper Sheave"/>
    <n v="8"/>
    <s v="SL045048-D-PP"/>
    <s v="DEDONGE SYSTEM"/>
    <n v="1"/>
  </r>
  <r>
    <s v="0008"/>
    <x v="1"/>
    <n v="45000010591"/>
    <s v="Gearbox Parts (Clamshell Cranes)*Swing Gearbox (53)*Swing Shaft"/>
    <x v="22"/>
    <s v="Y"/>
    <n v="1"/>
    <s v="Swing Shaft"/>
    <s v="Gearbox Parts (Clamshell Cranes)*Swing Gearbox (53)*Swing Shaft"/>
    <n v="2"/>
    <s v="133-08-21211 Rev 1"/>
    <s v="Gldd Dwg "/>
    <n v="1"/>
  </r>
  <r>
    <s v="0008"/>
    <x v="1"/>
    <n v="45000012510"/>
    <s v="Derricks/Cranes/Overhead Hoists*Boom Angle Indicators*Angle Indicator, Boom"/>
    <x v="45"/>
    <s v="Y"/>
    <n v="1"/>
    <s v="Angle Indicator, Boom"/>
    <s v="Derricks/Cranes/Overhead Hoists*Boom Angle Indicators*Angle Indicator, Boom"/>
    <n v="1"/>
    <s v="1106439"/>
    <s v="AMERICAN CRANE"/>
    <n v="1"/>
  </r>
  <r>
    <s v="0008"/>
    <x v="1"/>
    <n v="45000013304"/>
    <s v="Spuds (Jackup Boosters)*Spuds (JK)*Gear Rack Section, Spud"/>
    <x v="46"/>
    <s v="Y"/>
    <n v="2"/>
    <s v="Gear Rack Section, Spud"/>
    <s v="Spuds (Jackup Boosters)*Spuds (JK)*Gear Rack Section, Spud"/>
    <n v="4"/>
    <s v="211-06-8010 Rev 8"/>
    <s v="Gldd Dwg "/>
    <n v="1"/>
  </r>
  <r>
    <s v="0008"/>
    <x v="1"/>
    <n v="45000013921"/>
    <s v="Gearbox Parts (Clamshell Cranes)*Swing Gearbox (53)*Swing Pinion"/>
    <x v="22"/>
    <s v="Y"/>
    <n v="2"/>
    <s v="Swing Pinion"/>
    <s v="Gearbox Parts (Clamshell Cranes)*Swing Gearbox (53)*Swing Pinion"/>
    <n v="2"/>
    <s v="133-08-0193"/>
    <s v="Gldd Dwg "/>
    <n v="1"/>
  </r>
  <r>
    <s v="0008"/>
    <x v="1"/>
    <n v="45000013922"/>
    <s v="Gearbox Parts (Clamshell Cranes)*Swing Gearbox (53)*Motor Pinion"/>
    <x v="22"/>
    <s v="Y"/>
    <n v="2"/>
    <s v="Motor Pinion"/>
    <s v="Gearbox Parts (Clamshell Cranes)*Swing Gearbox (53)*Motor Pinion"/>
    <n v="2"/>
    <s v="133-08-0193"/>
    <s v="Gldd Dwg "/>
    <n v="1"/>
  </r>
  <r>
    <s v="0008"/>
    <x v="1"/>
    <n v="45000014063"/>
    <s v="Pump Parts (Dredge Pumps)*Stuffing Box Parts (GIW TBC-84 Pumps)*Stuffing Box (Boosters)*Wear Plate Assembly"/>
    <x v="10"/>
    <s v="Y"/>
    <n v="3"/>
    <s v="Wear Plate Assembly"/>
    <s v="Pump Parts (Dredge Pumps)*Stuffing Box Parts (GIW TBC-84 Pumps)*Stuffing Box (Boosters)*Wear Plate Assembly"/>
    <n v="4"/>
    <s v="0390A"/>
    <s v="GIW"/>
    <n v="1"/>
  </r>
  <r>
    <s v="0008"/>
    <x v="1"/>
    <n v="45000014489"/>
    <s v="Pump Parts (Ladder Pumps)*Ladder Pump (Universal)*Impeller, 60&quot; 3-Vane"/>
    <x v="2"/>
    <s v="Y"/>
    <n v="2"/>
    <s v="Impeller, 60&quot; 3-Vane"/>
    <s v="Pump Parts (Ladder Pumps)*Ladder Pump (Universal)*Impeller, 60&quot; 3-Vane"/>
    <n v="3"/>
    <s v="12A-3611"/>
    <s v="SPI/MPMW"/>
    <n v="1"/>
  </r>
  <r>
    <s v="0008"/>
    <x v="1"/>
    <n v="45000014503"/>
    <s v="Pump Parts (Ladder Pumps)*Ladder Pump (Universal)*Impeller, 60&quot; 3-Vane"/>
    <x v="2"/>
    <s v="Y"/>
    <n v="3"/>
    <s v="Impeller, 60&quot; 3-Vane"/>
    <s v="Pump Parts (Ladder Pumps)*Ladder Pump (Universal)*Impeller, 60&quot; 3-Vane"/>
    <n v="0"/>
    <s v="13A-3611"/>
    <s v="SPI/MPMW"/>
    <n v="1"/>
  </r>
  <r>
    <s v="0008"/>
    <x v="1"/>
    <n v="45000015865"/>
    <s v="Shafts &amp; Bearings (Dredge Pump Drive)*Drive Line (EMD) (TX-PO)*Stubshaft, Engine to Clutch"/>
    <x v="16"/>
    <s v="Y"/>
    <n v="1"/>
    <s v="Stubshaft, Engine to Clutch"/>
    <s v="Shafts &amp; Bearings (Dredge Pump Drive)*Drive Line (EMD) (TX-PO)*Stubshaft, Engine to Clutch"/>
    <n v="1"/>
    <s v="8367119"/>
    <s v="EMD"/>
    <n v="1"/>
  </r>
  <r>
    <s v="0008"/>
    <x v="1"/>
    <n v="45000016121"/>
    <s v="Pump Parts (Dredge Pumps)*Dredge Pump (TI)*Impeller, Moballoy HS"/>
    <x v="10"/>
    <s v="Y"/>
    <n v="1"/>
    <s v="Impeller, Moballoy HS"/>
    <s v="Pump Parts (Dredge Pumps)*Dredge Pump (TI)*Impeller, Moballoy HS"/>
    <n v="1"/>
    <s v="2A-4372"/>
    <s v="SPI/MPMW"/>
    <n v="1"/>
  </r>
  <r>
    <s v="0008"/>
    <x v="1"/>
    <n v="45000016244"/>
    <s v="Excavator (Liebherr 996)*Upper Carriage*Uppercarriage*Oil Cooler, Hydraulic, Large"/>
    <x v="8"/>
    <s v="Y"/>
    <n v="2"/>
    <s v="Oil Cooler, Hydraulic, Large"/>
    <s v="Excavator (Liebherr 996)*Upper Carriage*Uppercarriage*Oil Cooler, Hydraulic, Large"/>
    <n v="0"/>
    <s v="5611936"/>
    <s v="LIEBHERR"/>
    <n v="1"/>
  </r>
  <r>
    <s v="0008"/>
    <x v="1"/>
    <n v="45000017150"/>
    <s v="Pipe &amp; Hose (Dredge Slurry)*Castings (24&quot;)*Elbow (C-1182) 24&quot; x 90 Degrees*Elbow,  24&quot; X 90 Degrees X 48&quot; CLR"/>
    <x v="20"/>
    <s v="Y"/>
    <n v="4"/>
    <s v="Elbow,  24&quot; X 90 Degrees X 48&quot; CLR"/>
    <s v="Pipe &amp; Hose (Dredge Slurry)*Castings (24&quot;)*Elbow (C-1182) 24&quot; x 90 Degrees*Elbow,  24&quot; X 90 Degrees X 48&quot; CLR"/>
    <n v="6"/>
    <s v="C-1182"/>
    <s v="MPMW/SPI"/>
    <n v="1"/>
  </r>
  <r>
    <s v="0008"/>
    <x v="1"/>
    <n v="45000017235"/>
    <s v="Pump Parts (Ladder Pumps)*Ladder Pump (Universal)*Impeller, 56&quot; 3-Vane"/>
    <x v="2"/>
    <s v="Y"/>
    <n v="1"/>
    <s v="Impeller, 56&quot; 3-Vane"/>
    <s v="Pump Parts (Ladder Pumps)*Ladder Pump (Universal)*Impeller, 56&quot; 3-Vane"/>
    <n v="3"/>
    <s v="11A-3611"/>
    <s v="SPI/MPMW"/>
    <n v="1"/>
  </r>
  <r>
    <s v="0008"/>
    <x v="1"/>
    <n v="45000018446"/>
    <s v="Pipe &amp; Hose (Dredge Slurry)*Castings (24&quot;)*TEE  (2A-4203)*T-Piece 24&quot; X 24&quot; X 24&quot;"/>
    <x v="20"/>
    <s v="Y"/>
    <n v="3"/>
    <s v="T-Piece 24&quot; X 24&quot; X 24&quot;"/>
    <s v="Pipe &amp; Hose (Dredge Slurry)*Castings (24&quot;)*TEE  (2A-4203)*T-Piece 24&quot; X 24&quot; X 24&quot;"/>
    <n v="1"/>
    <s v="2A-4203"/>
    <s v="MOBIL PULLEY"/>
    <n v="1"/>
  </r>
  <r>
    <s v="0008"/>
    <x v="1"/>
    <n v="45000019395"/>
    <s v="Cutterheads*Cutter Screens, ROCK Rings, Wear Plates*Burn Out Ring, 38DS Cutter"/>
    <x v="47"/>
    <s v="Y"/>
    <n v="4"/>
    <s v="Burn Out Ring, 38DS Cutter"/>
    <s v="Cutterheads*Cutter Screens, ROCK Rings, Wear Plates*Burn Out Ring, 38DS Cutter"/>
    <n v="8"/>
    <s v="107-02-10294"/>
    <s v="Gldd Dwg "/>
    <n v="1"/>
  </r>
  <r>
    <s v="0008"/>
    <x v="1"/>
    <n v="45000019396"/>
    <s v="Cutterheads*Cutter Screens, ROCK Rings, Wear Plates*Burn Out Ring, 52D Cutter"/>
    <x v="47"/>
    <s v="Y"/>
    <n v="4"/>
    <s v="Burn Out Ring, 52D Cutter"/>
    <s v="Cutterheads*Cutter Screens, ROCK Rings, Wear Plates*Burn Out Ring, 52D Cutter"/>
    <n v="2"/>
    <s v="110-02-12688"/>
    <s v="Gldd Dwg "/>
    <n v="1"/>
  </r>
  <r>
    <s v="0008"/>
    <x v="1"/>
    <n v="45000019457"/>
    <s v="Ladder Parts*Hoisting*Travel Block (TX)*Sheave, Equalizer, 24-1/2&quot; R.D."/>
    <x v="7"/>
    <s v="Y"/>
    <n v="1"/>
    <s v="Sheave, Equalizer, 24-1/2&quot; R.D."/>
    <s v="Ladder Parts*Hoisting*Travel Block (TX)*Sheave, Equalizer, 24-1/2&quot; R.D."/>
    <n v="1"/>
    <s v="118-02-2315"/>
    <s v="Gldd Dwg "/>
    <n v="1"/>
  </r>
  <r>
    <s v="0008"/>
    <x v="1"/>
    <n v="45000019751"/>
    <s v="Dragarms*Jet Hose Reel (SI-DI-PI)*Hydraulic Motor, Hose Reel (DI-PI)*Motor, Hose Reel (New)"/>
    <x v="21"/>
    <s v="Y"/>
    <n v="1"/>
    <s v="Motor, Hose Reel (New)"/>
    <s v="Dragarms*Jet Hose Reel (SI-DI-PI)*Hydraulic Motor, Hose Reel (DI-PI)*Motor, Hose Reel (New)"/>
    <n v="0"/>
    <s v="MS18-1-111-R18-2A10-E000"/>
    <s v="POCLAIN"/>
    <n v="1"/>
  </r>
  <r>
    <s v="0008"/>
    <x v="1"/>
    <n v="45000020015"/>
    <s v="Ladder Parts*Hoisting*Travel Block (TX)*Pin, Crown Block (9')"/>
    <x v="7"/>
    <s v="Y"/>
    <n v="1"/>
    <s v="Pin, Crown Block (9')"/>
    <s v="Ladder Parts*Hoisting*Travel Block (TX)*Pin, Crown Block (9')"/>
    <n v="0"/>
    <s v="118-06-616"/>
    <s v="Gldd Dwg "/>
    <n v="1"/>
  </r>
  <r>
    <s v="0008"/>
    <x v="1"/>
    <n v="45000020062"/>
    <s v="Gearbox Parts (Cutter)*Gearbox, Cutter (TX)*Housing Assembly*Superbolt, (3.00)"/>
    <x v="6"/>
    <s v="Y"/>
    <n v="6"/>
    <s v="Superbolt, (3.00)"/>
    <s v="Gearbox Parts (Cutter)*Gearbox, Cutter (TX)*Housing Assembly*Superbolt, (3.00)"/>
    <n v="8"/>
    <s v="H1216-04129, SPECIAL 3.000-4"/>
    <s v="SUPERBOLT"/>
    <n v="1"/>
  </r>
  <r>
    <s v="0008"/>
    <x v="1"/>
    <n v="45000021075"/>
    <s v="Dragheads*Draghead (Wild Dragon) (LB)*Visor Pin, TED Extension"/>
    <x v="17"/>
    <s v="Y"/>
    <n v="4"/>
    <s v="Visor Pin, TED Extension"/>
    <s v="Dragheads*Draghead (Wild Dragon) (LB)*Visor Pin, TED Extension"/>
    <n v="4"/>
    <s v="147-11-14544"/>
    <s v="GLDD DWG"/>
    <n v="1"/>
  </r>
  <r>
    <s v="0008"/>
    <x v="1"/>
    <n v="45000021593"/>
    <s v="Dragarms*Jet Hose Reel (SI-DI-PI)*Pinion Gear, New Style Gear, Splined ID"/>
    <x v="21"/>
    <s v="Y"/>
    <n v="1"/>
    <s v="Pinion Gear, New Style Gear, Splined ID"/>
    <s v="Dragarms*Jet Hose Reel (SI-DI-PI)*Pinion Gear, New Style Gear, Splined ID"/>
    <n v="0"/>
    <s v="3DP, 34T 5480 DIN BORE"/>
    <s v="P&amp;G MACHINE"/>
    <n v="1"/>
  </r>
  <r>
    <s v="0008"/>
    <x v="1"/>
    <n v="45000022115"/>
    <s v="Piping (MI Class Hoppers)*Hardware*Gasket, Victaulic Coupling, Style 41"/>
    <x v="48"/>
    <s v="Y"/>
    <n v="2"/>
    <s v="Gasket, Victaulic Coupling, Style 41"/>
    <s v="Piping (MI Class Hoppers)*Hardware*Gasket, Victaulic Coupling, Style 41"/>
    <n v="2"/>
    <m/>
    <m/>
    <n v="1"/>
  </r>
  <r>
    <s v="0008"/>
    <x v="1"/>
    <n v="45000022148"/>
    <s v="Shafts &amp; Bearings (Ladder Pump Drive)*Pump Bearing Assembly (OH-TX)*Seal, Duo Cone, L/P Bearing (Pump End)"/>
    <x v="49"/>
    <s v="Y"/>
    <n v="1"/>
    <s v="Seal, Duo Cone, L/P Bearing (Pump End)"/>
    <s v="Shafts &amp; Bearings (Ladder Pump Drive)*Pump Bearing Assembly (OH-TX)*Seal, Duo Cone, L/P Bearing (Pump End)"/>
    <n v="2"/>
    <s v="6T-6802"/>
    <s v="Caterpillar"/>
    <n v="1"/>
  </r>
  <r>
    <s v="0008"/>
    <x v="1"/>
    <n v="45000023155"/>
    <s v="Pump Parts (Dredge Pumps)*Dredge Pump (SI-DI-PI)*Impeller, 57&quot;, 4-Super-Vane"/>
    <x v="10"/>
    <s v="Y"/>
    <n v="2"/>
    <s v="Impeller, 57&quot;, 4-Super-Vane"/>
    <s v="Pump Parts (Dredge Pumps)*Dredge Pump (SI-DI-PI)*Impeller, 57&quot;, 4-Super-Vane"/>
    <n v="1"/>
    <s v="2A-5768"/>
    <s v="MOBILE PULLEY"/>
    <n v="1"/>
  </r>
  <r>
    <s v="0008"/>
    <x v="1"/>
    <n v="45000024564"/>
    <s v="Dragheads*Draghead Teeth/Locking Pin/Adapters*Pin, Locking, 20-LP (Dredge Technology)"/>
    <x v="17"/>
    <s v="Y"/>
    <n v="125"/>
    <s v="Pin, Locking, 20-LP (Dredge Technology)"/>
    <s v="Dragheads*Draghead Teeth/Locking Pin/Adapters*Pin, Locking, 20-LP (Dredge Technology)"/>
    <n v="208"/>
    <s v="56524121"/>
    <s v="DREDGE TECHNOLOGY CORPORATION"/>
    <n v="1"/>
  </r>
  <r>
    <s v="0008"/>
    <x v="1"/>
    <n v="45000024585"/>
    <s v="Spuds (Idler Barges)*Spuds (OH-141-177)*Lift Sling, Spud"/>
    <x v="50"/>
    <s v="Y"/>
    <n v="2"/>
    <s v="Lift Sling, Spud"/>
    <s v="Spuds (Idler Barges)*Spuds (OH-141-177)*Lift Sling, Spud"/>
    <n v="0"/>
    <s v="535-03-14186"/>
    <s v="Gldd Dwg "/>
    <n v="1"/>
  </r>
  <r>
    <s v="0008"/>
    <x v="1"/>
    <n v="45000025177"/>
    <s v="Pipe &amp; Hose (Dredge Slurry)*Castings (30&quot;)*Universal Couplig (Vosta)*Female Part (Universal Coupling/ Lined)*Hydraulic Cylinder, Clamp Ring"/>
    <x v="20"/>
    <s v="Y"/>
    <n v="1"/>
    <s v="Hydraulic Cylinder, Clamp Ring"/>
    <s v="Pipe &amp; Hose (Dredge Slurry)*Castings (30&quot;)*Universal Couplig (Vosta)*Female Part (Universal Coupling/ Lined)*Hydraulic Cylinder, Clamp Ring"/>
    <n v="2"/>
    <s v="00010226"/>
    <s v="VOSTA"/>
    <n v="1"/>
  </r>
  <r>
    <s v="0008"/>
    <x v="1"/>
    <n v="45000025178"/>
    <s v="Pipe &amp; Hose (Dredge Slurry)*Castings (30&quot;)*Universal Couplig (Vosta)*Female Part (Universal Coupling/ Lined)*Hydraulic Cylinder, Locking Pin"/>
    <x v="20"/>
    <s v="Y"/>
    <n v="1"/>
    <s v="Hydraulic Cylinder, Locking Pin"/>
    <s v="Pipe &amp; Hose (Dredge Slurry)*Castings (30&quot;)*Universal Couplig (Vosta)*Female Part (Universal Coupling/ Lined)*Hydraulic Cylinder, Locking Pin"/>
    <n v="2"/>
    <s v="00010398"/>
    <s v="VOSTA"/>
    <n v="1"/>
  </r>
  <r>
    <s v="0008"/>
    <x v="1"/>
    <n v="45000025182"/>
    <s v="Pump Parts (Dredge Pumps)*Dredge Pump (TX)*Impeller, 94&quot; X 89&quot; (4-Vane) (Diverter)"/>
    <x v="10"/>
    <s v="Y"/>
    <n v="2"/>
    <s v="Impeller, 94&quot; X 89&quot; (4-Vane) (Diverter)"/>
    <s v="Pump Parts (Dredge Pumps)*Dredge Pump (TX)*Impeller, 94&quot; X 89&quot; (4-Vane) (Diverter)"/>
    <n v="1"/>
    <s v="A-5756"/>
    <s v="SPI/MPMW"/>
    <n v="1"/>
  </r>
  <r>
    <s v="0008"/>
    <x v="1"/>
    <n v="45000025388"/>
    <s v="Pump Parts (Dredge Pumps)*Dredge Pump (TX)*Liner, Suction Side (Diverter)"/>
    <x v="10"/>
    <s v="Y"/>
    <n v="2"/>
    <s v="Liner, Suction Side (Diverter)"/>
    <s v="Pump Parts (Dredge Pumps)*Dredge Pump (TX)*Liner, Suction Side (Diverter)"/>
    <n v="2"/>
    <s v="1A-5757"/>
    <s v="SPI/MPMW"/>
    <n v="1"/>
  </r>
  <r>
    <s v="0008"/>
    <x v="1"/>
    <n v="45000025457"/>
    <s v="Valves (Slurry)*Valve (31.5&quot;) (LI)*Rod Clevis"/>
    <x v="31"/>
    <s v="Y"/>
    <n v="2"/>
    <s v="Rod Clevis"/>
    <s v="Valves (Slurry)*Valve (31.5&quot;) (LI)*Rod Clevis"/>
    <n v="2"/>
    <s v="147-09-0413 (Item 17)"/>
    <s v="Gldd Dwg "/>
    <n v="1"/>
  </r>
  <r>
    <s v="0008"/>
    <x v="1"/>
    <n v="45000025784"/>
    <s v="Gearbox Parts (Propulsion)*Gearbox (LB)*Seal Retainer, HS Shaft (35)"/>
    <x v="42"/>
    <s v="Y"/>
    <n v="1"/>
    <s v="Seal Retainer, HS Shaft (35)"/>
    <s v="Gearbox Parts (Propulsion)*Gearbox (LB)*Seal Retainer, HS Shaft (35)"/>
    <n v="1"/>
    <s v="50085-2310"/>
    <s v="PHILADELPHIA GEAR CORP"/>
    <n v="1"/>
  </r>
  <r>
    <s v="0008"/>
    <x v="1"/>
    <n v="45000025792"/>
    <s v="Gearbox Parts (Propulsion)*Gearbox (LB)*Spacer, Clutch (44)"/>
    <x v="42"/>
    <s v="Y"/>
    <n v="1"/>
    <s v="Spacer, Clutch (44)"/>
    <s v="Gearbox Parts (Propulsion)*Gearbox (LB)*Spacer, Clutch (44)"/>
    <n v="1"/>
    <s v="50315*9746"/>
    <s v="PHILADELPHIA GEAR CORP"/>
    <n v="1"/>
  </r>
  <r>
    <s v="0008"/>
    <x v="1"/>
    <n v="45000025793"/>
    <s v="Gearbox Parts (Propulsion)*Gearbox (LB)*Spacer (45)"/>
    <x v="42"/>
    <s v="Y"/>
    <n v="1"/>
    <s v="Spacer (45)"/>
    <s v="Gearbox Parts (Propulsion)*Gearbox (LB)*Spacer (45)"/>
    <n v="1"/>
    <s v="50315-7516"/>
    <s v="PHILADELPHIA GEAR CORP"/>
    <n v="1"/>
  </r>
  <r>
    <s v="0008"/>
    <x v="1"/>
    <n v="45000025816"/>
    <s v="Hydraulic Cylinders*Cylinder, Hydraulic (C-5069 SK)*Hydraulic Cylinder, Trunnion Davit"/>
    <x v="29"/>
    <s v="Y"/>
    <n v="1"/>
    <s v="Hydraulic Cylinder, Trunnion Davit"/>
    <s v="Hydraulic Cylinders*Cylinder, Hydraulic (C-5069 SK)*Hydraulic Cylinder, Trunnion Davit"/>
    <n v="2"/>
    <s v="143-22-0325 (REV 2)-C"/>
    <s v="Gldd Dwg "/>
    <n v="1"/>
  </r>
  <r>
    <s v="0008"/>
    <x v="1"/>
    <n v="45000025987"/>
    <s v="Gearbox Parts (Propulsion)*Gearbox (LB)*Spacer, Oil Seal, LS Shaft (30)"/>
    <x v="42"/>
    <s v="Y"/>
    <n v="1"/>
    <s v="Spacer, Oil Seal, LS Shaft (30)"/>
    <s v="Gearbox Parts (Propulsion)*Gearbox (LB)*Spacer, Oil Seal, LS Shaft (30)"/>
    <n v="1"/>
    <s v="50315-7507"/>
    <s v="PHILADELPHIA GEAR CORP"/>
    <n v="1"/>
  </r>
  <r>
    <s v="0008"/>
    <x v="1"/>
    <n v="45000025988"/>
    <s v="Gearbox Parts (Propulsion)*Gearbox (LB)*Spacer, Oil Seal (32)"/>
    <x v="42"/>
    <s v="Y"/>
    <n v="1"/>
    <s v="Spacer, Oil Seal (32)"/>
    <s v="Gearbox Parts (Propulsion)*Gearbox (LB)*Spacer, Oil Seal (32)"/>
    <n v="1"/>
    <s v="50315-7515"/>
    <s v="PHILADELPHIA GEAR CORP"/>
    <n v="1"/>
  </r>
  <r>
    <s v="0008"/>
    <x v="1"/>
    <n v="45000025989"/>
    <s v="Gearbox Parts (Propulsion)*Gearbox (LB)*Seal Retainer, LS Shaft (33)"/>
    <x v="42"/>
    <s v="Y"/>
    <n v="1"/>
    <s v="Seal Retainer, LS Shaft (33)"/>
    <s v="Gearbox Parts (Propulsion)*Gearbox (LB)*Seal Retainer, LS Shaft (33)"/>
    <n v="1"/>
    <s v="50085-2307"/>
    <s v="PHILADELPHIA GEAR CORP"/>
    <n v="1"/>
  </r>
  <r>
    <s v="0008"/>
    <x v="1"/>
    <n v="45000027632"/>
    <s v="Piping (MI Class Hoppers)*A02) Dragarm, Lower*Dragarm, Lower (27&quot;)"/>
    <x v="48"/>
    <s v="Y"/>
    <n v="2"/>
    <s v="Dragarm, Lower (27&quot;)"/>
    <s v="Piping (MI Class Hoppers)*A02) Dragarm, Lower*Dragarm, Lower (27&quot;)"/>
    <n v="0"/>
    <s v="02-12385 R1"/>
    <s v="Gldd Dwg "/>
    <n v="1"/>
  </r>
  <r>
    <s v="0008"/>
    <x v="1"/>
    <n v="45000027633"/>
    <s v="Piping (MI Class Hoppers)*A02) Dragarm, Lower*Dragarm, Upper (27&quot;)"/>
    <x v="48"/>
    <s v="Y"/>
    <n v="2"/>
    <s v="Dragarm, Upper (27&quot;)"/>
    <s v="Piping (MI Class Hoppers)*A02) Dragarm, Lower*Dragarm, Upper (27&quot;)"/>
    <n v="1"/>
    <s v="02-12385 r1"/>
    <s v="Gldd Dwg "/>
    <n v="1"/>
  </r>
  <r>
    <s v="0008"/>
    <x v="1"/>
    <n v="45000028052"/>
    <s v="Hopper Systems*Hopper Seal (603-604)*Hopper Seal , Molded (2-1/2&quot; Profile)"/>
    <x v="43"/>
    <s v="Y"/>
    <n v="24"/>
    <s v="Hopper Seal , Molded (2-1/2&quot; Profile)"/>
    <s v="Hopper Systems*Hopper Seal (603-604)*Hopper Seal , Molded (2-1/2&quot; Profile)"/>
    <n v="10"/>
    <s v="999-29526"/>
    <s v="Gldd Dwg "/>
    <n v="2"/>
  </r>
  <r>
    <s v="0008"/>
    <x v="1"/>
    <n v="45000028076"/>
    <s v="Pump Parts (Dredge Pumps)*Dredge Pump (TI)*Liner, Engine Side (Inner)"/>
    <x v="10"/>
    <s v="Y"/>
    <n v="1"/>
    <s v="Liner, Engine Side (Inner)"/>
    <s v="Pump Parts (Dredge Pumps)*Dredge Pump (TI)*Liner, Engine Side (Inner)"/>
    <n v="1"/>
    <s v="C-1432"/>
    <s v="SPI/MPMW"/>
    <n v="1"/>
  </r>
  <r>
    <s v="0008"/>
    <x v="1"/>
    <n v="45000028340"/>
    <s v="Gearbox Parts (Clamshell Cranes)*Swing Gearbox (53)*Seal, Upper"/>
    <x v="22"/>
    <s v="Y"/>
    <n v="2"/>
    <s v="Seal, Upper"/>
    <s v="Gearbox Parts (Clamshell Cranes)*Swing Gearbox (53)*Seal, Upper"/>
    <n v="0"/>
    <m/>
    <m/>
    <n v="1"/>
  </r>
  <r>
    <s v="0008"/>
    <x v="1"/>
    <n v="45000028346"/>
    <s v="Gearbox Parts (Clamshell Cranes)*Swing Gearbox (53)*Bushing, Swing Shaft (Upper)"/>
    <x v="22"/>
    <s v="Y"/>
    <n v="2"/>
    <s v="Bushing, Swing Shaft (Upper)"/>
    <s v="Gearbox Parts (Clamshell Cranes)*Swing Gearbox (53)*Bushing, Swing Shaft (Upper)"/>
    <n v="0"/>
    <s v="133-08-30672"/>
    <s v="Gldd Dwg "/>
    <n v="1"/>
  </r>
  <r>
    <s v="0008"/>
    <x v="1"/>
    <n v="45000028356"/>
    <s v="Gearbox Parts (Clamshell Cranes)*Swing Gearbox (53)*Seal, Lower Swing Gear Box"/>
    <x v="22"/>
    <s v="Y"/>
    <n v="4"/>
    <s v="Seal, Lower Swing Gear Box"/>
    <s v="Gearbox Parts (Clamshell Cranes)*Swing Gearbox (53)*Seal, Lower Swing Gear Box"/>
    <n v="0"/>
    <s v="79997"/>
    <s v="SFK"/>
    <n v="1"/>
  </r>
  <r>
    <s v="0008"/>
    <x v="1"/>
    <n v="45000028522"/>
    <s v="Gearbox Parts (Jet Pump)*Gearbox, Jet Pump (Overton) (LI)*Gearbox, Jet Pump, Falk SA91-CH"/>
    <x v="51"/>
    <s v="Y"/>
    <n v="1"/>
    <s v="Gearbox, Jet Pump, Falk SA91-CH"/>
    <s v="Gearbox Parts (Jet Pump)*Gearbox, Jet Pump (Overton) (LI)*Gearbox, Jet Pump, Falk SA91-CH"/>
    <n v="0"/>
    <s v="SA91-CH"/>
    <s v="Falk"/>
    <n v="1"/>
  </r>
  <r>
    <s v="0008"/>
    <x v="1"/>
    <n v="45000028526"/>
    <s v="Air Compressors*Air Compressor (Quincy D350HP)*Compressor (Quincy D350HP)"/>
    <x v="52"/>
    <s v="Y"/>
    <n v="2"/>
    <s v="Compressor (Quincy D350HP)"/>
    <s v="Air Compressors*Air Compressor (Quincy D350HP)*Compressor (Quincy D350HP)"/>
    <n v="1"/>
    <s v="D350HP"/>
    <s v="QUINCY"/>
    <n v="1"/>
  </r>
  <r>
    <s v="0008"/>
    <x v="1"/>
    <n v="45000028987"/>
    <s v="Spuds*Spud System (NY)*Port Spud*Lead Sheave*Spud Sheave, Lower*Pin, Lower Spud Sheave"/>
    <x v="27"/>
    <s v="Y"/>
    <n v="4"/>
    <s v="Pin, Lower Spud Sheave"/>
    <s v="Spuds*Spud System (NY)*Port Spud*Lead Sheave*Spud Sheave, Lower*Pin, Lower Spud Sheave"/>
    <n v="8"/>
    <s v="120-06-24967"/>
    <s v="Gldd Dwg "/>
    <n v="1"/>
  </r>
  <r>
    <s v="0008"/>
    <x v="1"/>
    <n v="45000029023"/>
    <s v="Spuds*Spud System (NY)*Port Spud*Lead Sheave*Spud Sheave, Top"/>
    <x v="27"/>
    <s v="Y"/>
    <n v="2"/>
    <s v="Spud Sheave, Top"/>
    <s v="Spuds*Spud System (NY)*Port Spud*Lead Sheave*Spud Sheave, Top"/>
    <n v="5"/>
    <s v="120-06-24970"/>
    <s v="Gldd Dwg "/>
    <n v="1"/>
  </r>
  <r>
    <s v="0008"/>
    <x v="1"/>
    <n v="45000030740"/>
    <s v="Excavator (Liebherr 996)*Stick*Bushing, Steel"/>
    <x v="8"/>
    <s v="Y"/>
    <n v="4"/>
    <s v="Bushing, Steel"/>
    <s v="Excavator (Liebherr 996)*Stick*Bushing, Steel"/>
    <n v="1"/>
    <s v="11078618"/>
    <s v="LIEBHERR"/>
    <n v="1"/>
  </r>
  <r>
    <s v="0008"/>
    <x v="1"/>
    <n v="45000031089"/>
    <s v="Valves (Slurry)*Valve (30&quot;) (A-6051)*Valve, 30&quot;, Complete Assembly"/>
    <x v="31"/>
    <s v="Y"/>
    <n v="4"/>
    <s v="Valve, 30&quot;, Complete Assembly"/>
    <s v="Valves (Slurry)*Valve (30&quot;) (A-6051)*Valve, 30&quot;, Complete Assembly"/>
    <n v="0"/>
    <s v="A-6051"/>
    <s v="SPI/MPMW"/>
    <n v="1"/>
  </r>
  <r>
    <s v="0008"/>
    <x v="1"/>
    <n v="45000031118"/>
    <s v="Bowthrusters*Bowthruster (Lower Unit) (LI)*Bowthruster Lower Unit"/>
    <x v="37"/>
    <s v="Y"/>
    <n v="1"/>
    <s v="Bowthruster Lower Unit"/>
    <s v="Bowthrusters*Bowthruster (Lower Unit) (LI)*Bowthruster Lower Unit"/>
    <n v="1"/>
    <s v="FT04"/>
    <s v="WARTSILA"/>
    <n v="1"/>
  </r>
  <r>
    <s v="0008"/>
    <x v="1"/>
    <n v="45000032276"/>
    <s v="Gearbox Parts (Propulsion)*Gearbox (LB)*Seal, Split, HS Input Shaft (41)"/>
    <x v="42"/>
    <s v="Y"/>
    <n v="1"/>
    <s v="Seal, Split, HS Input Shaft (41)"/>
    <s v="Gearbox Parts (Propulsion)*Gearbox (LB)*Seal, Split, HS Input Shaft (41)"/>
    <n v="1"/>
    <s v="12737"/>
    <s v="SKF"/>
    <n v="1"/>
  </r>
  <r>
    <s v="0008"/>
    <x v="1"/>
    <n v="45000032277"/>
    <s v="Gearbox Parts (Propulsion)*Gearbox (LB)*Seal, Split, LS Output Shaft (40)"/>
    <x v="42"/>
    <s v="Y"/>
    <n v="1"/>
    <s v="Seal, Split, LS Output Shaft (40)"/>
    <s v="Gearbox Parts (Propulsion)*Gearbox (LB)*Seal, Split, LS Output Shaft (40)"/>
    <n v="1"/>
    <s v="1350-05994-RUP"/>
    <s v="Parker"/>
    <n v="1"/>
  </r>
  <r>
    <s v="0008"/>
    <x v="1"/>
    <n v="45000032777"/>
    <s v="Pipe &amp; Hose (Dredge Slurry)*Hose, Slurry (30&quot;)*Bone Crusher Hose (742 MM)*Hose, Bone Crusher (742 MM)"/>
    <x v="20"/>
    <s v="Y"/>
    <n v="2"/>
    <s v="Hose, Bone Crusher (742 MM)"/>
    <s v="Pipe &amp; Hose (Dredge Slurry)*Hose, Slurry (30&quot;)*Bone Crusher Hose (742 MM)*Hose, Bone Crusher (742 MM)"/>
    <n v="0"/>
    <m/>
    <m/>
    <n v="1"/>
  </r>
  <r>
    <s v="0008"/>
    <x v="1"/>
    <n v="45000032780"/>
    <s v="Pipe &amp; Hose (Dredge Slurry)*Castings (30&quot;)*D08) Max-Top Pipe (TX)*D08) Max Top Pipe, 907 mm"/>
    <x v="20"/>
    <s v="Y"/>
    <n v="1"/>
    <s v="D08) Max Top Pipe, 907 mm"/>
    <s v="Pipe &amp; Hose (Dredge Slurry)*Castings (30&quot;)*D08) Max-Top Pipe (TX)*D08) Max Top Pipe, 907 mm"/>
    <n v="1"/>
    <s v="118-05-29483"/>
    <s v="Gldd Dwg "/>
    <n v="1"/>
  </r>
  <r>
    <s v="0008"/>
    <x v="1"/>
    <n v="45000034227"/>
    <s v="Buckets*Bucket Teeth*Plow Bolt, Tooth Base"/>
    <x v="33"/>
    <s v="Y"/>
    <n v="1000"/>
    <s v="Plow Bolt, Tooth Base"/>
    <s v="Buckets*Bucket Teeth*Plow Bolt, Tooth Base"/>
    <n v="770"/>
    <s v="ITEM 44"/>
    <s v="HAWCO"/>
    <n v="1"/>
  </r>
  <r>
    <s v="0008"/>
    <x v="1"/>
    <n v="45000035046"/>
    <s v="Pipe &amp; Hose (Dredge Slurry)*Castings (24&quot;)*Y-Piece (C-1375)*Y-Piece, 24&quot; X 24&quot; X 24&quot;"/>
    <x v="20"/>
    <s v="Y"/>
    <n v="2"/>
    <s v="Y-Piece, 24&quot; X 24&quot; X 24&quot;"/>
    <s v="Pipe &amp; Hose (Dredge Slurry)*Castings (24&quot;)*Y-Piece (C-1375)*Y-Piece, 24&quot; X 24&quot; X 24&quot;"/>
    <n v="1"/>
    <s v="C-1375"/>
    <s v="SPI/MPMW"/>
    <n v="1"/>
  </r>
  <r>
    <s v="0008"/>
    <x v="1"/>
    <n v="45100003903"/>
    <s v="Hull*Hull Hinge (GL 10)*Hull Hinge Pin, (Port)"/>
    <x v="53"/>
    <s v="Y"/>
    <n v="1"/>
    <s v="Hull Hinge Pin, (Port)"/>
    <s v="Hull*Hull Hinge (GL 10)*Hull Hinge Pin, (Port)"/>
    <n v="1"/>
    <s v="110-01-20846 Rev 3"/>
    <s v="Gldd Dwg "/>
    <n v="1"/>
  </r>
  <r>
    <s v="0008"/>
    <x v="1"/>
    <n v="45100003904"/>
    <s v="Hull*Hull Hinge (GL 10)*Hull Hinge Pin (Stbd)"/>
    <x v="53"/>
    <s v="Y"/>
    <n v="1"/>
    <s v="Hull Hinge Pin (Stbd)"/>
    <s v="Hull*Hull Hinge (GL 10)*Hull Hinge Pin (Stbd)"/>
    <n v="1"/>
    <s v="110-01-20846 Rev 3"/>
    <s v="Gldd Dwg "/>
    <n v="1"/>
  </r>
  <r>
    <s v="0008"/>
    <x v="1"/>
    <n v="45100005193"/>
    <s v="Dragheads*Draghead Teeth/Locking Pin/Adapters*Adapter, Weld-On (20-CB-AWN3) (IHC)"/>
    <x v="17"/>
    <s v="Y"/>
    <n v="10"/>
    <s v="Adapter, Weld-On (20-CB-AWN3) (IHC)"/>
    <s v="Dragheads*Draghead Teeth/Locking Pin/Adapters*Adapter, Weld-On (20-CB-AWN3) (IHC)"/>
    <n v="58"/>
    <s v="56524115"/>
    <s v="IHC ARRANGE DWG 50401500"/>
    <n v="1"/>
  </r>
  <r>
    <s v="0008"/>
    <x v="1"/>
    <n v="46700000053"/>
    <s v="Pump Parts (Ladder Pumps)*Ladder Pump (Universal)*Door, Suction Side"/>
    <x v="2"/>
    <s v="Y"/>
    <n v="5"/>
    <s v="Door, Suction Side"/>
    <s v="Pump Parts (Ladder Pumps)*Ladder Pump (Universal)*Door, Suction Side"/>
    <n v="0"/>
    <s v="BA-3607"/>
    <s v="SPI/MPMW"/>
    <n v="1"/>
  </r>
  <r>
    <s v="0008"/>
    <x v="1"/>
    <n v="46700000054"/>
    <s v="Pump Parts (Ladder Pumps)*Ladder Pump (Universal)*Liner, Suction Side (Moballoy)"/>
    <x v="2"/>
    <s v="Y"/>
    <n v="4"/>
    <s v="Liner, Suction Side (Moballoy)"/>
    <s v="Pump Parts (Ladder Pumps)*Ladder Pump (Universal)*Liner, Suction Side (Moballoy)"/>
    <n v="8"/>
    <s v="A-3604"/>
    <s v="SPI/MPMW"/>
    <n v="1"/>
  </r>
  <r>
    <s v="0008"/>
    <x v="1"/>
    <n v="47100000116"/>
    <s v="Dragheads*Draghead (Wild Dragon) (LB)*Jet Water Nozzle Bolt, Wild Dragon"/>
    <x v="17"/>
    <s v="Y"/>
    <n v="150"/>
    <s v="Jet Water Nozzle Bolt, Wild Dragon"/>
    <s v="Dragheads*Draghead (Wild Dragon) (LB)*Jet Water Nozzle Bolt, Wild Dragon"/>
    <n v="300"/>
    <s v="147-11-24002"/>
    <s v="GLDD DWG"/>
    <n v="1"/>
  </r>
  <r>
    <s v="0008"/>
    <x v="1"/>
    <n v="49400000356"/>
    <s v="Gearbox Parts (Dredge Pump)*Gearbox (Lufkin) (Car)*BEARING, CARRIER H.S."/>
    <x v="35"/>
    <s v="Y"/>
    <n v="1"/>
    <s v="BEARING, CARRIER H.S."/>
    <s v="Gearbox Parts (Dredge Pump)*Gearbox (Lufkin) (Car)*BEARING, CARRIER H.S."/>
    <n v="2"/>
    <s v="BM92395"/>
    <s v="LUFKIN"/>
    <n v="1"/>
  </r>
  <r>
    <s v="0008"/>
    <x v="1"/>
    <n v="49400000357"/>
    <s v="Gearbox Parts (Dredge Pump)*Gearbox (Lufkin) (Car)*SEAL CAP, S.S."/>
    <x v="35"/>
    <s v="Y"/>
    <n v="1"/>
    <s v="SEAL CAP, S.S."/>
    <s v="Gearbox Parts (Dredge Pump)*Gearbox (Lufkin) (Car)*SEAL CAP, S.S."/>
    <n v="1"/>
    <s v="BM92415"/>
    <s v="LUFKIN"/>
    <n v="1"/>
  </r>
  <r>
    <s v="0008"/>
    <x v="1"/>
    <n v="49400000391"/>
    <s v="Pipe &amp; Hose (Dredge Slurry)*Coupling, Victaulic (Style 44) (36&quot;)*Bolt, Victaulic Coupling 1-1/2&quot; X 5-3/4&quot;"/>
    <x v="20"/>
    <s v="Y"/>
    <n v="6"/>
    <s v="Bolt, Victaulic Coupling 1-1/2&quot; X 5-3/4&quot;"/>
    <s v="Pipe &amp; Hose (Dredge Slurry)*Coupling, Victaulic (Style 44) (36&quot;)*Bolt, Victaulic Coupling 1-1/2&quot; X 5-3/4&quot;"/>
    <n v="5"/>
    <m/>
    <m/>
    <n v="1"/>
  </r>
  <r>
    <s v="0008"/>
    <x v="1"/>
    <n v="54000000014"/>
    <s v="Pump Parts (Dredge Pumps)*Dredge Pump (GIW TBC-84)*Hardware &amp; Gaskets*O-Ring, Hub to Shell"/>
    <x v="10"/>
    <s v="Y"/>
    <n v="2"/>
    <s v="O-Ring, Hub to Shell"/>
    <s v="Pump Parts (Dredge Pumps)*Dredge Pump (GIW TBC-84)*Hardware &amp; Gaskets*O-Ring, Hub to Shell"/>
    <n v="4"/>
    <s v="7717P-42"/>
    <s v="GIW"/>
    <n v="1"/>
  </r>
  <r>
    <s v="0008"/>
    <x v="1"/>
    <n v="57200000238"/>
    <s v="Ladder Parts*Wear Parts*Ladder Head Section (OH-CAR-TX)*Outer Wear Ring, (Hardox 400)"/>
    <x v="7"/>
    <s v="Y"/>
    <n v="2"/>
    <s v="Outer Wear Ring, (Hardox 400)"/>
    <s v="Ladder Parts*Wear Parts*Ladder Head Section (OH-CAR-TX)*Outer Wear Ring, (Hardox 400)"/>
    <n v="4"/>
    <s v="103-05-15305 OWR"/>
    <s v="GLDD DWG"/>
    <n v="1"/>
  </r>
  <r>
    <s v="0008"/>
    <x v="1"/>
    <n v="60400000685"/>
    <s v="Shafts &amp; Bearings (Cutter Drive)*Cutless Bearing (CAR-TX)*Bearing Insert (Thordon)"/>
    <x v="23"/>
    <s v="Y"/>
    <n v="1"/>
    <s v="Bearing Insert (Thordon)"/>
    <s v="Shafts &amp; Bearings (Cutter Drive)*Cutless Bearing (CAR-TX)*Bearing Insert (Thordon)"/>
    <n v="2"/>
    <s v="F546150903"/>
    <s v="Marine Industries Corp."/>
    <n v="1"/>
  </r>
  <r>
    <s v="0008"/>
    <x v="1"/>
    <n v="60400001089"/>
    <s v="Gearbox Parts (Clamshell Cranes)*Swing Gearbox (53)*Bearing, Intermediate Shaft (Upper)"/>
    <x v="22"/>
    <s v="Y"/>
    <n v="2"/>
    <s v="Bearing, Intermediate Shaft (Upper)"/>
    <s v="Gearbox Parts (Clamshell Cranes)*Swing Gearbox (53)*Bearing, Intermediate Shaft (Upper)"/>
    <n v="2"/>
    <s v="320-S"/>
    <s v="MARION POWER"/>
    <n v="1"/>
  </r>
  <r>
    <s v="0008"/>
    <x v="1"/>
    <n v="60400001090"/>
    <s v="Gearbox Parts (Clamshell Cranes)*Swing Gearbox (53)*Bearing,  Intermediate Shaft (Lower)"/>
    <x v="22"/>
    <s v="Y"/>
    <n v="2"/>
    <s v="Bearing,  Intermediate Shaft (Lower)"/>
    <s v="Gearbox Parts (Clamshell Cranes)*Swing Gearbox (53)*Bearing,  Intermediate Shaft (Lower)"/>
    <n v="2"/>
    <s v="5322"/>
    <s v="MARION POWER"/>
    <n v="1"/>
  </r>
  <r>
    <s v="0008"/>
    <x v="1"/>
    <n v="60400001091"/>
    <s v="Gearbox Parts (Clamshell Cranes)*Swing Gearbox (53)*Bushing, Swing Shaft (Lower)"/>
    <x v="22"/>
    <s v="Y"/>
    <n v="2"/>
    <s v="Bushing, Swing Shaft (Lower)"/>
    <s v="Gearbox Parts (Clamshell Cranes)*Swing Gearbox (53)*Bushing, Swing Shaft (Lower)"/>
    <n v="0"/>
    <s v="133-08-0195"/>
    <s v="Gldd Dwg "/>
    <n v="1"/>
  </r>
  <r>
    <s v="0008"/>
    <x v="1"/>
    <n v="60400002667"/>
    <s v="Swing Parts (Clamshell)*Swing Circle (53)*Track Wheel Assembly (Complete)*Trunnion (Finished) (Right)"/>
    <x v="28"/>
    <s v="Y"/>
    <n v="1"/>
    <s v="Trunnion (Finished) (Right)"/>
    <s v="Swing Parts (Clamshell)*Swing Circle (53)*Track Wheel Assembly (Complete)*Trunnion (Finished) (Right)"/>
    <n v="2"/>
    <s v="2-99815-CR Right"/>
    <s v="SCOT FORGE"/>
    <n v="1"/>
  </r>
  <r>
    <s v="0008"/>
    <x v="1"/>
    <n v="60400002668"/>
    <s v="Swing Parts (Clamshell)*Swing Circle (53)*Track Wheel Assembly (Complete)*Trunnion (Finished) (Left)"/>
    <x v="28"/>
    <s v="Y"/>
    <n v="1"/>
    <s v="Trunnion (Finished) (Left)"/>
    <s v="Swing Parts (Clamshell)*Swing Circle (53)*Track Wheel Assembly (Complete)*Trunnion (Finished) (Left)"/>
    <n v="2"/>
    <s v="1-99815-CR Left"/>
    <s v="SCOT FORGE"/>
    <n v="1"/>
  </r>
  <r>
    <s v="0008"/>
    <x v="1"/>
    <n v="60400003063"/>
    <s v="Pump Parts (Dredge Pumps)*Dredge Pump (AK-IL)*Wet End Parts*Liner, Suction Side"/>
    <x v="10"/>
    <s v="Y"/>
    <n v="2"/>
    <s v="Liner, Suction Side"/>
    <s v="Pump Parts (Dredge Pumps)*Dredge Pump (AK-IL)*Wet End Parts*Liner, Suction Side"/>
    <n v="0"/>
    <s v="A-6738"/>
    <s v="SPI/MPMW"/>
    <n v="1"/>
  </r>
  <r>
    <s v="0008"/>
    <x v="1"/>
    <n v="60400003064"/>
    <s v="Pump Parts (Dredge Pumps)*Dredge Pump (AK-IL)*Wet End Parts*Liner, Engine Side"/>
    <x v="10"/>
    <s v="Y"/>
    <n v="1"/>
    <s v="Liner, Engine Side"/>
    <s v="Pump Parts (Dredge Pumps)*Dredge Pump (AK-IL)*Wet End Parts*Liner, Engine Side"/>
    <n v="4"/>
    <s v="A-6739"/>
    <s v="SPI/MPMW"/>
    <n v="1"/>
  </r>
  <r>
    <s v="0008"/>
    <x v="1"/>
    <n v="60400003068"/>
    <s v="Pump Parts (Dredge Pumps)*Dredge Pump (AK-IL)*Wet End Parts*Impeller, 96&quot;  4-Vane"/>
    <x v="10"/>
    <s v="Y"/>
    <n v="1"/>
    <s v="Impeller, 96&quot;  4-Vane"/>
    <s v="Pump Parts (Dredge Pumps)*Dredge Pump (AK-IL)*Wet End Parts*Impeller, 96&quot;  4-Vane"/>
    <n v="0"/>
    <s v="2A-6728"/>
    <s v="SPI/MPMW"/>
    <n v="1"/>
  </r>
  <r>
    <s v="0008"/>
    <x v="1"/>
    <n v="60400003264"/>
    <s v="Propellers*CPP Parts*CPP Hub (Common) (LI)*Sliding Block (Pre-Machined)"/>
    <x v="19"/>
    <s v="Y"/>
    <n v="8"/>
    <s v="Sliding Block (Pre-Machined)"/>
    <s v="Propellers*CPP Parts*CPP Hub (Common) (LI)*Sliding Block (Pre-Machined)"/>
    <n v="0"/>
    <s v="W004520330"/>
    <s v="WARTSILA/LIPS"/>
    <n v="1"/>
  </r>
  <r>
    <s v="0008"/>
    <x v="1"/>
    <n v="60400003271"/>
    <s v="Propellers*CPP Parts*CPP Hub (Common) (LI)*Hub Body"/>
    <x v="19"/>
    <s v="Y"/>
    <n v="2"/>
    <s v="Hub Body"/>
    <s v="Propellers*CPP Parts*CPP Hub (Common) (LI)*Hub Body"/>
    <n v="0"/>
    <s v="W004220441"/>
    <s v="WARTSILA/LIPS"/>
    <n v="1"/>
  </r>
  <r>
    <s v="0008"/>
    <x v="1"/>
    <n v="60400004033"/>
    <s v="Pump Parts (Dredge Pumps)*Dredge Pump (TX)*Impeller, 94&quot; x 74&quot; (4-Vane) (Non-Div)"/>
    <x v="10"/>
    <s v="Y"/>
    <n v="1"/>
    <s v="Impeller, 94&quot; x 74&quot; (4-Vane) (Non-Div)"/>
    <s v="Pump Parts (Dredge Pumps)*Dredge Pump (TX)*Impeller, 94&quot; x 74&quot; (4-Vane) (Non-Div)"/>
    <n v="0"/>
    <s v="A-5760"/>
    <s v="SPI/MPMW"/>
    <n v="1"/>
  </r>
  <r>
    <s v="0008"/>
    <x v="1"/>
    <n v="60400004362"/>
    <s v="Pump Parts (Dredge Pumps)*Dredge Pump (TX)*Shim, Impeller Adjustment, 1/16&quot;"/>
    <x v="10"/>
    <s v="Y"/>
    <n v="1"/>
    <s v="Shim, Impeller Adjustment, 1/16&quot;"/>
    <s v="Pump Parts (Dredge Pumps)*Dredge Pump (TX)*Shim, Impeller Adjustment, 1/16&quot;"/>
    <n v="0"/>
    <s v="BB-5387"/>
    <s v="SPI/MPMW"/>
    <n v="1"/>
  </r>
  <r>
    <s v="0008"/>
    <x v="1"/>
    <n v="60400004629"/>
    <s v="Hopper Systems*Hopper Seal (TI)*Hopper Seal, Extruded"/>
    <x v="43"/>
    <s v="Y"/>
    <n v="6"/>
    <s v="Hopper Seal, Extruded"/>
    <s v="Hopper Systems*Hopper Seal (TI)*Hopper Seal, Extruded"/>
    <n v="40"/>
    <s v="SFQ53343"/>
    <s v="Synaflex"/>
    <n v="1"/>
  </r>
  <r>
    <s v="0008"/>
    <x v="1"/>
    <n v="60400004838"/>
    <s v="Pump Parts (Dredge Pumps)*Dredge Pump (TX)*Impeller, 94&quot; X 74&quot; (4-Vane) (Diverter)"/>
    <x v="10"/>
    <s v="Y"/>
    <n v="1"/>
    <s v="Impeller, 94&quot; X 74&quot; (4-Vane) (Diverter)"/>
    <s v="Pump Parts (Dredge Pumps)*Dredge Pump (TX)*Impeller, 94&quot; X 74&quot; (4-Vane) (Diverter)"/>
    <n v="0"/>
    <s v="2A-5756"/>
    <s v="SPI/MPMW"/>
    <n v="1"/>
  </r>
  <r>
    <s v="0008"/>
    <x v="1"/>
    <n v="60400005020"/>
    <s v="Valves (Slurry)*Valve (24&quot; - 50 PSI Fedur Lined) (EI)*Valve (24&quot; -50 PSI Fedur Lined)*"/>
    <x v="31"/>
    <s v="Y"/>
    <n v="12"/>
    <s v="Valve (24&quot; -50 PSI Fedur Lined)*"/>
    <s v="Valves (Slurry)*Valve (24&quot; - 50 PSI Fedur Lined) (EI)*Valve (24&quot; -50 PSI Fedur Lined)*"/>
    <n v="0"/>
    <s v="B17S-B26S-B35S-B43S-B52S-B60S"/>
    <s v="GLDD REF "/>
    <n v="1"/>
  </r>
  <r>
    <s v="0008"/>
    <x v="1"/>
    <n v="60400006155"/>
    <s v="Valves (Slurry)*Valve (24&quot; - 50 PSI Fedur Lined) (EI)*Seal, 24&quot; Valve"/>
    <x v="31"/>
    <s v="Y"/>
    <n v="12"/>
    <s v="Seal, 24&quot; Valve"/>
    <s v="Valves (Slurry)*Valve (24&quot; - 50 PSI Fedur Lined) (EI)*Seal, 24&quot; Valve"/>
    <n v="0"/>
    <m/>
    <m/>
    <n v="1"/>
  </r>
  <r>
    <s v="0008"/>
    <x v="1"/>
    <n v="60400006198"/>
    <s v="Hydraulic Cylinders*Cylinder, Hydraulic (CRC-1286)*Cylinder, Hydraulic, Skimmer"/>
    <x v="29"/>
    <s v="Y"/>
    <n v="1"/>
    <s v="Cylinder, Hydraulic, Skimmer"/>
    <s v="Hydraulic Cylinders*Cylinder, Hydraulic (CRC-1286)*Cylinder, Hydraulic, Skimmer"/>
    <n v="2"/>
    <s v="CRC-1286"/>
    <s v="CRC"/>
    <n v="1"/>
  </r>
  <r>
    <s v="0008"/>
    <x v="1"/>
    <n v="60400006680"/>
    <s v="Pump Parts (Dredge Pumps)*Dredge Pump (AK-IL)*Wet End Parts*Impeller, 84&quot; 4-Vane"/>
    <x v="10"/>
    <s v="Y"/>
    <n v="1"/>
    <s v="Impeller, 84&quot; 4-Vane"/>
    <s v="Pump Parts (Dredge Pumps)*Dredge Pump (AK-IL)*Wet End Parts*Impeller, 84&quot; 4-Vane"/>
    <n v="2"/>
    <s v="3A-6728"/>
    <s v="SPI/MPMW"/>
    <n v="1"/>
  </r>
  <r>
    <s v="0008"/>
    <x v="1"/>
    <n v="60400006681"/>
    <s v="Pump Parts (Dredge Pumps)*Dredge Pump (AK-IL)*Wet End Parts*Impeller, 74&quot;  4-Vane"/>
    <x v="10"/>
    <s v="Y"/>
    <n v="1"/>
    <s v="Impeller, 74&quot;  4-Vane"/>
    <s v="Pump Parts (Dredge Pumps)*Dredge Pump (AK-IL)*Wet End Parts*Impeller, 74&quot;  4-Vane"/>
    <n v="2"/>
    <s v="4A-6728"/>
    <s v="SPI/MPMW"/>
    <n v="1"/>
  </r>
  <r>
    <s v="0008"/>
    <x v="1"/>
    <n v="60400006898"/>
    <s v="Pipe &amp; Hose (Dredge Slurry)*Bow Coupling (700MM) (DI-PI-TI)*Seal, Item # 6, Bell Gasket"/>
    <x v="20"/>
    <s v="Y"/>
    <n v="8"/>
    <s v="Seal, Item # 6, Bell Gasket"/>
    <s v="Pipe &amp; Hose (Dredge Slurry)*Bow Coupling (700MM) (DI-PI-TI)*Seal, Item # 6, Bell Gasket"/>
    <n v="16"/>
    <s v="SFQ57517"/>
    <s v="Synaflex"/>
    <n v="1"/>
  </r>
  <r>
    <s v="0008"/>
    <x v="1"/>
    <n v="60400006899"/>
    <s v="Pipe &amp; Hose (Dredge Slurry)*Bow Coupling (700MM) (DI-PI-TI)*Seal, Item #5, Probe Seal"/>
    <x v="20"/>
    <s v="Y"/>
    <n v="4"/>
    <s v="Seal, Item #5, Probe Seal"/>
    <s v="Pipe &amp; Hose (Dredge Slurry)*Bow Coupling (700MM) (DI-PI-TI)*Seal, Item #5, Probe Seal"/>
    <n v="3"/>
    <m/>
    <m/>
    <n v="1"/>
  </r>
  <r>
    <s v="0008"/>
    <x v="1"/>
    <n v="62400000002"/>
    <s v="Hydraulic Cylinders*Cylinder, Hydraulic (Tilt) (NY)*Tilt Cylinder, Walking Spud"/>
    <x v="29"/>
    <s v="Y"/>
    <n v="1"/>
    <s v="Tilt Cylinder, Walking Spud"/>
    <s v="Hydraulic Cylinders*Cylinder, Hydraulic (Tilt) (NY)*Tilt Cylinder, Walking Spud"/>
    <n v="1"/>
    <s v="120-04-0418 Rev C"/>
    <s v="Gldd Dwg "/>
    <n v="1"/>
  </r>
  <r>
    <s v="0008"/>
    <x v="1"/>
    <n v="62400000049"/>
    <s v="Gearbox Parts (Cutter)*Mechanical Seal, Cutter Gearbox (OH-IL-CAR-TX)*Mechanical Seal, High Speed Shaft"/>
    <x v="6"/>
    <s v="Y"/>
    <n v="2"/>
    <s v="Mechanical Seal, High Speed Shaft"/>
    <s v="Gearbox Parts (Cutter)*Mechanical Seal, Cutter Gearbox (OH-IL-CAR-TX)*Mechanical Seal, High Speed Shaft"/>
    <n v="2"/>
    <s v="8-1VO"/>
    <s v="JOHN CRANE"/>
    <n v="1"/>
  </r>
  <r>
    <s v="0008"/>
    <x v="1"/>
    <n v="62400000495"/>
    <s v="Hydraulic Cylinders*Cylinder, Hydraulic (Green Valve)(EI)*Cylinder, Hydraulic Green Valve"/>
    <x v="29"/>
    <s v="Y"/>
    <n v="2"/>
    <s v="Cylinder, Hydraulic Green Valve"/>
    <s v="Hydraulic Cylinders*Cylinder, Hydraulic (Green Valve)(EI)*Cylinder, Hydraulic Green Valve"/>
    <n v="2"/>
    <s v="CRC-2707"/>
    <s v="Hydratech Industries"/>
    <n v="1"/>
  </r>
  <r>
    <s v="0008"/>
    <x v="1"/>
    <n v="62400001121"/>
    <s v="Pump Parts (Jet Pumps)*Jet Pump (GIW) (EI)*Pump Casing 20 WBC 46 CH 16"/>
    <x v="39"/>
    <s v="Y"/>
    <n v="1"/>
    <s v="Pump Casing 20 WBC 46 CH 16"/>
    <s v="Pump Parts (Jet Pumps)*Jet Pump (GIW) (EI)*Pump Casing 20 WBC 46 CH 16"/>
    <n v="0"/>
    <s v="5226C-00-0028G"/>
    <s v="GIW"/>
    <n v="1"/>
  </r>
  <r>
    <s v="0008"/>
    <x v="1"/>
    <n v="62400001124"/>
    <s v="Pump Parts (Jet Pumps)*Jet Pump (GIW) (EI)*Pedestal, 7-3/16&quot; Shaft"/>
    <x v="39"/>
    <s v="Y"/>
    <n v="1"/>
    <s v="Pedestal, 7-3/16&quot; Shaft"/>
    <s v="Pump Parts (Jet Pumps)*Jet Pump (GIW) (EI)*Pedestal, 7-3/16&quot; Shaft"/>
    <n v="0"/>
    <s v="2071B-00-0FABS"/>
    <s v="GIW"/>
    <n v="1"/>
  </r>
  <r>
    <s v="0008"/>
    <x v="1"/>
    <n v="62400001455"/>
    <s v="Winches*Dragarm Winches (EI)*Hydraulic Motor, Draghead Winch*Motor, Hydraulic"/>
    <x v="34"/>
    <s v="Y"/>
    <n v="2"/>
    <s v="Motor, Hydraulic"/>
    <s v="Winches*Dragarm Winches (EI)*Hydraulic Motor, Draghead Winch*Motor, Hydraulic"/>
    <n v="2"/>
    <s v="A2FM355/60W-VZH010"/>
    <s v="BOSCH REXROTH"/>
    <n v="1"/>
  </r>
  <r>
    <s v="0008"/>
    <x v="1"/>
    <n v="62400001546"/>
    <s v="Gearbox Parts (Propulsion)*Gearbox (DM)*Spherical Thurst Bearing"/>
    <x v="42"/>
    <s v="Y"/>
    <n v="1"/>
    <s v="Spherical Thurst Bearing"/>
    <s v="Gearbox Parts (Propulsion)*Gearbox (DM)*Spherical Thurst Bearing"/>
    <n v="1"/>
    <s v="SKF 29488 EM"/>
    <s v="SKF"/>
    <n v="1"/>
  </r>
  <r>
    <s v="0008"/>
    <x v="1"/>
    <n v="62400001702"/>
    <s v="Skimmer Tubes*Overflow (EI)*Seal"/>
    <x v="30"/>
    <s v="Y"/>
    <n v="2"/>
    <s v="Seal"/>
    <s v="Skimmer Tubes*Overflow (EI)*Seal"/>
    <n v="2"/>
    <m/>
    <m/>
    <n v="1"/>
  </r>
  <r>
    <s v="0008"/>
    <x v="1"/>
    <n v="62400001703"/>
    <s v="Skimmer Tubes*Overflow (EI)*Seal Ring, Upper"/>
    <x v="30"/>
    <s v="Y"/>
    <n v="2"/>
    <s v="Seal Ring, Upper"/>
    <s v="Skimmer Tubes*Overflow (EI)*Seal Ring, Upper"/>
    <n v="2"/>
    <m/>
    <m/>
    <n v="1"/>
  </r>
  <r>
    <s v="0008"/>
    <x v="1"/>
    <n v="62400001749"/>
    <s v="Dragheads*Draghead, 36&quot; (EI)*Visor (36&quot; Wild Dragon)*Visor, Wild Dragon (RH)*Visor Bushing"/>
    <x v="17"/>
    <s v="Y"/>
    <n v="8"/>
    <s v="Visor Bushing"/>
    <s v="Dragheads*Draghead, 36&quot; (EI)*Visor (36&quot; Wild Dragon)*Visor, Wild Dragon (RH)*Visor Bushing"/>
    <n v="16"/>
    <m/>
    <m/>
    <n v="1"/>
  </r>
  <r>
    <s v="0008"/>
    <x v="1"/>
    <n v="62400001750"/>
    <s v="Dragheads*Draghead, 36&quot; (EI)*Visor (36&quot; Wild Dragon)*Visor, Wild Dragon (RH)*Visor Pin"/>
    <x v="17"/>
    <s v="Y"/>
    <n v="8"/>
    <s v="Visor Pin"/>
    <s v="Dragheads*Draghead, 36&quot; (EI)*Visor (36&quot; Wild Dragon)*Visor, Wild Dragon (RH)*Visor Pin"/>
    <n v="8"/>
    <m/>
    <m/>
    <n v="1"/>
  </r>
  <r>
    <s v="0008"/>
    <x v="1"/>
    <n v="62400001752"/>
    <s v="Dragheads*Draghead, 36&quot; (EI)*Visor (36&quot; Wild Dragon)*Visor, Wild Dragon (RH)*Visor Pin Middle"/>
    <x v="17"/>
    <s v="Y"/>
    <n v="8"/>
    <s v="Visor Pin Middle"/>
    <s v="Dragheads*Draghead, 36&quot; (EI)*Visor (36&quot; Wild Dragon)*Visor, Wild Dragon (RH)*Visor Pin Middle"/>
    <n v="4"/>
    <m/>
    <m/>
    <n v="1"/>
  </r>
  <r>
    <s v="0008"/>
    <x v="1"/>
    <n v="62400001755"/>
    <s v="Dragheads*Draghead, 36&quot; (EI)*Visor (36&quot; Wild Dragon)*Visor, Wild Dragon (RH)*Visor Seal Middle"/>
    <x v="17"/>
    <s v="Y"/>
    <n v="8"/>
    <s v="Visor Seal Middle"/>
    <s v="Dragheads*Draghead, 36&quot; (EI)*Visor (36&quot; Wild Dragon)*Visor, Wild Dragon (RH)*Visor Seal Middle"/>
    <n v="8"/>
    <m/>
    <m/>
    <n v="1"/>
  </r>
  <r>
    <s v="0008"/>
    <x v="1"/>
    <n v="62400001757"/>
    <s v="Dragheads*Draghead, 36&quot; (EI)*Visor (36&quot; Wild Dragon)*Visor, Wild Dragon (RH)*Visor Cover PL"/>
    <x v="17"/>
    <s v="Y"/>
    <n v="8"/>
    <s v="Visor Cover PL"/>
    <s v="Dragheads*Draghead, 36&quot; (EI)*Visor (36&quot; Wild Dragon)*Visor, Wild Dragon (RH)*Visor Cover PL"/>
    <n v="8"/>
    <m/>
    <m/>
    <n v="1"/>
  </r>
  <r>
    <s v="0008"/>
    <x v="1"/>
    <n v="62400001758"/>
    <s v="Dragheads*Draghead, 36&quot; (EI)*Visor (36&quot; Wild Dragon)*Visor, Wild Dragon (RH)*Visor Closure PL"/>
    <x v="17"/>
    <s v="Y"/>
    <n v="8"/>
    <s v="Visor Closure PL"/>
    <s v="Dragheads*Draghead, 36&quot; (EI)*Visor (36&quot; Wild Dragon)*Visor, Wild Dragon (RH)*Visor Closure PL"/>
    <n v="8"/>
    <m/>
    <m/>
    <n v="1"/>
  </r>
  <r>
    <s v="0008"/>
    <x v="1"/>
    <n v="62400001768"/>
    <s v="Dragheads*Draghead, 36&quot; (EI)*Visor (36&quot; Wild Dragon)*Visor, Wild Dragon (RH)*Side Plate, Visor"/>
    <x v="17"/>
    <s v="Y"/>
    <n v="8"/>
    <s v="Side Plate, Visor"/>
    <s v="Dragheads*Draghead, 36&quot; (EI)*Visor (36&quot; Wild Dragon)*Visor, Wild Dragon (RH)*Side Plate, Visor"/>
    <n v="8"/>
    <s v="151-61-26376."/>
    <s v="GLDD DWG"/>
    <n v="1"/>
  </r>
  <r>
    <s v="0008"/>
    <x v="1"/>
    <n v="62400001769"/>
    <s v="Pipe &amp; Hose (Jet Water)*Jet Hoses (EI)*Visor Hose Assembly, 8&quot; Jet Water"/>
    <x v="5"/>
    <s v="Y"/>
    <n v="4"/>
    <s v="Visor Hose Assembly, 8&quot; Jet Water"/>
    <s v="Pipe &amp; Hose (Jet Water)*Jet Hoses (EI)*Visor Hose Assembly, 8&quot; Jet Water"/>
    <n v="4"/>
    <m/>
    <m/>
    <n v="1"/>
  </r>
  <r>
    <s v="0008"/>
    <x v="1"/>
    <n v="62400001778"/>
    <s v="Dragheads*Draghead, 36&quot; (EI)*Visor (36&quot; Wild Dragon)*Visor, Wild Dragon (RH)*Visor Seal Upper"/>
    <x v="17"/>
    <s v="Y"/>
    <n v="8"/>
    <s v="Visor Seal Upper"/>
    <s v="Dragheads*Draghead, 36&quot; (EI)*Visor (36&quot; Wild Dragon)*Visor, Wild Dragon (RH)*Visor Seal Upper"/>
    <n v="8"/>
    <m/>
    <m/>
    <n v="1"/>
  </r>
  <r>
    <s v="0008"/>
    <x v="1"/>
    <n v="62400001782"/>
    <s v="Dragheads*Draghead, 36&quot; (EI)*Visor (36&quot; Wild Dragon)*Visor, Wild Dragon (RH)*Visor Seal Side"/>
    <x v="17"/>
    <s v="Y"/>
    <n v="8"/>
    <s v="Visor Seal Side"/>
    <s v="Dragheads*Draghead, 36&quot; (EI)*Visor (36&quot; Wild Dragon)*Visor, Wild Dragon (RH)*Visor Seal Side"/>
    <n v="8"/>
    <m/>
    <m/>
    <n v="1"/>
  </r>
  <r>
    <s v="0008"/>
    <x v="1"/>
    <n v="62400001811"/>
    <s v="Dragheads*Draghead, 36&quot; (EI)*Visor (36&quot; Wild Dragon)*Visor, Wild Dragon (RH)*Visor Pin Inner"/>
    <x v="17"/>
    <s v="Y"/>
    <n v="8"/>
    <s v="Visor Pin Inner"/>
    <s v="Dragheads*Draghead, 36&quot; (EI)*Visor (36&quot; Wild Dragon)*Visor, Wild Dragon (RH)*Visor Pin Inner"/>
    <n v="16"/>
    <m/>
    <m/>
    <n v="1"/>
  </r>
  <r>
    <s v="0008"/>
    <x v="1"/>
    <n v="62400001822"/>
    <s v="Dragheads*Draghead, 36&quot; (EI)*Turtle Deflector*Turtle Deflector"/>
    <x v="17"/>
    <s v="Y"/>
    <n v="2"/>
    <s v="Turtle Deflector"/>
    <s v="Dragheads*Draghead, 36&quot; (EI)*Turtle Deflector*Turtle Deflector"/>
    <n v="0"/>
    <m/>
    <m/>
    <n v="1"/>
  </r>
  <r>
    <s v="0008"/>
    <x v="1"/>
    <n v="62400001880"/>
    <s v="Pump Parts (Dredge Pumps)*Dredge Pump (GIW LSA-84)*Liner, Suction 40 ME 84"/>
    <x v="10"/>
    <s v="Y"/>
    <n v="2"/>
    <s v="Liner, Suction 40 ME 84"/>
    <s v="Pump Parts (Dredge Pumps)*Dredge Pump (GIW LSA-84)*Liner, Suction 40 ME 84"/>
    <n v="5"/>
    <s v="2359B-00-0028G"/>
    <s v="GIW"/>
    <n v="1"/>
  </r>
  <r>
    <s v="0008"/>
    <x v="1"/>
    <n v="62400001882"/>
    <s v="Pump Parts (Dredge Pumps)*Dredge Pump (GIW LSA-84)*Liner, Throat LSA-84 (HP) 40 I.D."/>
    <x v="10"/>
    <s v="Y"/>
    <n v="1"/>
    <s v="Liner, Throat LSA-84 (HP) 40 I.D."/>
    <s v="Pump Parts (Dredge Pumps)*Dredge Pump (GIW LSA-84)*Liner, Throat LSA-84 (HP) 40 I.D."/>
    <n v="2"/>
    <s v="2360B-00-0028G"/>
    <s v="GIW"/>
    <n v="1"/>
  </r>
  <r>
    <s v="0008"/>
    <x v="1"/>
    <n v="62400001886"/>
    <s v="Pump Parts (Dredge Pumps)*Stuffing Box Parts (LSA-84 Pump) (EI)*Impeller Release Ring Assembly"/>
    <x v="10"/>
    <s v="Y"/>
    <n v="2"/>
    <s v="Impeller Release Ring Assembly"/>
    <s v="Pump Parts (Dredge Pumps)*Stuffing Box Parts (LSA-84 Pump) (EI)*Impeller Release Ring Assembly"/>
    <n v="2"/>
    <s v="0902X-00-0000K"/>
    <s v="GIW"/>
    <n v="1"/>
  </r>
  <r>
    <s v="0008"/>
    <x v="1"/>
    <n v="62400001937"/>
    <s v="Pump Parts (Dredge Pumps)*Stuffing Box Parts (LSA-84 Pump) (EI)*Stuffing Box"/>
    <x v="10"/>
    <s v="Y"/>
    <n v="1"/>
    <s v="Stuffing Box"/>
    <s v="Pump Parts (Dredge Pumps)*Stuffing Box Parts (LSA-84 Pump) (EI)*Stuffing Box"/>
    <n v="1"/>
    <s v="9134D"/>
    <s v="GIW"/>
    <n v="1"/>
  </r>
  <r>
    <s v="0008"/>
    <x v="1"/>
    <n v="62400002141"/>
    <s v="Pipe &amp; Hose (Dredge Slurry)*Hardware &amp; Gaskets (30&quot;)*Gasket, Drop In 3/8&quot; X 35&quot; OD"/>
    <x v="20"/>
    <s v="Y"/>
    <n v="5"/>
    <s v="Gasket, Drop In 3/8&quot; X 35&quot; OD"/>
    <s v="Pipe &amp; Hose (Dredge Slurry)*Hardware &amp; Gaskets (30&quot;)*Gasket, Drop In 3/8&quot; X 35&quot; OD"/>
    <n v="19"/>
    <s v="PGD31-0372"/>
    <s v="TOWNLEY"/>
    <n v="1"/>
  </r>
  <r>
    <s v="0008"/>
    <x v="1"/>
    <n v="62400002183"/>
    <s v="Winches*Swing Winch (TX)*DRUM ASSEMBLY R.H*Gear, Drum (Xtek)"/>
    <x v="34"/>
    <s v="Y"/>
    <n v="1"/>
    <s v="Gear, Drum (Xtek)"/>
    <s v="Winches*Swing Winch (TX)*DRUM ASSEMBLY R.H*Gear, Drum (Xtek)"/>
    <n v="0"/>
    <s v="815667"/>
    <s v="TIMBERLAND EQUIP"/>
    <n v="1"/>
  </r>
  <r>
    <s v="0008"/>
    <x v="1"/>
    <n v="62400002184"/>
    <s v="Winches*Swing Winch (TX)*Intermediate Shaft (Xtek)"/>
    <x v="34"/>
    <s v="Y"/>
    <n v="1"/>
    <s v="Intermediate Shaft (Xtek)"/>
    <s v="Winches*Swing Winch (TX)*Intermediate Shaft (Xtek)"/>
    <n v="0"/>
    <s v="815692"/>
    <s v="TIMBERLAND EQUIP"/>
    <n v="1"/>
  </r>
  <r>
    <s v="0008"/>
    <x v="1"/>
    <n v="62400002435"/>
    <s v="Pump Parts (Dredge Pumps)*Dredge Pump (AK-IL)*Wet End Parts*Impeller, 97&quot; 4-Vane"/>
    <x v="10"/>
    <s v="Y"/>
    <n v="1"/>
    <s v="Impeller, 97&quot; 4-Vane"/>
    <s v="Pump Parts (Dredge Pumps)*Dredge Pump (AK-IL)*Wet End Parts*Impeller, 97&quot; 4-Vane"/>
    <n v="0"/>
    <s v="5A-6728"/>
    <s v="MPMW Dwg "/>
    <n v="1"/>
  </r>
  <r>
    <s v="0008"/>
    <x v="1"/>
    <n v="62400002477"/>
    <s v="Valves (Slurry)*Valve (30&quot;) (LI)*Hydraulic Cylinder Assembly"/>
    <x v="31"/>
    <s v="Y"/>
    <n v="2"/>
    <s v="Hydraulic Cylinder Assembly"/>
    <s v="Valves (Slurry)*Valve (30&quot;) (LI)*Hydraulic Cylinder Assembly"/>
    <n v="7"/>
    <s v="147-09-28629"/>
    <s v="Gldd Dwg "/>
    <n v="1"/>
  </r>
  <r>
    <s v="0008"/>
    <x v="1"/>
    <n v="62400002478"/>
    <s v="Valves (Slurry)*Valve (31.5&quot;) (LI)*Hydraulic Cylinder Assembly"/>
    <x v="31"/>
    <s v="Y"/>
    <n v="2"/>
    <s v="Hydraulic Cylinder Assembly"/>
    <s v="Valves (Slurry)*Valve (31.5&quot;) (LI)*Hydraulic Cylinder Assembly"/>
    <n v="7"/>
    <s v="147-09-28629"/>
    <s v="Gldd Dwg "/>
    <n v="1"/>
  </r>
  <r>
    <s v="0008"/>
    <x v="1"/>
    <n v="62400002536"/>
    <s v="Pump Parts (Dredge Pumps)*Dredge Pump (AK-IL)*Pump Shell, Inner (D/P)"/>
    <x v="10"/>
    <s v="Y"/>
    <n v="2"/>
    <s v="Pump Shell, Inner (D/P)"/>
    <s v="Pump Parts (Dredge Pumps)*Dredge Pump (AK-IL)*Pump Shell, Inner (D/P)"/>
    <n v="0"/>
    <s v="1A-5603"/>
    <s v="SPI/MPMW"/>
    <n v="1"/>
  </r>
  <r>
    <s v="0008"/>
    <x v="1"/>
    <n v="62400002671"/>
    <s v="Valves (Slurry)*Valve (36&quot;)*Valve (36&quot; - 50 PSI Fedur/HS 400)*Seal, Gate Valve"/>
    <x v="31"/>
    <s v="Y"/>
    <n v="8"/>
    <s v="Seal, Gate Valve"/>
    <s v="Valves (Slurry)*Valve (36&quot;)*Valve (36&quot; - 50 PSI Fedur/HS 400)*Seal, Gate Valve"/>
    <n v="6"/>
    <s v="SFQ57130"/>
    <s v="Synaflex"/>
    <n v="1"/>
  </r>
  <r>
    <s v="0008"/>
    <x v="1"/>
    <n v="62400002867"/>
    <s v="Valves (Slurry)*Valve (36&quot;)*Valve (36&quot; - 150 PSI HS 400 Lined)*Body, 36&quot;-150 PSI Valve (HS-400 Liner)"/>
    <x v="31"/>
    <s v="Y"/>
    <n v="2"/>
    <s v="Body, 36&quot;-150 PSI Valve (HS-400 Liner)"/>
    <s v="Valves (Slurry)*Valve (36&quot;)*Valve (36&quot; - 150 PSI HS 400 Lined)*Body, 36&quot;-150 PSI Valve (HS-400 Liner)"/>
    <n v="2"/>
    <m/>
    <m/>
    <n v="1"/>
  </r>
  <r>
    <s v="0008"/>
    <x v="1"/>
    <n v="62400002997"/>
    <s v="Hydraulic Cylinders*Cylinder, Hydraulic (36&quot; Gate Valve-50/150 PSI)*Cylinder, Hydraulic"/>
    <x v="29"/>
    <s v="Y"/>
    <n v="4"/>
    <s v="Cylinder, Hydraulic"/>
    <s v="Hydraulic Cylinders*Cylinder, Hydraulic (36&quot; Gate Valve-50/150 PSI)*Cylinder, Hydraulic"/>
    <n v="4"/>
    <m/>
    <m/>
    <n v="1"/>
  </r>
  <r>
    <s v="0008"/>
    <x v="1"/>
    <n v="62400003277"/>
    <s v="Winches*Winch, Manitowac (390)*Transmission (New)*Transmission, 5630"/>
    <x v="34"/>
    <s v="Y"/>
    <n v="1"/>
    <s v="Transmission, 5630"/>
    <s v="Winches*Winch, Manitowac (390)*Transmission (New)*Transmission, 5630"/>
    <n v="0"/>
    <s v="5630"/>
    <s v="ALLISON"/>
    <n v="1"/>
  </r>
  <r>
    <s v="0008"/>
    <x v="1"/>
    <n v="62400003418"/>
    <s v="Pipe &amp; Hose (Dredge Slurry)*Suction Adapter, 29&quot; x 30&quot; (JS)*Suction Adapter, 29&quot; x 30&quot;"/>
    <x v="20"/>
    <s v="Y"/>
    <n v="1"/>
    <s v="Suction Adapter, 29&quot; x 30&quot;"/>
    <s v="Pipe &amp; Hose (Dredge Slurry)*Suction Adapter, 29&quot; x 30&quot; (JS)*Suction Adapter, 29&quot; x 30&quot;"/>
    <n v="1"/>
    <m/>
    <m/>
    <n v="1"/>
  </r>
  <r>
    <s v="0008"/>
    <x v="1"/>
    <n v="62400003773"/>
    <s v="Davits*Gimbal Davit (TI)*Hydraulic Cylinder, Gimbal Davit"/>
    <x v="54"/>
    <s v="Y"/>
    <n v="1"/>
    <s v="Hydraulic Cylinder, Gimbal Davit"/>
    <s v="Davits*Gimbal Davit (TI)*Hydraulic Cylinder, Gimbal Davit"/>
    <n v="1"/>
    <s v="148-06-14586"/>
    <s v="Gldd Dwg "/>
    <n v="1"/>
  </r>
  <r>
    <s v="0008"/>
    <x v="1"/>
    <n v="62400004078"/>
    <s v="Pump Parts (Dredge Pumps)*Dredge Pump (SI-DI-PI)*Pump Shell (Moballoy)"/>
    <x v="10"/>
    <s v="Y"/>
    <n v="2"/>
    <s v="Pump Shell (Moballoy)"/>
    <s v="Pump Parts (Dredge Pumps)*Dredge Pump (SI-DI-PI)*Pump Shell (Moballoy)"/>
    <n v="2"/>
    <s v="4A-3682"/>
    <s v="SPI/MPMW"/>
    <n v="1"/>
  </r>
  <r>
    <s v="0008"/>
    <x v="1"/>
    <n v="62400004148"/>
    <s v="Pump Parts (Dredge Pumps)*Dredge Pump (GIW WBC-64)*Pumpshell/ Casing"/>
    <x v="10"/>
    <s v="Y"/>
    <n v="1"/>
    <s v="Pumpshell/ Casing"/>
    <s v="Pump Parts (Dredge Pumps)*Dredge Pump (GIW WBC-64)*Pumpshell/ Casing"/>
    <n v="2"/>
    <s v="5246C-00-0028G"/>
    <s v="GIW"/>
    <n v="1"/>
  </r>
  <r>
    <s v="0008"/>
    <x v="1"/>
    <n v="62400004149"/>
    <s v="Pump Parts (Dredge Pumps)*Dredge Pump (GIW WBC-64)*Liner, Suction"/>
    <x v="10"/>
    <s v="Y"/>
    <n v="2"/>
    <s v="Liner, Suction"/>
    <s v="Pump Parts (Dredge Pumps)*Dredge Pump (GIW WBC-64)*Liner, Suction"/>
    <n v="0"/>
    <s v="5655C-00-0028G"/>
    <s v="GIW"/>
    <n v="1"/>
  </r>
  <r>
    <s v="0008"/>
    <x v="1"/>
    <n v="62400004150"/>
    <s v="Pump Parts (Dredge Pumps)*Dredge Pump (GIW WBC-64)*Liner, Hub"/>
    <x v="10"/>
    <s v="Y"/>
    <n v="2"/>
    <s v="Liner, Hub"/>
    <s v="Pump Parts (Dredge Pumps)*Dredge Pump (GIW WBC-64)*Liner, Hub"/>
    <n v="2"/>
    <s v="5234C-00-0028G"/>
    <s v="GIW"/>
    <n v="1"/>
  </r>
  <r>
    <s v="0008"/>
    <x v="1"/>
    <n v="62400004185"/>
    <s v="Pump Parts (Dredge Pumps)*Dredge Pump (GIW WBC-64)*Shaft Seal Assembly*Housing, Stuffing Box (Split)"/>
    <x v="10"/>
    <s v="Y"/>
    <n v="2"/>
    <s v="Housing, Stuffing Box (Split)"/>
    <s v="Pump Parts (Dredge Pumps)*Dredge Pump (GIW WBC-64)*Shaft Seal Assembly*Housing, Stuffing Box (Split)"/>
    <n v="1"/>
    <s v="5256C-00-0P40C"/>
    <s v="GIW"/>
    <n v="1"/>
  </r>
  <r>
    <s v="0008"/>
    <x v="1"/>
    <n v="62400004365"/>
    <s v="Pump Parts (Dredge Pumps)*Dredge Pump (GIW TBC-84)*Impellers (GIW TBC-84- 13&quot;)*Impeller, 76” 3 Vane Diverter (13&quot;)"/>
    <x v="10"/>
    <s v="Y"/>
    <n v="1"/>
    <s v="Impeller, 76” 3 Vane Diverter (13&quot;)"/>
    <s v="Pump Parts (Dredge Pumps)*Dredge Pump (GIW TBC-84)*Impellers (GIW TBC-84- 13&quot;)*Impeller, 76” 3 Vane Diverter (13&quot;)"/>
    <n v="3"/>
    <s v="2972D"/>
    <s v="GIW"/>
    <n v="1"/>
  </r>
  <r>
    <s v="0008"/>
    <x v="1"/>
    <n v="62400004442"/>
    <s v="Pipe &amp; Hose (Dredge Slurry)*Discharge expansion joint*Expansion Joint/ Hose, Discharge"/>
    <x v="20"/>
    <s v="Y"/>
    <n v="2"/>
    <s v="Expansion Joint/ Hose, Discharge"/>
    <s v="Pipe &amp; Hose (Dredge Slurry)*Discharge expansion joint*Expansion Joint/ Hose, Discharge"/>
    <n v="2"/>
    <s v="147-09-29038"/>
    <s v="GLDD DWG"/>
    <n v="1"/>
  </r>
  <r>
    <s v="0008"/>
    <x v="1"/>
    <n v="62400004492"/>
    <s v="Pump Parts (Dredge Pumps)*Dredge Pump (GIW TBC-84)*Hardware &amp; Gaskets*O-Ring, Throat Liner"/>
    <x v="10"/>
    <s v="Y"/>
    <n v="2"/>
    <s v="O-Ring, Throat Liner"/>
    <s v="Pump Parts (Dredge Pumps)*Dredge Pump (GIW TBC-84)*Hardware &amp; Gaskets*O-Ring, Throat Liner"/>
    <n v="4"/>
    <s v="7720P-08"/>
    <s v="MPMW Dwg "/>
    <n v="1"/>
  </r>
  <r>
    <s v="0008"/>
    <x v="1"/>
    <n v="62400004594"/>
    <s v="Pump Parts (Dredge Pumps)*Dredge Pump (GIW WBC-64)*Shaft Seal Assembly*Impeller Release Ring Kit"/>
    <x v="10"/>
    <s v="Y"/>
    <n v="1"/>
    <s v="Impeller Release Ring Kit"/>
    <s v="Pump Parts (Dredge Pumps)*Dredge Pump (GIW WBC-64)*Shaft Seal Assembly*Impeller Release Ring Kit"/>
    <n v="2"/>
    <s v="0916X-00-0000K"/>
    <s v="GIW"/>
    <n v="1"/>
  </r>
  <r>
    <s v="0008"/>
    <x v="1"/>
    <n v="62400004595"/>
    <s v="Pump Parts (Dredge Pumps)*Dredge Pump (GIW WBC-64)*Shaft Seal Assembly*Kit, Shaft Sleeve"/>
    <x v="10"/>
    <s v="Y"/>
    <n v="1"/>
    <s v="Kit, Shaft Sleeve"/>
    <s v="Pump Parts (Dredge Pumps)*Dredge Pump (GIW WBC-64)*Shaft Seal Assembly*Kit, Shaft Sleeve"/>
    <n v="1"/>
    <s v="9749P-44-0000K"/>
    <s v="GIW"/>
    <n v="1"/>
  </r>
  <r>
    <s v="0008"/>
    <x v="1"/>
    <n v="62400004596"/>
    <s v="Pump Parts (Dredge Pumps)*Dredge Pump (GIW WBC-64)*Impellers (JS)*Impeller, 67&quot; x 70&quot;"/>
    <x v="10"/>
    <s v="Y"/>
    <n v="4"/>
    <s v="Impeller, 67&quot; x 70&quot;"/>
    <s v="Pump Parts (Dredge Pumps)*Dredge Pump (GIW WBC-64)*Impellers (JS)*Impeller, 67&quot; x 70&quot;"/>
    <n v="0"/>
    <s v="5656C-03-0028G"/>
    <s v="GIW"/>
    <n v="1"/>
  </r>
  <r>
    <s v="0008"/>
    <x v="1"/>
    <n v="62400004597"/>
    <s v="Pump Parts (Dredge Pumps)*Dredge Pump (GIW WBC-64)*Impellers (JS)*Impeller, 64&quot; x 70&quot;"/>
    <x v="10"/>
    <s v="Y"/>
    <n v="1"/>
    <s v="Impeller, 64&quot; x 70&quot;"/>
    <s v="Pump Parts (Dredge Pumps)*Dredge Pump (GIW WBC-64)*Impellers (JS)*Impeller, 64&quot; x 70&quot;"/>
    <n v="2"/>
    <s v="5656C-05-0028G"/>
    <s v="GIW"/>
    <n v="1"/>
  </r>
  <r>
    <s v="0008"/>
    <x v="1"/>
    <n v="62400004773"/>
    <s v="Fleet Consumables*Safety Supplies**COVID-19 PPE*Gloves*Glove, Disposable, SHOWA Best Type 8, S"/>
    <x v="55"/>
    <s v="Y"/>
    <n v="20"/>
    <s v="Glove, Disposable, SHOWA Best Type 8, S"/>
    <s v="Fleet Consumables*Safety Supplies**COVID-19 PPE*Gloves*Glove, Disposable, SHOWA Best Type 8, S"/>
    <n v="141"/>
    <s v="3AB63"/>
    <s v="Grainger"/>
    <n v="1"/>
  </r>
  <r>
    <s v="0008"/>
    <x v="1"/>
    <n v="62400004774"/>
    <s v="Fleet Consumables*Safety Supplies**COVID-19 PPE*Gloves*Glove, Disposable, SHOWA Best, Type 8, M"/>
    <x v="55"/>
    <s v="Y"/>
    <n v="20"/>
    <s v="Glove, Disposable, SHOWA Best, Type 8, M"/>
    <s v="Fleet Consumables*Safety Supplies**COVID-19 PPE*Gloves*Glove, Disposable, SHOWA Best, Type 8, M"/>
    <n v="59"/>
    <s v="3AB64"/>
    <s v="Grainger"/>
    <n v="1"/>
  </r>
  <r>
    <s v="0008"/>
    <x v="1"/>
    <n v="62400004775"/>
    <s v="Fleet Consumables*Safety Supplies**COVID-19 PPE*Gloves*Glove, Disposable, SHOWA Best, Type 8, L"/>
    <x v="55"/>
    <s v="Y"/>
    <n v="100"/>
    <s v="Glove, Disposable, SHOWA Best, Type 8, L"/>
    <s v="Fleet Consumables*Safety Supplies**COVID-19 PPE*Gloves*Glove, Disposable, SHOWA Best, Type 8, L"/>
    <n v="134"/>
    <s v="3AB65"/>
    <s v="Grainger"/>
    <n v="1"/>
  </r>
  <r>
    <s v="0008"/>
    <x v="1"/>
    <n v="62400004776"/>
    <s v="Fleet Consumables*Safety Supplies**COVID-19 PPE*Gloves*Glove, Disposable, SHOWA Best,Type 8, XL"/>
    <x v="55"/>
    <s v="Y"/>
    <n v="100"/>
    <s v="Glove, Disposable, SHOWA Best,Type 8, XL"/>
    <s v="Fleet Consumables*Safety Supplies**COVID-19 PPE*Gloves*Glove, Disposable, SHOWA Best,Type 8, XL"/>
    <n v="242"/>
    <s v="3AB66"/>
    <s v="Grainger"/>
    <n v="1"/>
  </r>
  <r>
    <s v="0008"/>
    <x v="1"/>
    <n v="62400004818"/>
    <s v="Pump Parts (Dredge Pumps)*Dredge Pump (GIW WBC-64)*Impellers (JS)*Impeller, 70&quot;"/>
    <x v="10"/>
    <s v="Y"/>
    <n v="4"/>
    <s v="Impeller, 70&quot;"/>
    <s v="Pump Parts (Dredge Pumps)*Dredge Pump (GIW WBC-64)*Impellers (JS)*Impeller, 70&quot;"/>
    <n v="3"/>
    <s v="445-5656C-06-0028G"/>
    <s v="GIW"/>
    <n v="1"/>
  </r>
  <r>
    <s v="0008"/>
    <x v="1"/>
    <n v="62400004892"/>
    <s v="Hydraulic Cylinders*Cylinder, Hydraulic (Loading Boxes) (EI)*Hydraulic Cylinder, Loading Box"/>
    <x v="29"/>
    <s v="Y"/>
    <n v="2"/>
    <s v="Hydraulic Cylinder, Loading Box"/>
    <s v="Hydraulic Cylinders*Cylinder, Hydraulic (Loading Boxes) (EI)*Hydraulic Cylinder, Loading Box"/>
    <n v="0"/>
    <s v="2744"/>
    <s v="CRC"/>
    <n v="1"/>
  </r>
  <r>
    <s v="0008"/>
    <x v="1"/>
    <n v="62400005245"/>
    <s v="Engine Parts (Diesel)*Turbocharger (T10) (EMD 710)*Turbocharger (L20-710)"/>
    <x v="3"/>
    <s v="Y"/>
    <n v="1"/>
    <s v="Turbocharger (L20-710)"/>
    <s v="Engine Parts (Diesel)*Turbocharger (T10) (EMD 710)*Turbocharger (L20-710)"/>
    <n v="1"/>
    <s v="40144401"/>
    <s v="EMD"/>
    <n v="1"/>
  </r>
  <r>
    <s v="0008"/>
    <x v="1"/>
    <n v="62400005811"/>
    <s v="Shafts &amp; Bearings (Propulsion)*Intermediate Shaft (DM)*Intermediate Shaft Coupling (Aft)*Shaft Coupling"/>
    <x v="56"/>
    <s v="Y"/>
    <n v="1"/>
    <s v="Shaft Coupling"/>
    <s v="Shafts &amp; Bearings (Propulsion)*Intermediate Shaft (DM)*Intermediate Shaft Coupling (Aft)*Shaft Coupling"/>
    <n v="1"/>
    <s v="1207567"/>
    <s v="Schottel"/>
    <n v="1"/>
  </r>
  <r>
    <s v="0008"/>
    <x v="1"/>
    <n v="62400006527"/>
    <s v="Pipe &amp; Hose (Dredge Slurry)*Castings (34&quot;)*Suction Mouthpiece*Suction Mouthpiece Extension"/>
    <x v="20"/>
    <s v="Y"/>
    <n v="1"/>
    <s v="Suction Mouthpiece Extension"/>
    <s v="Pipe &amp; Hose (Dredge Slurry)*Castings (34&quot;)*Suction Mouthpiece*Suction Mouthpiece Extension"/>
    <n v="1"/>
    <s v="105-02-28395 R2"/>
    <s v="Gldd Dwg "/>
    <n v="1"/>
  </r>
  <r>
    <s v="0008"/>
    <x v="1"/>
    <n v="62400006846"/>
    <s v="Pipe &amp; Hose (Dredge Slurry)*Suction Mouthpiece (CAR-TX)*Extension, Suction Mouthpiece"/>
    <x v="20"/>
    <s v="Y"/>
    <n v="1"/>
    <s v="Extension, Suction Mouthpiece"/>
    <s v="Pipe &amp; Hose (Dredge Slurry)*Suction Mouthpiece (CAR-TX)*Extension, Suction Mouthpiece"/>
    <n v="1"/>
    <s v="118-02-29249 R3"/>
    <s v="Gldd Dwg "/>
    <n v="1"/>
  </r>
  <r>
    <s v="0008"/>
    <x v="1"/>
    <n v="62400006854"/>
    <s v="Winches*Dragarm Winches (EI)*Draghead Winch (EI)*Built-In Gear Draghead"/>
    <x v="34"/>
    <s v="Y"/>
    <n v="1"/>
    <s v="Built-In Gear Draghead"/>
    <s v="Winches*Dragarm Winches (EI)*Draghead Winch (EI)*Built-In Gear Draghead"/>
    <n v="1"/>
    <s v="4120 WHE 04/0"/>
    <s v="Brusselle Carral Marine NV"/>
    <n v="1"/>
  </r>
  <r>
    <s v="0008"/>
    <x v="1"/>
    <n v="62400006883"/>
    <s v="Winches*Dragarm Winches (EI)*Brake, Draghead Winch (EI)*Brake (Drag Head Davit Winch)"/>
    <x v="34"/>
    <s v="Y"/>
    <n v="1"/>
    <s v="Brake (Drag Head Davit Winch)"/>
    <s v="Winches*Dragarm Winches (EI)*Brake, Draghead Winch (EI)*Brake (Drag Head Davit Winch)"/>
    <n v="0"/>
    <s v="SHI 252 FC"/>
    <s v="Brusselle Carral Marine NV"/>
    <n v="1"/>
  </r>
  <r>
    <s v="0008"/>
    <x v="1"/>
    <n v="62400006943"/>
    <s v="Winches*Dragarm Winches (EI)*Int-Gimbal Winch (EI)*Planetary Gearbox"/>
    <x v="34"/>
    <s v="Y"/>
    <n v="1"/>
    <s v="Planetary Gearbox"/>
    <s v="Winches*Dragarm Winches (EI)*Int-Gimbal Winch (EI)*Planetary Gearbox"/>
    <n v="1"/>
    <s v="4099WH55/0"/>
    <s v="Brusselle Carral Marine NV"/>
    <n v="1"/>
  </r>
  <r>
    <s v="0008"/>
    <x v="1"/>
    <n v="62400007004"/>
    <s v="Winches*Dragarm Winches (EI)*Brake, Draghead Winch (EI)*Brake (Trunnion and Gimbal Winch)"/>
    <x v="34"/>
    <s v="Y"/>
    <n v="1"/>
    <s v="Brake (Trunnion and Gimbal Winch)"/>
    <s v="Winches*Dragarm Winches (EI)*Brake, Draghead Winch (EI)*Brake (Trunnion and Gimbal Winch)"/>
    <n v="0"/>
    <s v="SHI 251 FC"/>
    <s v="Brusselle Carral Marine NV"/>
    <n v="1"/>
  </r>
  <r>
    <s v="0008"/>
    <x v="1"/>
    <n v="62400007040"/>
    <s v="Engine Parts (Diesel)*MAK 12M32C (DM)*B1.05.01-Engine, Cylinder Head*Cylinder Head Assembly"/>
    <x v="3"/>
    <s v="Y"/>
    <n v="3"/>
    <s v="Cylinder Head Assembly"/>
    <s v="Engine Parts (Diesel)*MAK 12M32C (DM)*B1.05.01-Engine, Cylinder Head*Cylinder Head Assembly"/>
    <n v="0"/>
    <s v="9.2107 WW"/>
    <s v="Caterpillar"/>
    <n v="1"/>
  </r>
  <r>
    <s v="0008"/>
    <x v="1"/>
    <n v="62400007366"/>
    <s v="Ladder Parts*Trunnions*Trunnion (AK-IL-TX)*Trunnion Pin, Ladder*Sleeve, Trunnion (New)"/>
    <x v="7"/>
    <s v="Y"/>
    <n v="2"/>
    <s v="Sleeve, Trunnion (New)"/>
    <s v="Ladder Parts*Trunnions*Trunnion (AK-IL-TX)*Trunnion Pin, Ladder*Sleeve, Trunnion (New)"/>
    <n v="3"/>
    <s v="118-02-2260 Rev 5"/>
    <s v="GLDD DWG"/>
    <n v="1"/>
  </r>
  <r>
    <s v="0008"/>
    <x v="1"/>
    <n v="62400007403"/>
    <s v="Dragarms*Dragarms (EI)*Suction Hose*Gimbal/Trunnion Hose"/>
    <x v="21"/>
    <s v="Y"/>
    <n v="4"/>
    <s v="Gimbal/Trunnion Hose"/>
    <s v="Dragarms*Dragarms (EI)*Suction Hose*Gimbal/Trunnion Hose"/>
    <n v="3"/>
    <s v="151-71-25369"/>
    <s v="Gldd Dwg "/>
    <n v="1"/>
  </r>
  <r>
    <s v="0008"/>
    <x v="1"/>
    <n v="62400007492"/>
    <s v="Dragheads*Draghead, 36&quot; (EI)*Pin, Visor For TED"/>
    <x v="17"/>
    <s v="Y"/>
    <n v="4"/>
    <s v="Pin, Visor For TED"/>
    <s v="Dragheads*Draghead, 36&quot; (EI)*Pin, Visor For TED"/>
    <n v="8"/>
    <m/>
    <m/>
    <n v="1"/>
  </r>
  <r>
    <s v="0008"/>
    <x v="1"/>
    <n v="62400007501"/>
    <s v="Dragarms*Dragarm Davits (EI)*Sheave, Welded Rope"/>
    <x v="21"/>
    <s v="Y"/>
    <n v="6"/>
    <s v="Sheave, Welded Rope"/>
    <s v="Dragarms*Dragarm Davits (EI)*Sheave, Welded Rope"/>
    <n v="6"/>
    <s v="SR2/900/001"/>
    <s v="C.u.A. Heiderich Gmbh"/>
    <n v="1"/>
  </r>
  <r>
    <s v="0008"/>
    <x v="1"/>
    <n v="62400007527"/>
    <s v="Gearbox Parts (Dredge Pump)*Gearbox (Overton Chicago) (EI)*Clutch (EI)*Clutch Assembly (32VC1000)"/>
    <x v="35"/>
    <s v="Y"/>
    <n v="2"/>
    <s v="Clutch Assembly (32VC1000)"/>
    <s v="Gearbox Parts (Dredge Pump)*Gearbox (Overton Chicago) (EI)*Clutch (EI)*Clutch Assembly (32VC1000)"/>
    <n v="2"/>
    <s v="142126C"/>
    <s v="AIRFLEX"/>
    <n v="1"/>
  </r>
  <r>
    <s v="0008"/>
    <x v="1"/>
    <n v="62400007578"/>
    <s v="Shafts &amp; Bearings (Jet Pump)*Pump Shaft Assembly (EI)*Bearing Assembly (Complete with Shaft)"/>
    <x v="40"/>
    <s v="Y"/>
    <n v="1"/>
    <s v="Bearing Assembly (Complete with Shaft)"/>
    <s v="Shafts &amp; Bearings (Jet Pump)*Pump Shaft Assembly (EI)*Bearing Assembly (Complete with Shaft)"/>
    <n v="0"/>
    <s v="9728D-02-0002A"/>
    <s v="GIW"/>
    <n v="1"/>
  </r>
  <r>
    <s v="0008"/>
    <x v="1"/>
    <n v="62400007769"/>
    <s v="Tug-Barge Connection System (EI-DM)*Main Hydraulic Pump, Articouple (DM)*Pump Assembly w/Motor"/>
    <x v="57"/>
    <s v="Y"/>
    <n v="1"/>
    <s v="Pump Assembly w/Motor"/>
    <s v="Tug-Barge Connection System (EI-DM)*Main Hydraulic Pump, Articouple (DM)*Pump Assembly w/Motor"/>
    <n v="0"/>
    <s v="QT43-25-QF4"/>
    <s v="Sumitomo"/>
    <n v="1"/>
  </r>
  <r>
    <s v="0008"/>
    <x v="1"/>
    <n v="62400007801"/>
    <s v="Sheaves*36&quot; PD Sheave Box (EI)*Sheave Pin"/>
    <x v="26"/>
    <s v="Y"/>
    <n v="4"/>
    <s v="Sheave Pin"/>
    <s v="Sheaves*36&quot; PD Sheave Box (EI)*Sheave Pin"/>
    <n v="4"/>
    <m/>
    <m/>
    <n v="1"/>
  </r>
  <r>
    <s v="0008"/>
    <x v="1"/>
    <n v="62400007802"/>
    <s v="Sheaves*36&quot; PD Sheave Box (EI)*Sheave Box"/>
    <x v="26"/>
    <s v="Y"/>
    <n v="4"/>
    <s v="Sheave Box"/>
    <s v="Sheaves*36&quot; PD Sheave Box (EI)*Sheave Box"/>
    <n v="4"/>
    <m/>
    <m/>
    <n v="1"/>
  </r>
  <r>
    <s v="0008"/>
    <x v="1"/>
    <n v="62400008493"/>
    <s v="Hydraulic Systems*Hydraulic Power Unit (Bypass Valve)*Motor, Electric, HPU, 50 Hp"/>
    <x v="58"/>
    <s v="Y"/>
    <n v="1"/>
    <s v="Motor, Electric, HPU, 50 Hp"/>
    <s v="Hydraulic Systems*Hydraulic Power Unit (Bypass Valve)*Motor, Electric, HPU, 50 Hp"/>
    <n v="1"/>
    <s v="DP21"/>
    <s v="US Motors"/>
    <n v="1"/>
  </r>
  <r>
    <s v="0008"/>
    <x v="1"/>
    <n v="62400008684"/>
    <s v="Shafts &amp; Bearings (Cutter Drive)*Thrust Bearing Assembly (OH-CAR-TX)*Bearing, Thrust, Roller, W/O Brz Bushing"/>
    <x v="23"/>
    <s v="Y"/>
    <n v="2"/>
    <s v="Bearing, Thrust, Roller, W/O Brz Bushing"/>
    <s v="Shafts &amp; Bearings (Cutter Drive)*Thrust Bearing Assembly (OH-CAR-TX)*Bearing, Thrust, Roller, W/O Brz Bushing"/>
    <n v="0"/>
    <s v="ATP168GLD"/>
    <s v="AMERICAN ROLLER BEARING CO."/>
    <n v="1"/>
  </r>
  <r>
    <s v="0008"/>
    <x v="1"/>
    <n v="66200002201"/>
    <s v="Gearbox Parts (Jet Pump)*Gearbox, Jet Pump (EI)*Gearbox"/>
    <x v="51"/>
    <s v="Y"/>
    <n v="1"/>
    <s v="Gearbox"/>
    <s v="Gearbox Parts (Jet Pump)*Gearbox, Jet Pump (EI)*Gearbox"/>
    <n v="1"/>
    <s v="SA201-2F"/>
    <s v="OVERTON CHICAGO GEAR"/>
    <n v="1"/>
  </r>
  <r>
    <s v="0008"/>
    <x v="1"/>
    <n v="66200002212"/>
    <s v="Couplings*Coupling (Lovejoy FFS-5E) (EI)*Coupling,  Output, FFS-5E"/>
    <x v="36"/>
    <s v="Y"/>
    <n v="1"/>
    <s v="Coupling,  Output, FFS-5E"/>
    <s v="Couplings*Coupling (Lovejoy FFS-5E) (EI)*Coupling,  Output, FFS-5E"/>
    <n v="1"/>
    <s v="69790447179"/>
    <s v="Lovejoy"/>
    <n v="1"/>
  </r>
  <r>
    <s v="0008"/>
    <x v="1"/>
    <n v="66200003450"/>
    <s v="Pipe &amp; Hose (Jet Water)*Jet Water Valves (EI)*20&quot; Butterfly Valve, 285 PSI"/>
    <x v="5"/>
    <s v="Y"/>
    <n v="2"/>
    <s v="20&quot; Butterfly Valve, 285 PSI"/>
    <s v="Pipe &amp; Hose (Jet Water)*Jet Water Valves (EI)*20&quot; Butterfly Valve, 285 PSI"/>
    <n v="0"/>
    <m/>
    <m/>
    <n v="1"/>
  </r>
  <r>
    <s v="0008"/>
    <x v="1"/>
    <n v="66200003452"/>
    <s v="Pipe &amp; Hose (Jet Water)*Jet Water Valves (EI)*Butterfly Valve, 14&quot;"/>
    <x v="5"/>
    <s v="Y"/>
    <n v="2"/>
    <s v="Butterfly Valve, 14&quot;"/>
    <s v="Pipe &amp; Hose (Jet Water)*Jet Water Valves (EI)*Butterfly Valve, 14&quot;"/>
    <n v="2"/>
    <m/>
    <m/>
    <n v="1"/>
  </r>
  <r>
    <s v="0008"/>
    <x v="1"/>
    <n v="66200003463"/>
    <s v="Pipe &amp; Hose (Jet Water)*Jet Water Valves (EI)*20&quot; Expansion Joint, Discharge Side, 12&quot;"/>
    <x v="5"/>
    <s v="Y"/>
    <n v="2"/>
    <s v="20&quot; Expansion Joint, Discharge Side, 12&quot;"/>
    <s v="Pipe &amp; Hose (Jet Water)*Jet Water Valves (EI)*20&quot; Expansion Joint, Discharge Side, 12&quot;"/>
    <n v="2"/>
    <s v="1302-0200-120-ONFN"/>
    <s v="General Rubber"/>
    <n v="1"/>
  </r>
  <r>
    <s v="0008"/>
    <x v="1"/>
    <n v="66200003464"/>
    <s v="Pipe &amp; Hose (Jet Water)*Jet Water Valves (EI)*20&quot; Expansion Joint, Suction Side, 8&quot;"/>
    <x v="5"/>
    <s v="Y"/>
    <n v="2"/>
    <s v="20&quot; Expansion Joint, Suction Side, 8&quot;"/>
    <s v="Pipe &amp; Hose (Jet Water)*Jet Water Valves (EI)*20&quot; Expansion Joint, Suction Side, 8&quot;"/>
    <n v="2"/>
    <s v="1301-0200-080-ONFN"/>
    <s v="General Rubber"/>
    <n v="1"/>
  </r>
  <r>
    <s v="0008"/>
    <x v="1"/>
    <n v="66200003465"/>
    <s v="Pipe &amp; Hose (Jet Water)*Jet Water Valves (EI)*20&quot; Butterfly Valve, 150 PSI"/>
    <x v="5"/>
    <s v="Y"/>
    <n v="2"/>
    <s v="20&quot; Butterfly Valve, 150 PSI"/>
    <s v="Pipe &amp; Hose (Jet Water)*Jet Water Valves (EI)*20&quot; Butterfly Valve, 150 PSI"/>
    <n v="0"/>
    <m/>
    <m/>
    <n v="1"/>
  </r>
  <r>
    <s v="0008"/>
    <x v="1"/>
    <n v="66200003466"/>
    <s v="Pipe &amp; Hose (Jet Water)*Jet Water Valves (EI)*18&quot; Butterfly Valve"/>
    <x v="5"/>
    <s v="Y"/>
    <n v="2"/>
    <s v="18&quot; Butterfly Valve"/>
    <s v="Pipe &amp; Hose (Jet Water)*Jet Water Valves (EI)*18&quot; Butterfly Valve"/>
    <n v="0"/>
    <m/>
    <m/>
    <n v="1"/>
  </r>
  <r>
    <s v="0008"/>
    <x v="1"/>
    <n v="66200003947"/>
    <s v="Rudders*Rudder (DM)*Rudder Stock Assembly"/>
    <x v="59"/>
    <s v="Y"/>
    <n v="1"/>
    <s v="Rudder Stock Assembly"/>
    <s v="Rudders*Rudder (DM)*Rudder Stock Assembly"/>
    <n v="0"/>
    <m/>
    <m/>
    <n v="1"/>
  </r>
  <r>
    <s v="0008"/>
    <x v="1"/>
    <n v="66200003955"/>
    <s v="Rudders*Rudder (DM)*Rudder (Complete Assembly)*Bearing, Spherical Roller"/>
    <x v="59"/>
    <s v="Y"/>
    <n v="1"/>
    <s v="Bearing, Spherical Roller"/>
    <s v="Rudders*Rudder (DM)*Rudder (Complete Assembly)*Bearing, Spherical Roller"/>
    <n v="0"/>
    <m/>
    <m/>
    <n v="1"/>
  </r>
  <r>
    <s v="0008"/>
    <x v="1"/>
    <n v="66200003958"/>
    <s v="Rudders*Rudder (DM)*Rudder (Complete Assembly)*O-Ring Ø1250 x 12"/>
    <x v="59"/>
    <s v="Y"/>
    <n v="1"/>
    <s v="O-Ring Ø1250 x 12"/>
    <s v="Rudders*Rudder (DM)*Rudder (Complete Assembly)*O-Ring Ø1250 x 12"/>
    <n v="0"/>
    <m/>
    <m/>
    <n v="1"/>
  </r>
  <r>
    <s v="0008"/>
    <x v="1"/>
    <n v="66200005011"/>
    <s v="Heat Exchangers*Heat Exchanger (M-10)*HEAT EXCHANGER J/W*Gasket, Channel Plate"/>
    <x v="12"/>
    <s v="Y"/>
    <n v="70"/>
    <s v="Gasket, Channel Plate"/>
    <s v="Heat Exchangers*Heat Exchanger (M-10)*HEAT EXCHANGER J/W*Gasket, Channel Plate"/>
    <n v="70"/>
    <s v="3233015096"/>
    <s v="Alfa Laval"/>
    <n v="1"/>
  </r>
  <r>
    <s v="0008"/>
    <x v="1"/>
    <n v="66200005149"/>
    <s v="Spuds*Spud System (NY)*Port Spud*Lead Sheave*Spud Sheave, Top*Pin, Top Spud Sheave"/>
    <x v="27"/>
    <s v="Y"/>
    <n v="4"/>
    <s v="Pin, Top Spud Sheave"/>
    <s v="Spuds*Spud System (NY)*Port Spud*Lead Sheave*Spud Sheave, Top*Pin, Top Spud Sheave"/>
    <n v="4"/>
    <s v="120-06-24970"/>
    <s v="Gldd Dwg "/>
    <n v="1"/>
  </r>
  <r>
    <s v="0008"/>
    <x v="1"/>
    <n v="66200005523"/>
    <s v="Gearbox Parts (Propulsion)*Gearbox (DM)*Spherical Thurst Bearing"/>
    <x v="42"/>
    <s v="Y"/>
    <n v="1"/>
    <s v="Spherical Thurst Bearing"/>
    <s v="Gearbox Parts (Propulsion)*Gearbox (DM)*Spherical Thurst Bearing"/>
    <n v="1"/>
    <s v="SKF 29484 EM"/>
    <s v="SKF"/>
    <n v="1"/>
  </r>
  <r>
    <s v="0008"/>
    <x v="1"/>
    <n v="66200005524"/>
    <s v="Gearbox Parts (Propulsion)*Gearbox (DM)*Spherical Roller Bearing"/>
    <x v="42"/>
    <s v="Y"/>
    <n v="2"/>
    <s v="Spherical Roller Bearing"/>
    <s v="Gearbox Parts (Propulsion)*Gearbox (DM)*Spherical Roller Bearing"/>
    <n v="2"/>
    <s v="23024 CA/C3 W33 S1"/>
    <s v="SKF"/>
    <n v="1"/>
  </r>
  <r>
    <s v="0008"/>
    <x v="1"/>
    <n v="66200005525"/>
    <s v="Gearbox Parts (Propulsion)*Gearbox (DM)*Spherical Roller Bearing"/>
    <x v="42"/>
    <s v="Y"/>
    <n v="2"/>
    <s v="Spherical Roller Bearing"/>
    <s v="Gearbox Parts (Propulsion)*Gearbox (DM)*Spherical Roller Bearing"/>
    <n v="2"/>
    <s v="23238 CA/C3 W33 S1"/>
    <s v="SKF"/>
    <n v="1"/>
  </r>
  <r>
    <s v="0008"/>
    <x v="1"/>
    <n v="66200005526"/>
    <s v="Gearbox Parts (Propulsion)*Gearbox (DM)*Spherical Roller Bearing"/>
    <x v="42"/>
    <s v="Y"/>
    <n v="2"/>
    <s v="Spherical Roller Bearing"/>
    <s v="Gearbox Parts (Propulsion)*Gearbox (DM)*Spherical Roller Bearing"/>
    <n v="0"/>
    <s v="23056 CA/C3/W33 S1"/>
    <s v="SKF"/>
    <n v="1"/>
  </r>
  <r>
    <s v="0008"/>
    <x v="1"/>
    <n v="66200005527"/>
    <s v="Gearbox Parts (Propulsion)*Gearbox (DM)*Spherical Roller Bearing"/>
    <x v="42"/>
    <s v="Y"/>
    <n v="2"/>
    <s v="Spherical Roller Bearing"/>
    <s v="Gearbox Parts (Propulsion)*Gearbox (DM)*Spherical Roller Bearing"/>
    <n v="0"/>
    <s v="24056 CA/C3 W33 S1"/>
    <s v="SKF"/>
    <n v="1"/>
  </r>
  <r>
    <s v="0008"/>
    <x v="1"/>
    <n v="66200005528"/>
    <s v="Gearbox Parts (Propulsion)*Gearbox (DM)*Spherical Roller Bearing"/>
    <x v="42"/>
    <s v="Y"/>
    <n v="2"/>
    <s v="Spherical Roller Bearing"/>
    <s v="Gearbox Parts (Propulsion)*Gearbox (DM)*Spherical Roller Bearing"/>
    <n v="0"/>
    <s v="23160 CA/C3 W33 S1"/>
    <s v="SKF"/>
    <n v="1"/>
  </r>
  <r>
    <s v="0008"/>
    <x v="1"/>
    <n v="66200005529"/>
    <s v="Gearbox Parts (Propulsion)*Gearbox (DM)*Spherical Roller Bearing"/>
    <x v="42"/>
    <s v="Y"/>
    <n v="2"/>
    <s v="Spherical Roller Bearing"/>
    <s v="Gearbox Parts (Propulsion)*Gearbox (DM)*Spherical Roller Bearing"/>
    <n v="0"/>
    <s v="23068 CA/C3 W33 S1"/>
    <s v="SKF"/>
    <n v="1"/>
  </r>
  <r>
    <s v="0008"/>
    <x v="1"/>
    <n v="66200005530"/>
    <s v="Gearbox Parts (Propulsion)*Gearbox (DM)*Spherical Roller Bearing"/>
    <x v="42"/>
    <s v="Y"/>
    <n v="2"/>
    <s v="Spherical Roller Bearing"/>
    <s v="Gearbox Parts (Propulsion)*Gearbox (DM)*Spherical Roller Bearing"/>
    <n v="0"/>
    <s v="23268 CA/C3 W33 S1"/>
    <s v="SKF"/>
    <n v="1"/>
  </r>
  <r>
    <s v="0008"/>
    <x v="1"/>
    <n v="66200005531"/>
    <s v="Gearbox Parts (Propulsion)*Gearbox (DM)*Spherical Roller Bearing"/>
    <x v="42"/>
    <s v="Y"/>
    <n v="1"/>
    <s v="Spherical Roller Bearing"/>
    <s v="Gearbox Parts (Propulsion)*Gearbox (DM)*Spherical Roller Bearing"/>
    <n v="1"/>
    <s v="23980 CA/C3 W33 S1"/>
    <s v="SKF"/>
    <n v="1"/>
  </r>
  <r>
    <s v="0008"/>
    <x v="1"/>
    <n v="66200005532"/>
    <s v="Gearbox Parts (Propulsion)*Gearbox (DM)*Spherical Roller Bearing"/>
    <x v="42"/>
    <s v="Y"/>
    <n v="1"/>
    <s v="Spherical Roller Bearing"/>
    <s v="Gearbox Parts (Propulsion)*Gearbox (DM)*Spherical Roller Bearing"/>
    <n v="1"/>
    <s v="23996 CA/C3 W33 S1"/>
    <s v="SKF"/>
    <n v="1"/>
  </r>
  <r>
    <s v="0008"/>
    <x v="1"/>
    <n v="66200005538"/>
    <s v="Gearbox Parts (Propulsion)*Gearbox (DM)*Bearing, Ball"/>
    <x v="42"/>
    <s v="Y"/>
    <n v="2"/>
    <s v="Bearing, Ball"/>
    <s v="Gearbox Parts (Propulsion)*Gearbox (DM)*Bearing, Ball"/>
    <n v="0"/>
    <s v="61936 MA/C3"/>
    <s v="SKF"/>
    <n v="1"/>
  </r>
  <r>
    <s v="0008"/>
    <x v="1"/>
    <n v="66200005539"/>
    <s v="Gearbox Parts (Propulsion)*Gearbox (DM)*Bearing, Ball"/>
    <x v="42"/>
    <s v="Y"/>
    <n v="2"/>
    <s v="Bearing, Ball"/>
    <s v="Gearbox Parts (Propulsion)*Gearbox (DM)*Bearing, Ball"/>
    <n v="2"/>
    <s v="6200-2RS1/C3"/>
    <s v="SKF"/>
    <n v="1"/>
  </r>
  <r>
    <s v="0008"/>
    <x v="1"/>
    <n v="66200005841"/>
    <s v="Radiators*Radiator (EI Cat Generator)*Radiator"/>
    <x v="60"/>
    <s v="Y"/>
    <n v="1"/>
    <s v="Radiator"/>
    <s v="Radiators*Radiator (EI Cat Generator)*Radiator"/>
    <n v="1"/>
    <s v="3653Y/AS"/>
    <s v="Covrad GT"/>
    <n v="1"/>
  </r>
  <r>
    <s v="0008"/>
    <x v="1"/>
    <n v="66200005847"/>
    <s v="Generators*Generator (Cat SR5)*Generator, SR5"/>
    <x v="4"/>
    <s v="Y"/>
    <n v="1"/>
    <s v="Generator, SR5"/>
    <s v="Generators*Generator (Cat SR5)*Generator, SR5"/>
    <n v="0"/>
    <s v="SR5"/>
    <s v="Caterpillar"/>
    <n v="1"/>
  </r>
  <r>
    <s v="0008"/>
    <x v="1"/>
    <n v="66200006326"/>
    <s v="Tug-Barge Connection System (EI-DM)*Rack Cylinder Assembly (DM)*Back-Up Ring BRT (T3G-370)"/>
    <x v="57"/>
    <s v="Y"/>
    <n v="2"/>
    <s v="Back-Up Ring BRT (T3G-370)"/>
    <s v="Tug-Barge Connection System (EI-DM)*Rack Cylinder Assembly (DM)*Back-Up Ring BRT (T3G-370)"/>
    <n v="2"/>
    <s v="T3G-370"/>
    <s v="TAISEI ENGINEERING"/>
    <n v="1"/>
  </r>
  <r>
    <s v="0008"/>
    <x v="1"/>
    <n v="66200006327"/>
    <s v="Tug-Barge Connection System (EI-DM)*Rack Cylinder Assembly (DM)*Dust Seal (SDR-250)"/>
    <x v="57"/>
    <s v="Y"/>
    <n v="2"/>
    <s v="Dust Seal (SDR-250)"/>
    <s v="Tug-Barge Connection System (EI-DM)*Rack Cylinder Assembly (DM)*Dust Seal (SDR-250)"/>
    <n v="2"/>
    <s v="SDR-250"/>
    <s v="TAISEI ENGINEERING"/>
    <n v="1"/>
  </r>
  <r>
    <s v="0008"/>
    <x v="1"/>
    <n v="66200006328"/>
    <s v="Tug-Barge Connection System (EI-DM)*Rack Cylinder Assembly (DM)*O-Ring (1BG-370)"/>
    <x v="57"/>
    <s v="Y"/>
    <n v="2"/>
    <s v="O-Ring (1BG-370)"/>
    <s v="Tug-Barge Connection System (EI-DM)*Rack Cylinder Assembly (DM)*O-Ring (1BG-370)"/>
    <n v="2"/>
    <s v="1BG-370"/>
    <s v="TAISEI ENGINEERING"/>
    <n v="1"/>
  </r>
  <r>
    <s v="0008"/>
    <x v="1"/>
    <n v="66200006329"/>
    <s v="Tug-Barge Connection System (EI-DM)*Rack Cylinder Assembly (DM)*Back Up Ring (275x250x4)"/>
    <x v="57"/>
    <s v="Y"/>
    <n v="2"/>
    <s v="Back Up Ring (275x250x4)"/>
    <s v="Tug-Barge Connection System (EI-DM)*Rack Cylinder Assembly (DM)*Back Up Ring (275x250x4)"/>
    <n v="2"/>
    <s v="275x250x4"/>
    <s v="TAISEI ENGINEERING"/>
    <n v="1"/>
  </r>
  <r>
    <s v="0008"/>
    <x v="1"/>
    <n v="66200006330"/>
    <s v="Tug-Barge Connection System (EI-DM)*Rack Cylinder Assembly (DM)*Back Up Ring (380x350x4)"/>
    <x v="57"/>
    <s v="Y"/>
    <n v="4"/>
    <s v="Back Up Ring (380x350x4)"/>
    <s v="Tug-Barge Connection System (EI-DM)*Rack Cylinder Assembly (DM)*Back Up Ring (380x350x4)"/>
    <n v="4"/>
    <s v="380x350x4"/>
    <s v="TAISEI ENGINEERING"/>
    <n v="1"/>
  </r>
  <r>
    <s v="0008"/>
    <x v="1"/>
    <n v="66200006331"/>
    <s v="Tug-Barge Connection System (EI-DM)*Rack Cylinder Assembly (DM)*Rod Packing (250x275x19)"/>
    <x v="57"/>
    <s v="Y"/>
    <n v="2"/>
    <s v="Rod Packing (250x275x19)"/>
    <s v="Tug-Barge Connection System (EI-DM)*Rack Cylinder Assembly (DM)*Rod Packing (250x275x19)"/>
    <n v="2"/>
    <s v="250x275x19"/>
    <s v="TAISEI ENGINEERING"/>
    <n v="1"/>
  </r>
  <r>
    <s v="0008"/>
    <x v="1"/>
    <n v="66200006332"/>
    <s v="Tug-Barge Connection System (EI-DM)*Rack Cylinder Assembly (DM)*O-Ring (1BG-210)"/>
    <x v="57"/>
    <s v="Y"/>
    <n v="2"/>
    <s v="O-Ring (1BG-210)"/>
    <s v="Tug-Barge Connection System (EI-DM)*Rack Cylinder Assembly (DM)*O-Ring (1BG-210)"/>
    <n v="2"/>
    <s v="1BG-210"/>
    <s v="TAISEI ENGINEERING"/>
    <n v="1"/>
  </r>
  <r>
    <s v="0008"/>
    <x v="1"/>
    <n v="66200006333"/>
    <s v="Tug-Barge Connection System (EI-DM)*Rack Cylinder Assembly (DM)*Back Up Ring (T3G-210)"/>
    <x v="57"/>
    <s v="Y"/>
    <n v="4"/>
    <s v="Back Up Ring (T3G-210)"/>
    <s v="Tug-Barge Connection System (EI-DM)*Rack Cylinder Assembly (DM)*Back Up Ring (T3G-210)"/>
    <n v="4"/>
    <s v="T3G-210"/>
    <s v="TAISEI ENGINEERING"/>
    <n v="1"/>
  </r>
  <r>
    <s v="0008"/>
    <x v="1"/>
    <n v="66200006334"/>
    <s v="Tug-Barge Connection System (EI-DM)*Rack Cylinder Assembly (DM)*Piston Packing (UPI-350x380x22)"/>
    <x v="57"/>
    <s v="Y"/>
    <n v="4"/>
    <s v="Piston Packing (UPI-350x380x22)"/>
    <s v="Tug-Barge Connection System (EI-DM)*Rack Cylinder Assembly (DM)*Piston Packing (UPI-350x380x22)"/>
    <n v="4"/>
    <s v="UPI-350x380x22"/>
    <s v="TAISEI ENGINEERING"/>
    <n v="1"/>
  </r>
  <r>
    <s v="0008"/>
    <x v="1"/>
    <n v="66200006738"/>
    <s v="Gearbox Parts (Propulsion)*Gearbox (DM)*Clutch (A/B)*Clutch Assembly Series 021"/>
    <x v="42"/>
    <s v="Y"/>
    <n v="1"/>
    <s v="Clutch Assembly Series 021"/>
    <s v="Gearbox Parts (Propulsion)*Gearbox (DM)*Clutch (A/B)*Clutch Assembly Series 021"/>
    <n v="1"/>
    <s v="Series 021"/>
    <s v="ORTTECH"/>
    <n v="1"/>
  </r>
  <r>
    <s v="0008"/>
    <x v="1"/>
    <n v="66200007292"/>
    <s v="Tug-Barge Connection System (EI-DM)*Pressing Shoe Assembly (DM)*Pressing Shoe Assembly"/>
    <x v="57"/>
    <s v="Y"/>
    <n v="2"/>
    <s v="Pressing Shoe Assembly"/>
    <s v="Tug-Barge Connection System (EI-DM)*Pressing Shoe Assembly (DM)*Pressing Shoe Assembly"/>
    <n v="0"/>
    <s v="ABS-2 SC450"/>
    <s v="TAISEI ENGINEERING"/>
    <n v="1"/>
  </r>
  <r>
    <s v="0008"/>
    <x v="1"/>
    <n v="66200007293"/>
    <s v="Tug-Barge Connection System (EI-DM)*Pressing Shoe Assembly (DM)*Pressing Shoe Kit*Rubber, Pressing Shoe"/>
    <x v="57"/>
    <s v="Y"/>
    <n v="2"/>
    <s v="Rubber, Pressing Shoe"/>
    <s v="Tug-Barge Connection System (EI-DM)*Pressing Shoe Assembly (DM)*Pressing Shoe Kit*Rubber, Pressing Shoe"/>
    <n v="0"/>
    <m/>
    <m/>
    <n v="1"/>
  </r>
  <r>
    <s v="0008"/>
    <x v="1"/>
    <n v="66200007378"/>
    <s v="Sheaves*36&quot; PD Sheave Box (EI)*36&quot; Sheave"/>
    <x v="26"/>
    <s v="Y"/>
    <n v="2"/>
    <s v="36&quot; Sheave"/>
    <s v="Sheaves*36&quot; PD Sheave Box (EI)*36&quot; Sheave"/>
    <n v="2"/>
    <s v="36&quot;"/>
    <s v="C.u.A. Heiderich Gmbh"/>
    <n v="1"/>
  </r>
  <r>
    <s v="0008"/>
    <x v="1"/>
    <n v="66200007379"/>
    <s v="Sheaves*50&quot; PD Sheave Box (EI)*50&quot; Sheave"/>
    <x v="26"/>
    <s v="Y"/>
    <n v="8"/>
    <s v="50&quot; Sheave"/>
    <s v="Sheaves*50&quot; PD Sheave Box (EI)*50&quot; Sheave"/>
    <n v="2"/>
    <s v="50&quot;"/>
    <s v="C.u.A. Heiderich Gmbh"/>
    <n v="1"/>
  </r>
  <r>
    <s v="0008"/>
    <x v="1"/>
    <n v="66200007703"/>
    <s v="Engine Parts (Diesel)*Turbocharger (ABB TPL 65-A32) (Doug Mackie)*Turbocharger Cartridge"/>
    <x v="3"/>
    <s v="Y"/>
    <n v="1"/>
    <s v="Turbocharger Cartridge"/>
    <s v="Engine Parts (Diesel)*Turbocharger (ABB TPL 65-A32) (Doug Mackie)*Turbocharger Cartridge"/>
    <n v="1"/>
    <s v="10900"/>
    <s v="ABB Turbo Systems Ltd"/>
    <n v="1"/>
  </r>
  <r>
    <s v="0008"/>
    <x v="1"/>
    <n v="66200007835"/>
    <s v="Valves (Slurry)*Valve (36&quot;)*Valve (36&quot; - 50 PSI Fedur/HS 400)*Liner, Wear, Valve, Fedur"/>
    <x v="31"/>
    <s v="Y"/>
    <n v="8"/>
    <s v="Liner, Wear, Valve, Fedur"/>
    <s v="Valves (Slurry)*Valve (36&quot;)*Valve (36&quot; - 50 PSI Fedur/HS 400)*Liner, Wear, Valve, Fedur"/>
    <n v="0"/>
    <s v="13381303S02E"/>
    <s v="GC CLAD PARTS BV"/>
    <n v="1"/>
  </r>
  <r>
    <s v="0008"/>
    <x v="1"/>
    <n v="66200008831"/>
    <s v="Shafts &amp; Bearings (Ladder Pump Drive)*Line Shaft (Short) (TX)*Ladder Pump Shaft (Short) With Couplings"/>
    <x v="49"/>
    <s v="Y"/>
    <n v="1"/>
    <s v="Ladder Pump Shaft (Short) With Couplings"/>
    <s v="Shafts &amp; Bearings (Ladder Pump Drive)*Line Shaft (Short) (TX)*Ladder Pump Shaft (Short) With Couplings"/>
    <n v="1"/>
    <m/>
    <m/>
    <n v="1"/>
  </r>
  <r>
    <s v="0008"/>
    <x v="1"/>
    <n v="66200009519"/>
    <s v="Propellers*CPP Parts*CPP Blades Port (DM)*CPP Propeller Blade, Left (Port)"/>
    <x v="19"/>
    <s v="Y"/>
    <n v="1"/>
    <s v="CPP Propeller Blade, Left (Port)"/>
    <s v="Propellers*CPP Parts*CPP Blades Port (DM)*CPP Propeller Blade, Left (Port)"/>
    <n v="4"/>
    <s v="1197170"/>
    <s v="Schottel"/>
    <n v="1"/>
  </r>
  <r>
    <s v="0008"/>
    <x v="1"/>
    <n v="66200009520"/>
    <s v="Propellers*CPP Parts*CPP Blades Stbd (DM)*CPP Propeller Blade, Right (Starboard)"/>
    <x v="19"/>
    <s v="Y"/>
    <n v="1"/>
    <s v="CPP Propeller Blade, Right (Starboard)"/>
    <s v="Propellers*CPP Parts*CPP Blades Stbd (DM)*CPP Propeller Blade, Right (Starboard)"/>
    <n v="4"/>
    <s v="1197169"/>
    <s v="Schottel"/>
    <n v="1"/>
  </r>
  <r>
    <s v="0008"/>
    <x v="1"/>
    <n v="66200009666"/>
    <s v="Couplings*Coupling (Altra-Flex T11)*Coupling, Complete, Altra-Flex T11"/>
    <x v="36"/>
    <s v="Y"/>
    <n v="1"/>
    <s v="Coupling, Complete, Altra-Flex T11"/>
    <s v="Couplings*Coupling (Altra-Flex T11)*Coupling, Complete, Altra-Flex T11"/>
    <n v="1"/>
    <s v="T11"/>
    <s v="HAGLER SYSTEMS"/>
    <n v="1"/>
  </r>
  <r>
    <s v="0008"/>
    <x v="1"/>
    <n v="66200010165"/>
    <s v="Pump Parts (Dredge Pumps)*Dredge Pump (GIW LSA-84)*Impellers (EI)*Impeller, 80&quot;"/>
    <x v="10"/>
    <s v="Y"/>
    <n v="2"/>
    <s v="Impeller, 80&quot;"/>
    <s v="Pump Parts (Dredge Pumps)*Dredge Pump (GIW LSA-84)*Impellers (EI)*Impeller, 80&quot;"/>
    <n v="2"/>
    <s v="2373B-01-0H29G"/>
    <s v="GIW"/>
    <n v="1"/>
  </r>
  <r>
    <s v="0008"/>
    <x v="1"/>
    <n v="66200010939"/>
    <s v="Spuds*Spud System (NY)*Walking Spud*Travel Winch*Motor, Hydraulic, M24V"/>
    <x v="27"/>
    <s v="Y"/>
    <n v="1"/>
    <s v="Motor, Hydraulic, M24V"/>
    <s v="Spuds*Spud System (NY)*Walking Spud*Travel Winch*Motor, Hydraulic, M24V"/>
    <n v="1"/>
    <s v="M24V 3N1D 8A5 B00"/>
    <s v="DENISON"/>
    <n v="1"/>
  </r>
  <r>
    <s v="0008"/>
    <x v="1"/>
    <n v="66200011009"/>
    <s v="Shafts &amp; Bearings (Cutter Drive)*Tailshaft (CAR-TX)*Sleeve, Hub Wear"/>
    <x v="23"/>
    <s v="Y"/>
    <n v="2"/>
    <s v="Sleeve, Hub Wear"/>
    <s v="Shafts &amp; Bearings (Cutter Drive)*Tailshaft (CAR-TX)*Sleeve, Hub Wear"/>
    <n v="2"/>
    <s v="118/110-02-30983"/>
    <s v="Gldd Dwg "/>
    <n v="1"/>
  </r>
  <r>
    <s v="0008"/>
    <x v="1"/>
    <n v="66200011619"/>
    <s v="Motors, Electric (&lt;100 HP)*Tagline Motor (75 HP) (58)*Motor, Tagline Winch, 75 HP"/>
    <x v="41"/>
    <s v="Y"/>
    <n v="1"/>
    <s v="Motor, Tagline Winch, 75 HP"/>
    <s v="Motors, Electric (&lt;100 HP)*Tagline Motor (75 HP) (58)*Motor, Tagline Winch, 75 HP"/>
    <n v="1"/>
    <m/>
    <m/>
    <n v="1"/>
  </r>
  <r>
    <s v="0008"/>
    <x v="1"/>
    <n v="66200012727"/>
    <s v="Gearbox Parts (Propulsion)*Gearbox (DM)*Input Shaft, Propulsion Gearbox"/>
    <x v="42"/>
    <s v="Y"/>
    <n v="1"/>
    <s v="Input Shaft, Propulsion Gearbox"/>
    <s v="Gearbox Parts (Propulsion)*Gearbox (DM)*Input Shaft, Propulsion Gearbox"/>
    <n v="0"/>
    <s v="302-14-29220 (Rev 1)"/>
    <s v="Gldd Dwg "/>
    <n v="1"/>
  </r>
  <r>
    <s v="0008"/>
    <x v="1"/>
    <n v="66200013808"/>
    <s v="Gearbox Parts (Clamshell Cranes)*Main Hoist Gearbox (Holding) (58)*Gearbox, Holding Winch"/>
    <x v="22"/>
    <s v="Y"/>
    <n v="1"/>
    <s v="Gearbox, Holding Winch"/>
    <s v="Gearbox Parts (Clamshell Cranes)*Main Hoist Gearbox (Holding) (58)*Gearbox, Holding Winch"/>
    <n v="1"/>
    <s v="SHC83"/>
    <s v="Hyosung Corp."/>
    <n v="1"/>
  </r>
  <r>
    <s v="0008"/>
    <x v="1"/>
    <n v="66200013813"/>
    <s v="Motors, Electric (&gt;100 HP)*Main Hoist Motor (Hold-Close) (58)*Motor, Holding/Closing Winch"/>
    <x v="14"/>
    <s v="Y"/>
    <n v="1"/>
    <s v="Motor, Holding/Closing Winch"/>
    <s v="Motors, Electric (&gt;100 HP)*Main Hoist Motor (Hold-Close) (58)*Motor, Holding/Closing Winch"/>
    <n v="1"/>
    <s v="GT1600-430V"/>
    <s v="Global Tech Motor &amp; Controls, Inc."/>
    <n v="1"/>
  </r>
  <r>
    <s v="0008"/>
    <x v="1"/>
    <n v="66200013814"/>
    <s v="Swing Parts (Clamshell)*Swing Circle (58)*Swing Rack Segment"/>
    <x v="28"/>
    <s v="Y"/>
    <n v="6"/>
    <s v="Swing Rack Segment"/>
    <s v="Swing Parts (Clamshell)*Swing Circle (58)*Swing Rack Segment"/>
    <n v="6"/>
    <s v="138-45-35049"/>
    <s v="Gldd Dwg "/>
    <n v="1"/>
  </r>
  <r>
    <s v="0008"/>
    <x v="1"/>
    <n v="66200013815"/>
    <s v="Swing Parts (Clamshell)*Swing Circle (58)*Swing Rail Segment (Lower, inner)"/>
    <x v="28"/>
    <s v="Y"/>
    <n v="1"/>
    <s v="Swing Rail Segment (Lower, inner)"/>
    <s v="Swing Parts (Clamshell)*Swing Circle (58)*Swing Rail Segment (Lower, inner)"/>
    <n v="1"/>
    <s v="138-45-35054  MR-4"/>
    <s v="Gldd Dwg "/>
    <n v="1"/>
  </r>
  <r>
    <s v="0008"/>
    <x v="1"/>
    <n v="66200013816"/>
    <s v="Swing Parts (Clamshell)*Swing Circle (58)*Swing Rail Segment (Upper, inner)"/>
    <x v="28"/>
    <s v="Y"/>
    <n v="1"/>
    <s v="Swing Rail Segment (Upper, inner)"/>
    <s v="Swing Parts (Clamshell)*Swing Circle (58)*Swing Rail Segment (Upper, inner)"/>
    <n v="1"/>
    <s v="138-45-35054  MR-6"/>
    <s v="Gldd Dwg "/>
    <n v="1"/>
  </r>
  <r>
    <s v="0008"/>
    <x v="1"/>
    <n v="66200013817"/>
    <s v="Gearbox Parts (Clamshell Cranes)*Swing Gearbox (58)*Planetary Gearbox, Swing"/>
    <x v="22"/>
    <s v="Y"/>
    <n v="1"/>
    <s v="Planetary Gearbox, Swing"/>
    <s v="Gearbox Parts (Clamshell Cranes)*Swing Gearbox (58)*Planetary Gearbox, Swing"/>
    <n v="1"/>
    <s v="600"/>
    <s v="Eskridge"/>
    <n v="1"/>
  </r>
  <r>
    <s v="0008"/>
    <x v="1"/>
    <n v="66200013818"/>
    <s v="Motors, Electric (&gt;100 HP)*Swing Motor (58)*Motor, Swing"/>
    <x v="14"/>
    <s v="Y"/>
    <n v="1"/>
    <s v="Motor, Swing"/>
    <s v="Motors, Electric (&gt;100 HP)*Swing Motor (58)*Motor, Swing"/>
    <n v="1"/>
    <s v="R30018ET3G449TD"/>
    <s v="WEG ELECTRIC"/>
    <n v="1"/>
  </r>
  <r>
    <s v="0008"/>
    <x v="1"/>
    <n v="66200013823"/>
    <s v="Gearbox Parts (Clamshell Cranes)*Tagline Gearbox (58)*Gearbox, Tagline Winch"/>
    <x v="22"/>
    <s v="Y"/>
    <n v="1"/>
    <s v="Gearbox, Tagline Winch"/>
    <s v="Gearbox Parts (Clamshell Cranes)*Tagline Gearbox (58)*Gearbox, Tagline Winch"/>
    <n v="1"/>
    <s v="2060Y2-LD"/>
    <s v="Falk"/>
    <n v="1"/>
  </r>
  <r>
    <s v="0008"/>
    <x v="1"/>
    <n v="66200013840"/>
    <s v="Motors, Electric (&gt;100 HP)*Boom Hoist Motor (58)*Motor, Boom Hoist Winch"/>
    <x v="14"/>
    <s v="Y"/>
    <n v="1"/>
    <s v="Motor, Boom Hoist Winch"/>
    <s v="Motors, Electric (&gt;100 HP)*Boom Hoist Motor (58)*Motor, Boom Hoist Winch"/>
    <n v="0"/>
    <s v="5GE75203A"/>
    <s v="General Electric"/>
    <n v="1"/>
  </r>
  <r>
    <s v="0008"/>
    <x v="1"/>
    <n v="66200013879"/>
    <s v="Motors, Electric (&gt;100 HP)*Motor, Spud Wicnch (58)*Motor, Spud Winch (300 HP)"/>
    <x v="14"/>
    <s v="Y"/>
    <n v="1"/>
    <s v="Motor, Spud Winch (300 HP)"/>
    <s v="Motors, Electric (&gt;100 HP)*Motor, Spud Wicnch (58)*Motor, Spud Winch (300 HP)"/>
    <n v="1"/>
    <m/>
    <m/>
    <n v="1"/>
  </r>
  <r>
    <s v="0008"/>
    <x v="1"/>
    <n v="66200013904"/>
    <s v="Winches*Deck Winch (58)*Gearbox, Deck Winch (58)*Gearbox, Deck Winch"/>
    <x v="34"/>
    <s v="Y"/>
    <n v="1"/>
    <s v="Gearbox, Deck Winch"/>
    <s v="Winches*Deck Winch (58)*Gearbox, Deck Winch (58)*Gearbox, Deck Winch"/>
    <n v="1"/>
    <s v="395A1-AS"/>
    <s v="Falk"/>
    <n v="1"/>
  </r>
  <r>
    <s v="0008"/>
    <x v="1"/>
    <n v="66200013905"/>
    <s v="Winches*Deck Winch (58)*Motor, Deck Winch (58)*Motor, Deck Winch (75 HP)"/>
    <x v="34"/>
    <s v="Y"/>
    <n v="1"/>
    <s v="Motor, Deck Winch (75 HP)"/>
    <s v="Winches*Deck Winch (58)*Motor, Deck Winch (58)*Motor, Deck Winch (75 HP)"/>
    <n v="1"/>
    <s v="P36G304D-G5-WF"/>
    <s v="RELIANCE"/>
    <n v="1"/>
  </r>
  <r>
    <s v="0008"/>
    <x v="1"/>
    <n v="66200014041"/>
    <s v="Swing Parts (Clamshell)*Swing Shaft (58)*Swing Tube Assembly (Complete)"/>
    <x v="28"/>
    <s v="Y"/>
    <n v="1"/>
    <s v="Swing Tube Assembly (Complete)"/>
    <s v="Swing Parts (Clamshell)*Swing Shaft (58)*Swing Tube Assembly (Complete)"/>
    <n v="0"/>
    <s v="138-45-35613"/>
    <s v="Gldd Dwg "/>
    <n v="1"/>
  </r>
  <r>
    <s v="0008"/>
    <x v="1"/>
    <n v="66200014388"/>
    <s v="Couplings*Coupling, Propulsin (Vulkan) (DM)*Coupling, Torsional (Vulkan)"/>
    <x v="36"/>
    <s v="Y"/>
    <n v="1"/>
    <s v="Coupling, Torsional (Vulkan)"/>
    <s v="Couplings*Coupling, Propulsin (Vulkan) (DM)*Coupling, Torsional (Vulkan)"/>
    <n v="1"/>
    <s v="1G3420R045"/>
    <s v="VULKAN"/>
    <n v="1"/>
  </r>
  <r>
    <s v="0008"/>
    <x v="1"/>
    <n v="66200014522"/>
    <s v="Electrical*Boom Assist Hoist Drive (NY)*Hoist Drive (New)*Dcm, Siemens"/>
    <x v="61"/>
    <s v="Y"/>
    <n v="1"/>
    <s v="Dcm, Siemens"/>
    <s v="Electrical*Boom Assist Hoist Drive (NY)*Hoist Drive (New)*Dcm, Siemens"/>
    <n v="1"/>
    <s v="6RA80954KV620AA0-Z G00+G20+L85"/>
    <s v="Siemens"/>
    <n v="1"/>
  </r>
  <r>
    <s v="0008"/>
    <x v="1"/>
    <n v="66200014570"/>
    <s v="Gearbox Parts (Dredge Pump)*Gearbox (Lufkin) (Car)*Gear, output"/>
    <x v="35"/>
    <s v="Y"/>
    <n v="1"/>
    <s v="Gear, output"/>
    <s v="Gearbox Parts (Dredge Pump)*Gearbox (Lufkin) (Car)*Gear, output"/>
    <n v="2"/>
    <s v="110-04-361"/>
    <s v="Gldd Dwg "/>
    <n v="1"/>
  </r>
  <r>
    <s v="0008"/>
    <x v="1"/>
    <n v="66200017854"/>
    <s v="Fleet Consumables*Safety Supplies**COVID-19 PPE*Thermometers*Thermometer, Mini 432 Non-Contact"/>
    <x v="55"/>
    <s v="Y"/>
    <n v="50"/>
    <s v="Thermometer, Mini 432 Non-Contact"/>
    <s v="Fleet Consumables*Safety Supplies**COVID-19 PPE*Thermometers*Thermometer, Mini 432 Non-Contact"/>
    <n v="36"/>
    <s v="432"/>
    <s v="Adtemp"/>
    <n v="1"/>
  </r>
  <r>
    <s v="0008"/>
    <x v="1"/>
    <n v="66200018593"/>
    <s v="Fleet Consumables*Safety Supplies**COVID-19 PPE*Masks*Mask-Respirator (N95)"/>
    <x v="55"/>
    <s v="Y"/>
    <n v="250"/>
    <s v="Mask-Respirator (N95)"/>
    <s v="Fleet Consumables*Safety Supplies**COVID-19 PPE*Masks*Mask-Respirator (N95)"/>
    <n v="319"/>
    <s v="N95"/>
    <s v="Grainger"/>
    <n v="1"/>
  </r>
  <r>
    <s v="0008"/>
    <x v="1"/>
    <n v="66200018594"/>
    <s v="Fleet Consumables*Safety Supplies**COVID-19 PPE*Masks*Mask (KN95)"/>
    <x v="55"/>
    <s v="Y"/>
    <n v="10000"/>
    <s v="Mask (KN95)"/>
    <s v="Fleet Consumables*Safety Supplies**COVID-19 PPE*Masks*Mask (KN95)"/>
    <n v="21522"/>
    <s v="KN95"/>
    <s v="Grainger"/>
    <n v="1"/>
  </r>
  <r>
    <s v="0008"/>
    <x v="1"/>
    <n v="66200018595"/>
    <s v="Fleet Consumables*Safety Supplies**COVID-19 PPE*Masks*Mask (Non-Surgical-Disposable)"/>
    <x v="55"/>
    <s v="Y"/>
    <n v="1000"/>
    <s v="Mask (Non-Surgical-Disposable)"/>
    <s v="Fleet Consumables*Safety Supplies**COVID-19 PPE*Masks*Mask (Non-Surgical-Disposable)"/>
    <n v="1200"/>
    <m/>
    <m/>
    <n v="1"/>
  </r>
  <r>
    <s v="0008"/>
    <x v="1"/>
    <n v="66200018596"/>
    <s v="Fleet Consumables*Safety Supplies**COVID-19 PPE*Masks*Mask (Silver-ION)"/>
    <x v="55"/>
    <s v="Y"/>
    <n v="350"/>
    <s v="Mask (Silver-ION)"/>
    <s v="Fleet Consumables*Safety Supplies**COVID-19 PPE*Masks*Mask (Silver-ION)"/>
    <n v="371"/>
    <m/>
    <m/>
    <n v="1"/>
  </r>
  <r>
    <s v="0008"/>
    <x v="1"/>
    <n v="66200018597"/>
    <s v="Fleet Consumables*Safety Supplies**COVID-19 PPE*Masks*Face Buff"/>
    <x v="55"/>
    <s v="Y"/>
    <n v="500"/>
    <s v="Face Buff"/>
    <s v="Fleet Consumables*Safety Supplies**COVID-19 PPE*Masks*Face Buff"/>
    <n v="1747"/>
    <m/>
    <m/>
    <n v="1"/>
  </r>
  <r>
    <s v="0008"/>
    <x v="1"/>
    <n v="66200018601"/>
    <s v="Fleet Consumables*Safety Supplies**COVID-19 PPE*Hand Sanitizers*Hand Sanitizer (1 Gallon Container)"/>
    <x v="55"/>
    <s v="Y"/>
    <n v="24"/>
    <s v="Hand Sanitizer (1 Gallon Container)"/>
    <s v="Fleet Consumables*Safety Supplies**COVID-19 PPE*Hand Sanitizers*Hand Sanitizer (1 Gallon Container)"/>
    <n v="165"/>
    <m/>
    <m/>
    <n v="1"/>
  </r>
  <r>
    <s v="0008"/>
    <x v="1"/>
    <n v="66200018602"/>
    <s v="Fleet Consumables*Safety Supplies**COVID-19 PPE*Hand Sanitizers*Hand Sanitizer (6 Oz Container)"/>
    <x v="55"/>
    <s v="Y"/>
    <n v="550"/>
    <s v="Hand Sanitizer (6 Oz Container)"/>
    <s v="Fleet Consumables*Safety Supplies**COVID-19 PPE*Hand Sanitizers*Hand Sanitizer (6 Oz Container)"/>
    <n v="644"/>
    <m/>
    <m/>
    <n v="1"/>
  </r>
  <r>
    <s v="0008"/>
    <x v="1"/>
    <n v="66200018603"/>
    <s v="Fleet Consumables*Safety Supplies**COVID-19 PPE*Hand Sanitizers*Hand Sanitizer (16.9 Oz Container)"/>
    <x v="55"/>
    <s v="Y"/>
    <n v="250"/>
    <s v="Hand Sanitizer (16.9 Oz Container)"/>
    <s v="Fleet Consumables*Safety Supplies**COVID-19 PPE*Hand Sanitizers*Hand Sanitizer (16.9 Oz Container)"/>
    <m/>
    <m/>
    <m/>
    <n v="1"/>
  </r>
  <r>
    <s v="0008"/>
    <x v="1"/>
    <n v="66200018604"/>
    <s v="Fleet Consumables*Safety Supplies**COVID-19 PPE*Disinfectants*Disinfectant (1 Gallon)"/>
    <x v="55"/>
    <s v="Y"/>
    <n v="840"/>
    <s v="Disinfectant (1 Gallon)"/>
    <s v="Fleet Consumables*Safety Supplies**COVID-19 PPE*Disinfectants*Disinfectant (1 Gallon)"/>
    <n v="761"/>
    <m/>
    <m/>
    <n v="1"/>
  </r>
  <r>
    <s v="0008"/>
    <x v="1"/>
    <n v="66200018886"/>
    <s v="Gearbox Parts (Ladder Pump)*Gearbox, Snorkel Pump (U2)*Output Shaft, LS (bull gear)"/>
    <x v="32"/>
    <s v="Y"/>
    <n v="1"/>
    <s v="Output Shaft, LS (bull gear)"/>
    <s v="Gearbox Parts (Ladder Pump)*Gearbox, Snorkel Pump (U2)*Output Shaft, LS (bull gear)"/>
    <n v="0"/>
    <m/>
    <m/>
    <n v="1"/>
  </r>
  <r>
    <s v="0008"/>
    <x v="1"/>
    <n v="66200018940"/>
    <s v="Swing Parts (Clamshell)*Swing Circle (58)*Swing Circle Dolly Wheel (# 1)"/>
    <x v="28"/>
    <s v="Y"/>
    <n v="10"/>
    <s v="Swing Circle Dolly Wheel (# 1)"/>
    <s v="Swing Parts (Clamshell)*Swing Circle (58)*Swing Circle Dolly Wheel (# 1)"/>
    <n v="10"/>
    <s v="138-45-31718  Item 1"/>
    <s v="Gldd Dwg "/>
    <n v="1"/>
  </r>
  <r>
    <s v="0008"/>
    <x v="1"/>
    <n v="66200018941"/>
    <s v="Swing Parts (Clamshell)*Swing Circle (58)*Swing Circle Dolly Wheel Bushing (# 2)"/>
    <x v="28"/>
    <s v="Y"/>
    <n v="20"/>
    <s v="Swing Circle Dolly Wheel Bushing (# 2)"/>
    <s v="Swing Parts (Clamshell)*Swing Circle (58)*Swing Circle Dolly Wheel Bushing (# 2)"/>
    <n v="0"/>
    <s v="138-45-31718  Item 2"/>
    <s v="Gldd Dwg "/>
    <n v="1"/>
  </r>
  <r>
    <s v="0008"/>
    <x v="1"/>
    <n v="66200018942"/>
    <s v="Swing Parts (Clamshell)*Swing Circle (58)*Swing Circle Dolly Wheel Pin (# 3)"/>
    <x v="28"/>
    <s v="Y"/>
    <n v="10"/>
    <s v="Swing Circle Dolly Wheel Pin (# 3)"/>
    <s v="Swing Parts (Clamshell)*Swing Circle (58)*Swing Circle Dolly Wheel Pin (# 3)"/>
    <n v="10"/>
    <s v="138-45-31718  Item 3"/>
    <s v="Gldd Dwg "/>
    <n v="1"/>
  </r>
  <r>
    <s v="0008"/>
    <x v="1"/>
    <n v="66200018943"/>
    <s v="Swing Parts (Clamshell)*Swing Circle (58)*Swing Circle Dolly Wheel Washer (# 4)"/>
    <x v="28"/>
    <s v="Y"/>
    <n v="10"/>
    <s v="Swing Circle Dolly Wheel Washer (# 4)"/>
    <s v="Swing Parts (Clamshell)*Swing Circle (58)*Swing Circle Dolly Wheel Washer (# 4)"/>
    <n v="10"/>
    <s v="138-45-31718  Item 4"/>
    <s v="Gldd Dwg "/>
    <n v="1"/>
  </r>
  <r>
    <s v="0008"/>
    <x v="1"/>
    <n v="66200018944"/>
    <s v="Swing Parts (Clamshell)*Swing Circle (58)*Swing Circle Dolly Wheel Washer (# 9)"/>
    <x v="28"/>
    <s v="Y"/>
    <n v="20"/>
    <s v="Swing Circle Dolly Wheel Washer (# 9)"/>
    <s v="Swing Parts (Clamshell)*Swing Circle (58)*Swing Circle Dolly Wheel Washer (# 9)"/>
    <n v="20"/>
    <s v="138-45-31718  Item 9"/>
    <s v="Gldd Dwg "/>
    <n v="1"/>
  </r>
  <r>
    <s v="0008"/>
    <x v="1"/>
    <n v="66200019075"/>
    <s v="Gearbox Parts (Dredge Pump)*Gearbox (Lufkin) (Car)*Shaft, low speed (output)"/>
    <x v="35"/>
    <s v="Y"/>
    <n v="1"/>
    <s v="Shaft, low speed (output)"/>
    <s v="Gearbox Parts (Dredge Pump)*Gearbox (Lufkin) (Car)*Shaft, low speed (output)"/>
    <n v="2"/>
    <s v="BM92347"/>
    <s v="LUFKIN"/>
    <n v="1"/>
  </r>
  <r>
    <s v="0008"/>
    <x v="1"/>
    <n v="66200019076"/>
    <s v="Gearbox Parts (Dredge Pump)*Gearbox (Lufkin) (Car)*Pinion Shaft"/>
    <x v="35"/>
    <s v="Y"/>
    <n v="1"/>
    <s v="Pinion Shaft"/>
    <s v="Gearbox Parts (Dredge Pump)*Gearbox (Lufkin) (Car)*Pinion Shaft"/>
    <n v="2"/>
    <s v="P603943-400"/>
    <s v="HORSBURG &amp; SCOTT"/>
    <n v="1"/>
  </r>
  <r>
    <s v="0008"/>
    <x v="1"/>
    <n v="66200019500"/>
    <s v="Scows*Hull*Hydraulic Cylinder*Hull Cylinder Anchor Bearing*Hull Cylinder Anchor Bearing"/>
    <x v="62"/>
    <s v="Y"/>
    <n v="8"/>
    <s v="Hull Cylinder Anchor Bearing"/>
    <s v="Scows*Hull*Hydraulic Cylinder*Hull Cylinder Anchor Bearing*Hull Cylinder Anchor Bearing"/>
    <n v="0"/>
    <m/>
    <m/>
    <n v="1"/>
  </r>
  <r>
    <s v="0008"/>
    <x v="1"/>
    <n v="66200020153"/>
    <s v="Engine Parts (Diesel)*Cummins (NT 855 C) Big Cam*Engine (Cummins NT 855 C Big Cam)"/>
    <x v="3"/>
    <s v="Y"/>
    <n v="1"/>
    <s v="Engine (Cummins NT 855 C Big Cam)"/>
    <s v="Engine Parts (Diesel)*Cummins (NT 855 C) Big Cam*Engine (Cummins NT 855 C Big Cam)"/>
    <n v="0"/>
    <m/>
    <m/>
    <n v="1"/>
  </r>
  <r>
    <s v="0008"/>
    <x v="1"/>
    <n v="66200020553"/>
    <s v="Radiators*Radiator (Dredge 58 IEA)*Radiator (EC052F)"/>
    <x v="60"/>
    <s v="Y"/>
    <n v="1"/>
    <s v="Radiator (EC052F)"/>
    <s v="Radiators*Radiator (Dredge 58 IEA)*Radiator (EC052F)"/>
    <n v="0"/>
    <s v="EC052S152"/>
    <s v="IEA"/>
    <n v="1"/>
  </r>
  <r>
    <s v="0008"/>
    <x v="1"/>
    <n v="66200020706"/>
    <s v="Hull*Hull Hinge (Scows)*Bearing, Hull Cylinder Anchor"/>
    <x v="53"/>
    <s v="Y"/>
    <n v="8"/>
    <s v="Bearing, Hull Cylinder Anchor"/>
    <s v="Hull*Hull Hinge (Scows)*Bearing, Hull Cylinder Anchor"/>
    <n v="0"/>
    <m/>
    <m/>
    <n v="1"/>
  </r>
  <r>
    <s v="0101"/>
    <x v="2"/>
    <n v="503"/>
    <s v="Pump, Dredge*Dredge Pump Gearbox*Shim &amp; Gasket Set"/>
    <x v="63"/>
    <s v="Y"/>
    <n v="1"/>
    <s v="Shim &amp; Gasket Set"/>
    <s v="Pump, Dredge*Dredge Pump Gearbox*Shim &amp; Gasket Set"/>
    <n v="0"/>
    <s v="709237"/>
    <s v="Falk"/>
    <n v="1"/>
  </r>
  <r>
    <s v="0101"/>
    <x v="2"/>
    <n v="504"/>
    <s v="Pump, Dredge*Dredge Pump Gearbox*Shim &amp; Gasket Set"/>
    <x v="63"/>
    <s v="Y"/>
    <n v="1"/>
    <s v="Shim &amp; Gasket Set"/>
    <s v="Pump, Dredge*Dredge Pump Gearbox*Shim &amp; Gasket Set"/>
    <n v="0"/>
    <s v="709321"/>
    <s v="Falk"/>
    <n v="1"/>
  </r>
  <r>
    <s v="0101"/>
    <x v="2"/>
    <n v="505"/>
    <s v="Pump, Dredge*Dredge Pump Gearbox*Shim &amp; Gasket Set"/>
    <x v="63"/>
    <s v="Y"/>
    <n v="1"/>
    <s v="Shim &amp; Gasket Set"/>
    <s v="Pump, Dredge*Dredge Pump Gearbox*Shim &amp; Gasket Set"/>
    <n v="0"/>
    <s v="581-432"/>
    <s v="Falk"/>
    <n v="1"/>
  </r>
  <r>
    <s v="0101"/>
    <x v="2"/>
    <n v="506"/>
    <s v="Pump, Dredge*Dredge Pump Gearbox*Shim &amp; Gasket Set"/>
    <x v="63"/>
    <s v="Y"/>
    <n v="1"/>
    <s v="Shim &amp; Gasket Set"/>
    <s v="Pump, Dredge*Dredge Pump Gearbox*Shim &amp; Gasket Set"/>
    <n v="0"/>
    <s v="709317"/>
    <s v="Falk"/>
    <n v="1"/>
  </r>
  <r>
    <s v="0101"/>
    <x v="2"/>
    <n v="507"/>
    <s v="Pump, Dredge*Dredge Pump Gearbox*Shim Gasket"/>
    <x v="63"/>
    <s v="Y"/>
    <n v="1"/>
    <s v="Shim Gasket"/>
    <s v="Pump, Dredge*Dredge Pump Gearbox*Shim Gasket"/>
    <n v="0"/>
    <s v="745514"/>
    <s v="Falk"/>
    <n v="1"/>
  </r>
  <r>
    <s v="0101"/>
    <x v="2"/>
    <n v="532"/>
    <s v="Pump, Ladder*Ladder Pump (Universal)*Liner, Engine Side"/>
    <x v="64"/>
    <s v="Y"/>
    <n v="1"/>
    <s v="Liner, Engine Side"/>
    <s v="Pump, Ladder*Ladder Pump (Universal)*Liner, Engine Side"/>
    <n v="0"/>
    <s v="A-3605"/>
    <s v="SPI/MPMW"/>
    <n v="1"/>
  </r>
  <r>
    <s v="0101"/>
    <x v="2"/>
    <n v="753"/>
    <s v="Swing*Swing Winch*Brake Assembly*Cylinder, Air Brake*Clevis, Rod End"/>
    <x v="65"/>
    <s v="Y"/>
    <n v="1"/>
    <s v="Clevis, Rod End"/>
    <s v="Swing*Swing Winch*Brake Assembly*Cylinder, Air Brake*Clevis, Rod End"/>
    <n v="1"/>
    <s v="A-3801"/>
    <s v="MPMW Dwg "/>
    <n v="1"/>
  </r>
  <r>
    <s v="0101"/>
    <x v="2"/>
    <n v="9856"/>
    <s v="Cutter Machinery*Cutter Motor (#1) (Port)*Cutter Motor (Westinghouse)*Brush Holder"/>
    <x v="66"/>
    <s v="Y"/>
    <n v="12"/>
    <s v="Brush Holder"/>
    <s v="Cutter Machinery*Cutter Motor (#1) (Port)*Cutter Motor (Westinghouse)*Brush Holder"/>
    <n v="0"/>
    <m/>
    <m/>
    <n v="2"/>
  </r>
  <r>
    <s v="0101"/>
    <x v="2"/>
    <n v="15454"/>
    <s v="Gland Seal*Gland Seal Pump Set (#1) (New)*Gland Seal Pump Set (#1), Complete*Back Pullout Unit, 3196 LTX"/>
    <x v="67"/>
    <s v="Y"/>
    <n v="1"/>
    <s v="Back Pullout Unit, 3196 LTX"/>
    <s v="Gland Seal*Gland Seal Pump Set (#1) (New)*Gland Seal Pump Set (#1), Complete*Back Pullout Unit, 3196 LTX"/>
    <m/>
    <s v="769F266BKPO"/>
    <s v="Goulds"/>
    <n v="2"/>
  </r>
  <r>
    <s v="0101"/>
    <x v="2"/>
    <n v="18297"/>
    <s v="Swing*Swing Winch*Reduction Gear*Shaft, High Speed*Gasket"/>
    <x v="65"/>
    <s v="Y"/>
    <n v="2"/>
    <s v="Gasket"/>
    <s v="Swing*Swing Winch*Reduction Gear*Shaft, High Speed*Gasket"/>
    <n v="0"/>
    <s v="1100975"/>
    <s v="Falk"/>
    <n v="1"/>
  </r>
  <r>
    <s v="0101"/>
    <x v="2"/>
    <n v="18410"/>
    <s v="Swing*Swing Winch*Reduction Gear*Shaft, Low Speed*Shim &amp; Gasket Kit"/>
    <x v="65"/>
    <s v="Y"/>
    <n v="2"/>
    <s v="Shim &amp; Gasket Kit"/>
    <s v="Swing*Swing Winch*Reduction Gear*Shaft, Low Speed*Shim &amp; Gasket Kit"/>
    <n v="0"/>
    <s v="745514"/>
    <s v="Falk"/>
    <n v="1"/>
  </r>
  <r>
    <s v="0101"/>
    <x v="2"/>
    <n v="23295"/>
    <s v="Pump, Dredge*Shafting*Thrust Bearing (LG-25)*Shoe, Thrust (AK,IL)"/>
    <x v="63"/>
    <s v="Y"/>
    <n v="8"/>
    <s v="Shoe, Thrust (AK,IL)"/>
    <s v="Pump, Dredge*Shafting*Thrust Bearing (LG-25)*Shoe, Thrust (AK,IL)"/>
    <n v="11"/>
    <m/>
    <m/>
    <n v="1"/>
  </r>
  <r>
    <s v="0101"/>
    <x v="2"/>
    <n v="30509"/>
    <s v="Electrical*Automation*PLC (Allen Bradley)*SLC 1746 - P3 - PS"/>
    <x v="61"/>
    <s v="Y"/>
    <n v="1"/>
    <s v="SLC 1746 - P3 - PS"/>
    <s v="Electrical*Automation*PLC (Allen Bradley)*SLC 1746 - P3 - PS"/>
    <n v="1"/>
    <s v="1746-P3"/>
    <s v="ENGLEWOOD ELECTRICAL SUPPLY"/>
    <n v="1"/>
  </r>
  <r>
    <s v="0101"/>
    <x v="2"/>
    <n v="30512"/>
    <s v="Electrical*Automation*PLC (Allen Bradley)*SLC 1746 - OB16, 16 Pnt Dgtl Output Mod"/>
    <x v="61"/>
    <s v="Y"/>
    <n v="1"/>
    <s v="SLC 1746 - OB16, 16 Pnt Dgtl Output Mod"/>
    <s v="Electrical*Automation*PLC (Allen Bradley)*SLC 1746 - OB16, 16 Pnt Dgtl Output Mod"/>
    <n v="0"/>
    <s v="1746-OB16"/>
    <s v="Allen-Bradley"/>
    <n v="1"/>
  </r>
  <r>
    <s v="0101"/>
    <x v="2"/>
    <n v="30513"/>
    <s v="Electrical*Automation*PLC (Allen Bradley)*SLC 1746 - NI8, 8 Point Analog Input Mod"/>
    <x v="61"/>
    <s v="Y"/>
    <n v="4"/>
    <s v="SLC 1746 - NI8, 8 Point Analog Input Mod"/>
    <s v="Electrical*Automation*PLC (Allen Bradley)*SLC 1746 - NI8, 8 Point Analog Input Mod"/>
    <n v="3"/>
    <s v="1746-NI8"/>
    <s v="Allen-Bradley"/>
    <n v="1"/>
  </r>
  <r>
    <s v="0101"/>
    <x v="2"/>
    <n v="30794"/>
    <s v="Electrical*Automation*PLC (Allen Bradley)*SLC 1746 - OX8 Isolated Relay Output"/>
    <x v="61"/>
    <s v="Y"/>
    <n v="1"/>
    <s v="SLC 1746 - OX8 Isolated Relay Output"/>
    <s v="Electrical*Automation*PLC (Allen Bradley)*SLC 1746 - OX8 Isolated Relay Output"/>
    <n v="1"/>
    <s v="1746-OX8"/>
    <s v="Allen-Bradley"/>
    <n v="1"/>
  </r>
  <r>
    <s v="0101"/>
    <x v="2"/>
    <n v="38429"/>
    <s v="Pump, Ladder*Ladder Pump (Universal)*Impeller, 58&quot; 3-Vane"/>
    <x v="64"/>
    <s v="Y"/>
    <n v="1"/>
    <s v="Impeller, 58&quot; 3-Vane"/>
    <s v="Pump, Ladder*Ladder Pump (Universal)*Impeller, 58&quot; 3-Vane"/>
    <n v="0"/>
    <s v="5A-3611"/>
    <s v="SPI/MPMW"/>
    <n v="1"/>
  </r>
  <r>
    <s v="0101"/>
    <x v="2"/>
    <n v="39356"/>
    <s v="Ladder System*Drive, SCR (Ladder Hoist)*Board, Microprocessor"/>
    <x v="68"/>
    <s v="Y"/>
    <n v="1"/>
    <s v="Board, Microprocessor"/>
    <s v="Ladder System*Drive, SCR (Ladder Hoist)*Board, Microprocessor"/>
    <n v="2"/>
    <s v="B21483-5"/>
    <s v="AVTRON"/>
    <n v="2"/>
  </r>
  <r>
    <s v="0101"/>
    <x v="2"/>
    <n v="39358"/>
    <s v="Ladder System*Drive, SCR (Ladder Hoist)*Board, Bridge Interface"/>
    <x v="68"/>
    <s v="Y"/>
    <n v="1"/>
    <s v="Board, Bridge Interface"/>
    <s v="Ladder System*Drive, SCR (Ladder Hoist)*Board, Bridge Interface"/>
    <n v="1"/>
    <s v="A18123-1"/>
    <s v="AVTRON"/>
    <n v="2"/>
  </r>
  <r>
    <s v="0101"/>
    <x v="2"/>
    <n v="39739"/>
    <s v="Ladder System*Drive, SCR (Ladder Hoist)*Micrologixs Controller"/>
    <x v="68"/>
    <s v="Y"/>
    <n v="1"/>
    <s v="Micrologixs Controller"/>
    <s v="Ladder System*Drive, SCR (Ladder Hoist)*Micrologixs Controller"/>
    <n v="2"/>
    <s v="1764-24AWA"/>
    <s v="ALLEN-BRADLEY"/>
    <n v="2"/>
  </r>
  <r>
    <s v="0101"/>
    <x v="2"/>
    <n v="55779"/>
    <s v="Potable Water*Desalinator*Fresh Water Distillate Pump"/>
    <x v="69"/>
    <s v="Y"/>
    <n v="1"/>
    <s v="Fresh Water Distillate Pump"/>
    <s v="Potable Water*Desalinator*Fresh Water Distillate Pump"/>
    <n v="1"/>
    <s v="78634-08"/>
    <s v="MAXIM"/>
    <n v="1"/>
  </r>
  <r>
    <s v="0101"/>
    <x v="2"/>
    <n v="55831"/>
    <s v="Pump, Ladder*Ladder Pump (Universal)*Washer, Impeller, Soft Copper"/>
    <x v="64"/>
    <s v="Y"/>
    <n v="2"/>
    <s v="Washer, Impeller, Soft Copper"/>
    <s v="Pump, Ladder*Ladder Pump (Universal)*Washer, Impeller, Soft Copper"/>
    <n v="5"/>
    <s v="B-5526"/>
    <s v="SPI/MPMW"/>
    <n v="1"/>
  </r>
  <r>
    <s v="0101"/>
    <x v="2"/>
    <n v="800000060"/>
    <s v="Cutter Machinery*Tailshaft*Cutless Bearing*Stave Set, Cutless Bearing"/>
    <x v="66"/>
    <s v="Y"/>
    <n v="1"/>
    <s v="Stave Set, Cutless Bearing"/>
    <s v="Cutter Machinery*Tailshaft*Cutless Bearing*Stave Set, Cutless Bearing"/>
    <n v="1"/>
    <s v="806793062"/>
    <s v="DURAMAX MARINE"/>
    <n v="1"/>
  </r>
  <r>
    <s v="0101"/>
    <x v="2"/>
    <n v="6900000052"/>
    <s v="Cutter Machinery*Tailshaft*Cutless Bearing*Hose, Cutlass Water Supply"/>
    <x v="66"/>
    <s v="Y"/>
    <n v="1"/>
    <s v="Hose, Cutlass Water Supply"/>
    <s v="Cutter Machinery*Tailshaft*Cutless Bearing*Hose, Cutlass Water Supply"/>
    <n v="2"/>
    <m/>
    <m/>
    <n v="1"/>
  </r>
  <r>
    <s v="0101"/>
    <x v="2"/>
    <n v="6900000053"/>
    <s v="Cutter Machinery*Tailshaft*Cutless Bearing*Waterbox, Cutless Bearing"/>
    <x v="66"/>
    <s v="Y"/>
    <n v="1"/>
    <s v="Waterbox, Cutless Bearing"/>
    <s v="Cutter Machinery*Tailshaft*Cutless Bearing*Waterbox, Cutless Bearing"/>
    <n v="1"/>
    <s v="107-02-0120 (REV 4)"/>
    <s v="GLDD DWG"/>
    <n v="1"/>
  </r>
  <r>
    <s v="0101"/>
    <x v="2"/>
    <n v="6900000220"/>
    <s v="Pump, Dredge*Dredge Pump*Washer, Copper, Impeller"/>
    <x v="63"/>
    <s v="Y"/>
    <n v="2"/>
    <s v="Washer, Copper, Impeller"/>
    <s v="Pump, Dredge*Dredge Pump*Washer, Copper, Impeller"/>
    <n v="4"/>
    <s v="B-5176"/>
    <s v="SPI/MPMW"/>
    <n v="1"/>
  </r>
  <r>
    <s v="0101"/>
    <x v="2"/>
    <n v="7500000206"/>
    <s v="Crane/Hoists*Anchor Windlass*Anchor Windlass*Hydraulic Motor,"/>
    <x v="70"/>
    <s v="Y"/>
    <n v="1"/>
    <s v="Hydraulic Motor,"/>
    <s v="Crane/Hoists*Anchor Windlass*Anchor Windlass*Hydraulic Motor,"/>
    <n v="0"/>
    <s v="015.61.006.31."/>
    <s v="RINEER"/>
    <n v="1"/>
  </r>
  <r>
    <s v="0101"/>
    <x v="2"/>
    <n v="7500003794"/>
    <s v="Raw Water*General Service Pump (#2)*Pump, Complete Assembly*Motor, 100 HP (Motor Only)"/>
    <x v="71"/>
    <s v="Y"/>
    <n v="1"/>
    <s v="Motor, 100 HP (Motor Only)"/>
    <s v="Raw Water*General Service Pump (#2)*Pump, Complete Assembly*Motor, 100 HP (Motor Only)"/>
    <n v="1"/>
    <s v="5K405BS115A"/>
    <s v="General Electric"/>
    <n v="3"/>
  </r>
  <r>
    <s v="0101"/>
    <x v="2"/>
    <n v="13200003399"/>
    <s v="Ladder System*Ladder*Ladder Head Section*Rope Guard"/>
    <x v="68"/>
    <s v="Y"/>
    <n v="1"/>
    <s v="Rope Guard"/>
    <s v="Ladder System*Ladder*Ladder Head Section*Rope Guard"/>
    <n v="0"/>
    <s v="107-02-10294 R3"/>
    <s v="GLDD DWG"/>
    <n v="1"/>
  </r>
  <r>
    <s v="0101"/>
    <x v="2"/>
    <n v="13500002164"/>
    <s v="Pump, Dredge*Dredge Pump Gearbox*Clutch (Port) (35CM500)*Air Shaft, Clutch*Air Seal (Rotary)"/>
    <x v="63"/>
    <s v="Y"/>
    <n v="6"/>
    <s v="Air Seal (Rotary)"/>
    <s v="Pump, Dredge*Dredge Pump Gearbox*Clutch (Port) (35CM500)*Air Shaft, Clutch*Air Seal (Rotary)"/>
    <n v="2"/>
    <s v="302"/>
    <s v="EMD MANUAL"/>
    <n v="2"/>
  </r>
  <r>
    <s v="0101"/>
    <x v="2"/>
    <n v="14200000352"/>
    <s v="Swing*Swing Winch*Clutch Assembly-Swing Drums*Clutch Band, Split*Clutch Arm-Port Swing (118)"/>
    <x v="65"/>
    <s v="Y"/>
    <n v="1"/>
    <s v="Clutch Arm-Port Swing (118)"/>
    <s v="Swing*Swing Winch*Clutch Assembly-Swing Drums*Clutch Band, Split*Clutch Arm-Port Swing (118)"/>
    <n v="2"/>
    <s v="C-123"/>
    <s v="MP/MW DWG "/>
    <n v="1"/>
  </r>
  <r>
    <s v="0101"/>
    <x v="2"/>
    <n v="14200000354"/>
    <s v="Swing*Swing Winch*Clutch Assembly-Swing Drums*Clutch Band, Split*Eye Bolt (113)"/>
    <x v="65"/>
    <s v="Y"/>
    <n v="2"/>
    <s v="Eye Bolt (113)"/>
    <s v="Swing*Swing Winch*Clutch Assembly-Swing Drums*Clutch Band, Split*Eye Bolt (113)"/>
    <n v="2"/>
    <s v="B-420-1"/>
    <s v="MP/MW DWG "/>
    <n v="1"/>
  </r>
  <r>
    <s v="0101"/>
    <x v="2"/>
    <n v="14200000361"/>
    <s v="Swing*Swing Winch*Clutch Assembly-Swing Drums*Clutch Band, Split*Eye Bolt (113)*Pin, Eye Bolt"/>
    <x v="65"/>
    <s v="Y"/>
    <n v="1"/>
    <s v="Pin, Eye Bolt"/>
    <s v="Swing*Swing Winch*Clutch Assembly-Swing Drums*Clutch Band, Split*Eye Bolt (113)*Pin, Eye Bolt"/>
    <n v="1"/>
    <s v="B-2979"/>
    <s v="MP/MW DWG "/>
    <n v="1"/>
  </r>
  <r>
    <s v="0101"/>
    <x v="2"/>
    <n v="14200000362"/>
    <s v="Swing*Swing Winch*Clutch Assembly-Swing Drums*Clutch Band, Split"/>
    <x v="65"/>
    <s v="Y"/>
    <n v="1"/>
    <s v="Clutch Band, Split"/>
    <s v="Swing*Swing Winch*Clutch Assembly-Swing Drums*Clutch Band, Split"/>
    <n v="2"/>
    <s v="AA-1304"/>
    <s v="MP/MW DWG "/>
    <n v="1"/>
  </r>
  <r>
    <s v="0101"/>
    <x v="2"/>
    <n v="14400000029"/>
    <s v="Potable Water*Desalinator*Gasket"/>
    <x v="69"/>
    <s v="Y"/>
    <n v="2"/>
    <s v="Gasket"/>
    <s v="Potable Water*Desalinator*Gasket"/>
    <n v="6"/>
    <s v="95153-38"/>
    <s v="MAXIM"/>
    <n v="1"/>
  </r>
  <r>
    <s v="0101"/>
    <x v="2"/>
    <n v="18000000045"/>
    <s v="Pump, Dredge*Dredge Pump Gearbox*Clutch (Port) (35CM500)*Clutch, 35CM500"/>
    <x v="63"/>
    <s v="Y"/>
    <n v="2"/>
    <s v="Clutch, 35CM500"/>
    <s v="Pump, Dredge*Dredge Pump Gearbox*Clutch (Port) (35CM500)*Clutch, 35CM500"/>
    <n v="2"/>
    <s v="35CM500"/>
    <s v="Eaton"/>
    <n v="2"/>
  </r>
  <r>
    <s v="0101"/>
    <x v="2"/>
    <n v="27900000755"/>
    <s v="Cutter Machinery*Tailshaft*Tailshaft, Finish Machined (W/ Coupling)*Bolt, Tailshaft Coupling"/>
    <x v="66"/>
    <s v="Y"/>
    <n v="40"/>
    <s v="Bolt, Tailshaft Coupling"/>
    <s v="Cutter Machinery*Tailshaft*Tailshaft, Finish Machined (W/ Coupling)*Bolt, Tailshaft Coupling"/>
    <n v="40"/>
    <s v="B-4937"/>
    <s v="MPMW Dwg "/>
    <n v="1"/>
  </r>
  <r>
    <s v="0101"/>
    <x v="2"/>
    <n v="35400000146"/>
    <s v="Swing*Swing Winch*Brake Assembly*Brake Shoe, Fwd*Clevis, Turnbuckle (233)"/>
    <x v="65"/>
    <s v="Y"/>
    <n v="1"/>
    <s v="Clevis, Turnbuckle (233)"/>
    <s v="Swing*Swing Winch*Brake Assembly*Brake Shoe, Fwd*Clevis, Turnbuckle (233)"/>
    <n v="1"/>
    <s v="B-3483"/>
    <s v="MP/MW DWG "/>
    <n v="1"/>
  </r>
  <r>
    <s v="0101"/>
    <x v="2"/>
    <n v="35400000147"/>
    <s v="Swing*Swing Winch*Brake Assembly*Brake Shoe, Fwd*Bolt, Turnbuckle (235)"/>
    <x v="65"/>
    <s v="Y"/>
    <n v="1"/>
    <s v="Bolt, Turnbuckle (235)"/>
    <s v="Swing*Swing Winch*Brake Assembly*Brake Shoe, Fwd*Bolt, Turnbuckle (235)"/>
    <n v="1"/>
    <s v="B-3485"/>
    <s v="MP/MW DWG "/>
    <n v="1"/>
  </r>
  <r>
    <s v="0101"/>
    <x v="2"/>
    <n v="35400001097"/>
    <s v="Swing*Swing Winch*Clutch Assembly-Swing Drums*Clutch Band, Split*Cylinder, Air (131)"/>
    <x v="65"/>
    <s v="Y"/>
    <n v="2"/>
    <s v="Cylinder, Air (131)"/>
    <s v="Swing*Swing Winch*Clutch Assembly-Swing Drums*Clutch Band, Split*Cylinder, Air (131)"/>
    <n v="2"/>
    <s v="A-3801"/>
    <s v="MPMW Dwg "/>
    <n v="1"/>
  </r>
  <r>
    <s v="0101"/>
    <x v="2"/>
    <n v="45000001014"/>
    <s v="Electrical*Automation*PLC (Allen Bradley)*Data Converter"/>
    <x v="61"/>
    <s v="Y"/>
    <n v="1"/>
    <s v="Data Converter"/>
    <s v="Electrical*Automation*PLC (Allen Bradley)*Data Converter"/>
    <n v="0"/>
    <s v="DL3000-KFX"/>
    <s v="DATALINK TECHNOLOGIES GROUP"/>
    <n v="1"/>
  </r>
  <r>
    <s v="0101"/>
    <x v="2"/>
    <n v="45000008163"/>
    <s v="Swing*Swing Winch*Clutch Assembly-Swing Drums*Clutch Band, Split*Bushing, Clutch Arm (123)"/>
    <x v="65"/>
    <s v="Y"/>
    <n v="1"/>
    <s v="Bushing, Clutch Arm (123)"/>
    <s v="Swing*Swing Winch*Clutch Assembly-Swing Drums*Clutch Band, Split*Bushing, Clutch Arm (123)"/>
    <n v="2"/>
    <s v="B-417-1"/>
    <s v="MP/MW DWG "/>
    <n v="1"/>
  </r>
  <r>
    <s v="0101"/>
    <x v="2"/>
    <n v="45000008165"/>
    <s v="Swing*Swing Winch*Clutch Assembly-Swing Drums*Clutch Band, Split*Bushing, Clutch Arm (124)"/>
    <x v="65"/>
    <s v="Y"/>
    <n v="1"/>
    <s v="Bushing, Clutch Arm (124)"/>
    <s v="Swing*Swing Winch*Clutch Assembly-Swing Drums*Clutch Band, Split*Bushing, Clutch Arm (124)"/>
    <n v="2"/>
    <s v="B-417-2"/>
    <s v="MP/MW DWG "/>
    <n v="1"/>
  </r>
  <r>
    <s v="0101"/>
    <x v="2"/>
    <n v="45000011934"/>
    <s v="Electrical*Automation*PLC (Allen Bradley)*Communications Module, Modbus"/>
    <x v="61"/>
    <s v="Y"/>
    <n v="1"/>
    <s v="Communications Module, Modbus"/>
    <s v="Electrical*Automation*PLC (Allen Bradley)*Communications Module, Modbus"/>
    <n v="0"/>
    <s v="MV156E-MCM"/>
    <s v="ProSoft"/>
    <n v="1"/>
  </r>
  <r>
    <s v="0101"/>
    <x v="2"/>
    <n v="45000012966"/>
    <s v="Electrical*Automation*PLC (Allen Bradley)*SLC 1746 - P7 - PS"/>
    <x v="61"/>
    <s v="Y"/>
    <n v="1"/>
    <s v="SLC 1746 - P7 - PS"/>
    <s v="Electrical*Automation*PLC (Allen Bradley)*SLC 1746 - P7 - PS"/>
    <n v="1"/>
    <s v="1746-P7"/>
    <s v="ALLEN-BRADLEY"/>
    <n v="1"/>
  </r>
  <r>
    <s v="0101"/>
    <x v="2"/>
    <n v="45000019787"/>
    <s v="MG Set (Cutter/Swing)*Drive Cabinet (Cutter/Swing)*Power Supply, SLC 1746-P7"/>
    <x v="72"/>
    <s v="Y"/>
    <n v="1"/>
    <s v="Power Supply, SLC 1746-P7"/>
    <s v="MG Set (Cutter/Swing)*Drive Cabinet (Cutter/Swing)*Power Supply, SLC 1746-P7"/>
    <n v="1"/>
    <s v="1746-P7"/>
    <s v="ENGLEWOOD ELECTRICAL SUPPLY"/>
    <n v="1"/>
  </r>
  <r>
    <s v="0101"/>
    <x v="2"/>
    <n v="45000019788"/>
    <s v="MG Set (Cutter/Swing)*Drive Cabinet (Cutter/Swing)*Module, Analog, Input, SLC 1746-NI8"/>
    <x v="72"/>
    <s v="Y"/>
    <n v="1"/>
    <s v="Module, Analog, Input, SLC 1746-NI8"/>
    <s v="MG Set (Cutter/Swing)*Drive Cabinet (Cutter/Swing)*Module, Analog, Input, SLC 1746-NI8"/>
    <n v="3"/>
    <s v="1746-NI8"/>
    <s v="ENGLEWOOD ELECTRICAL SUPPLY"/>
    <n v="1"/>
  </r>
  <r>
    <s v="0101"/>
    <x v="2"/>
    <n v="45000019789"/>
    <s v="MG Set (Cutter/Swing)*Drive Cabinet (Cutter/Swing)*Module, Digital, Output, SLC 1746-OB16"/>
    <x v="72"/>
    <s v="Y"/>
    <n v="1"/>
    <s v="Module, Digital, Output, SLC 1746-OB16"/>
    <s v="MG Set (Cutter/Swing)*Drive Cabinet (Cutter/Swing)*Module, Digital, Output, SLC 1746-OB16"/>
    <n v="1"/>
    <s v="1746-OB16"/>
    <s v="ENGLEWOOD ELECTRICAL SUPPLY"/>
    <n v="1"/>
  </r>
  <r>
    <s v="0101"/>
    <x v="2"/>
    <n v="45000019790"/>
    <s v="MG Set (Cutter/Swing)*Drive Cabinet (Cutter/Swing)*SLC 1746-IA16 120 Vac Output Mod"/>
    <x v="72"/>
    <s v="Y"/>
    <n v="1"/>
    <s v="SLC 1746-IA16 120 Vac Output Mod"/>
    <s v="MG Set (Cutter/Swing)*Drive Cabinet (Cutter/Swing)*SLC 1746-IA16 120 Vac Output Mod"/>
    <n v="2"/>
    <s v="1746-IA16"/>
    <s v="ENGLEWOOD ELECTRICAL SUPPLY"/>
    <n v="1"/>
  </r>
  <r>
    <s v="0101"/>
    <x v="2"/>
    <n v="45000019791"/>
    <s v="MG Set (Cutter/Swing)*Drive Cabinet (Cutter/Swing)*Module, Analog, Output SLC 1746-NO4V"/>
    <x v="72"/>
    <s v="Y"/>
    <n v="1"/>
    <s v="Module, Analog, Output SLC 1746-NO4V"/>
    <s v="MG Set (Cutter/Swing)*Drive Cabinet (Cutter/Swing)*Module, Analog, Output SLC 1746-NO4V"/>
    <n v="4"/>
    <s v="1746-NO4V"/>
    <s v="ENGLEWOOD ELECTRICAL SUPPLY"/>
    <n v="1"/>
  </r>
  <r>
    <s v="0101"/>
    <x v="2"/>
    <n v="45000019792"/>
    <s v="MG Set (Cutter/Swing)*Drive Cabinet (Cutter/Swing)*Relay, 24 VDC, 4P"/>
    <x v="72"/>
    <s v="Y"/>
    <n v="2"/>
    <s v="Relay, 24 VDC, 4P"/>
    <s v="MG Set (Cutter/Swing)*Drive Cabinet (Cutter/Swing)*Relay, 24 VDC, 4P"/>
    <n v="0"/>
    <s v="700DC-P200Z24"/>
    <s v="ENGLEWOOD ELECTRICAL SUPPLY"/>
    <n v="1"/>
  </r>
  <r>
    <s v="0101"/>
    <x v="2"/>
    <n v="45000019793"/>
    <s v="MG Set (Cutter/Swing)*Drive Cabinet (Cutter/Swing)*Relay, 24 VDC, 4P"/>
    <x v="72"/>
    <s v="Y"/>
    <n v="2"/>
    <s v="Relay, 24 VDC, 4P"/>
    <s v="MG Set (Cutter/Swing)*Drive Cabinet (Cutter/Swing)*Relay, 24 VDC, 4P"/>
    <n v="0"/>
    <s v="700DC-PH200Z24"/>
    <s v="ENGLEWOOD ELECTRICAL SUPPLY"/>
    <n v="1"/>
  </r>
  <r>
    <s v="0101"/>
    <x v="2"/>
    <n v="45000019794"/>
    <s v="MG Set (Cutter/Swing)*Drive Cabinet (Cutter/Swing)*Relay, 120 VAC, 700-P200A1"/>
    <x v="72"/>
    <s v="Y"/>
    <n v="1"/>
    <s v="Relay, 120 VAC, 700-P200A1"/>
    <s v="MG Set (Cutter/Swing)*Drive Cabinet (Cutter/Swing)*Relay, 120 VAC, 700-P200A1"/>
    <n v="0"/>
    <s v="700P200A1"/>
    <s v="ENGLEWOOD ELECTRICAL SUPPLY"/>
    <n v="1"/>
  </r>
  <r>
    <s v="0101"/>
    <x v="2"/>
    <n v="45000019795"/>
    <s v="MG Set (Cutter/Swing)*Drive Cabinet (Cutter/Swing)*Breaker, 3 Amp, 1 Pole"/>
    <x v="72"/>
    <s v="Y"/>
    <n v="1"/>
    <s v="Breaker, 3 Amp, 1 Pole"/>
    <s v="MG Set (Cutter/Swing)*Drive Cabinet (Cutter/Swing)*Breaker, 3 Amp, 1 Pole"/>
    <n v="0"/>
    <s v="1489-A1C030"/>
    <s v="ENGLEWOOD ELECTRICAL SUPPLY"/>
    <n v="1"/>
  </r>
  <r>
    <s v="0101"/>
    <x v="2"/>
    <n v="45000019796"/>
    <s v="MG Set (Cutter/Swing)*Drive Cabinet (Cutter/Swing)*Breaker, 2 Amp, 1 Pole"/>
    <x v="72"/>
    <s v="Y"/>
    <n v="1"/>
    <s v="Breaker, 2 Amp, 1 Pole"/>
    <s v="MG Set (Cutter/Swing)*Drive Cabinet (Cutter/Swing)*Breaker, 2 Amp, 1 Pole"/>
    <n v="0"/>
    <s v="1489-A1C020"/>
    <s v="ENGLEWOOD ELECTRICAL SUPPLY"/>
    <n v="1"/>
  </r>
  <r>
    <s v="0101"/>
    <x v="2"/>
    <n v="45000019797"/>
    <s v="MG Set (Cutter/Swing)*Drive Cabinet (Cutter/Swing)*Breaker, 15 Amp, 1 Pole"/>
    <x v="72"/>
    <s v="Y"/>
    <n v="1"/>
    <s v="Breaker, 15 Amp, 1 Pole"/>
    <s v="MG Set (Cutter/Swing)*Drive Cabinet (Cutter/Swing)*Breaker, 15 Amp, 1 Pole"/>
    <n v="0"/>
    <s v="1489-A1D150"/>
    <s v="ENGLEWOOD ELECTRICAL SUPPLY"/>
    <n v="1"/>
  </r>
  <r>
    <s v="0101"/>
    <x v="2"/>
    <n v="45000019798"/>
    <s v="MG Set (Cutter/Swing)*Drive Cabinet (Cutter/Swing)*10A Breaker, 1-Pole"/>
    <x v="72"/>
    <s v="Y"/>
    <n v="1"/>
    <s v="10A Breaker, 1-Pole"/>
    <s v="MG Set (Cutter/Swing)*Drive Cabinet (Cutter/Swing)*10A Breaker, 1-Pole"/>
    <n v="0"/>
    <s v="1489-A1C100"/>
    <s v="ENGLEWOOD ELECTRICAL SUPPLY"/>
    <n v="1"/>
  </r>
  <r>
    <s v="0101"/>
    <x v="2"/>
    <n v="45000019799"/>
    <s v="MG Set (Cutter/Swing)*Drive Cabinet (Cutter/Swing)*Breaker, 5 Amp, 1 Pole"/>
    <x v="72"/>
    <s v="Y"/>
    <n v="1"/>
    <s v="Breaker, 5 Amp, 1 Pole"/>
    <s v="MG Set (Cutter/Swing)*Drive Cabinet (Cutter/Swing)*Breaker, 5 Amp, 1 Pole"/>
    <n v="0"/>
    <s v="1489-A1C050"/>
    <s v="ENGLEWOOD ELECTRICAL SUPPLY"/>
    <n v="1"/>
  </r>
  <r>
    <s v="0101"/>
    <x v="2"/>
    <n v="45000019800"/>
    <s v="MG Set (Cutter/Swing)*Drive Cabinet (Cutter/Swing)*Relay, 24VDC 4PDT"/>
    <x v="72"/>
    <s v="Y"/>
    <n v="1"/>
    <s v="Relay, 24VDC 4PDT"/>
    <s v="MG Set (Cutter/Swing)*Drive Cabinet (Cutter/Swing)*Relay, 24VDC 4PDT"/>
    <n v="0"/>
    <s v="700HC24Z24-4"/>
    <s v="ENGLEWOOD ELECTRICAL SUPPLY"/>
    <n v="1"/>
  </r>
  <r>
    <s v="0101"/>
    <x v="2"/>
    <n v="45000019801"/>
    <s v="MG Set (Cutter/Swing)*Drive Cabinet (Cutter/Swing)*Relay, 24 VDC, 4 PDT"/>
    <x v="72"/>
    <s v="Y"/>
    <n v="1"/>
    <s v="Relay, 24 VDC, 4 PDT"/>
    <s v="MG Set (Cutter/Swing)*Drive Cabinet (Cutter/Swing)*Relay, 24 VDC, 4 PDT"/>
    <n v="0"/>
    <s v="700-CF220ZJ"/>
    <s v="ALLEN-BRADLEY"/>
    <n v="1"/>
  </r>
  <r>
    <s v="0101"/>
    <x v="2"/>
    <n v="45000019802"/>
    <s v="MG Set (Cutter/Swing)*Drive Cabinet (Cutter/Swing)*Relay, 24VDC 4PDT"/>
    <x v="72"/>
    <s v="Y"/>
    <n v="1"/>
    <s v="Relay, 24VDC 4PDT"/>
    <s v="MG Set (Cutter/Swing)*Drive Cabinet (Cutter/Swing)*Relay, 24VDC 4PDT"/>
    <n v="0"/>
    <s v="700-HKX27Z4-4"/>
    <s v="ENGLEWOOD ELECTRICAL SUPPLY"/>
    <n v="1"/>
  </r>
  <r>
    <s v="0101"/>
    <x v="2"/>
    <n v="45000019803"/>
    <s v="MG Set (Cutter/Swing)*Drive Cabinet (Cutter/Swing)*Tri-Isolator, With DC-DC Converter"/>
    <x v="72"/>
    <s v="Y"/>
    <n v="3"/>
    <s v="Tri-Isolator, With DC-DC Converter"/>
    <s v="MG Set (Cutter/Swing)*Drive Cabinet (Cutter/Swing)*Tri-Isolator, With DC-DC Converter"/>
    <n v="0"/>
    <s v="TRI ISOLATOR"/>
    <s v="CROWN - ESA"/>
    <n v="1"/>
  </r>
  <r>
    <s v="0101"/>
    <x v="2"/>
    <n v="45000019804"/>
    <s v="MG Set (Cutter/Swing)*Drive Cabinet (Cutter/Swing)*Power Supply, 24 VDC"/>
    <x v="72"/>
    <s v="Y"/>
    <n v="1"/>
    <s v="Power Supply, 24 VDC"/>
    <s v="MG Set (Cutter/Swing)*Drive Cabinet (Cutter/Swing)*Power Supply, 24 VDC"/>
    <n v="0"/>
    <s v="24EB10D60"/>
    <s v="ACOPIAN"/>
    <n v="1"/>
  </r>
  <r>
    <s v="0101"/>
    <x v="2"/>
    <n v="45000019805"/>
    <s v="MG Set (Cutter/Swing)*Drive Cabinet (Cutter/Swing)*Power Supply, 24 VDC,  20 Amp"/>
    <x v="72"/>
    <s v="Y"/>
    <n v="1"/>
    <s v="Power Supply, 24 VDC,  20 Amp"/>
    <s v="MG Set (Cutter/Swing)*Drive Cabinet (Cutter/Swing)*Power Supply, 24 VDC,  20 Amp"/>
    <n v="0"/>
    <s v="2866776"/>
    <s v="PHOENIX"/>
    <n v="1"/>
  </r>
  <r>
    <s v="0101"/>
    <x v="2"/>
    <n v="45000019806"/>
    <s v="MG Set (Cutter/Swing)*Drive Cabinet (Cutter/Swing)*Breaker, 40 Amp, 3 Pole"/>
    <x v="72"/>
    <s v="Y"/>
    <n v="1"/>
    <s v="Breaker, 40 Amp, 3 Pole"/>
    <s v="MG Set (Cutter/Swing)*Drive Cabinet (Cutter/Swing)*Breaker, 40 Amp, 3 Pole"/>
    <n v="0"/>
    <s v="T2S040TW"/>
    <s v="ABB Turbo Systems Ltd"/>
    <n v="1"/>
  </r>
  <r>
    <s v="0101"/>
    <x v="2"/>
    <n v="45000019807"/>
    <s v="MG Set (Cutter/Swing)*Drive Cabinet (Cutter/Swing)*Breaker, 15 Amp, 3 Pole"/>
    <x v="72"/>
    <s v="Y"/>
    <n v="1"/>
    <s v="Breaker, 15 Amp, 3 Pole"/>
    <s v="MG Set (Cutter/Swing)*Drive Cabinet (Cutter/Swing)*Breaker, 15 Amp, 3 Pole"/>
    <n v="0"/>
    <s v="T2S015TW"/>
    <s v="ABB Turbo Systems Ltd"/>
    <n v="1"/>
  </r>
  <r>
    <s v="0101"/>
    <x v="2"/>
    <n v="45000019808"/>
    <s v="MG Set (Cutter/Swing)*Drive Cabinet (Cutter/Swing)*Breaker, 25 Amp, 3 Pole"/>
    <x v="72"/>
    <s v="Y"/>
    <n v="1"/>
    <s v="Breaker, 25 Amp, 3 Pole"/>
    <s v="MG Set (Cutter/Swing)*Drive Cabinet (Cutter/Swing)*Breaker, 25 Amp, 3 Pole"/>
    <n v="0"/>
    <s v="T2S025TW"/>
    <s v="ABB Turbo Systems Ltd"/>
    <n v="1"/>
  </r>
  <r>
    <s v="0101"/>
    <x v="2"/>
    <n v="45000019809"/>
    <s v="MG Set (Cutter/Swing)*Drive Cabinet (Cutter/Swing)*65A Contactor, 24VDC Coil"/>
    <x v="72"/>
    <s v="Y"/>
    <n v="1"/>
    <s v="65A Contactor, 24VDC Coil"/>
    <s v="MG Set (Cutter/Swing)*Drive Cabinet (Cutter/Swing)*65A Contactor, 24VDC Coil"/>
    <n v="4"/>
    <s v="AE63-30-11-81"/>
    <s v="ABB Turbo Systems Ltd"/>
    <n v="1"/>
  </r>
  <r>
    <s v="0101"/>
    <x v="2"/>
    <n v="45000019810"/>
    <s v="MG Set (Cutter/Swing)*Drive Cabinet (Cutter/Swing)*Fuse, SCR, 600V 60A"/>
    <x v="72"/>
    <s v="Y"/>
    <n v="12"/>
    <s v="Fuse, SCR, 600V 60A"/>
    <s v="MG Set (Cutter/Swing)*Drive Cabinet (Cutter/Swing)*Fuse, SCR, 600V 60A"/>
    <n v="27"/>
    <s v="600V, 60A"/>
    <s v="FUSECO"/>
    <n v="1"/>
  </r>
  <r>
    <s v="0101"/>
    <x v="2"/>
    <n v="45000019811"/>
    <s v="MG Set (Cutter/Swing)*Drive Cabinet (Cutter/Swing)*1200V 25A 1PH Bridge Rectifier"/>
    <x v="72"/>
    <s v="Y"/>
    <n v="1"/>
    <s v="1200V 25A 1PH Bridge Rectifier"/>
    <s v="MG Set (Cutter/Swing)*Drive Cabinet (Cutter/Swing)*1200V 25A 1PH Bridge Rectifier"/>
    <n v="1"/>
    <s v="26MB120A"/>
    <s v="ALLIED ELECTRONICS"/>
    <n v="1"/>
  </r>
  <r>
    <s v="0101"/>
    <x v="2"/>
    <n v="45000019812"/>
    <s v="MG Set (Cutter/Swing)*Drive Cabinet (Cutter/Swing)*Controller, Generator Field, 110 Amp"/>
    <x v="72"/>
    <s v="Y"/>
    <n v="1"/>
    <s v="Controller, Generator Field, 110 Amp"/>
    <s v="MG Set (Cutter/Swing)*Drive Cabinet (Cutter/Swing)*Controller, Generator Field, 110 Amp"/>
    <n v="0"/>
    <s v="DMG110-4TNO-C/48 AMP FIELD"/>
    <s v="AVTRON"/>
    <n v="1"/>
  </r>
  <r>
    <s v="0101"/>
    <x v="2"/>
    <n v="45000019813"/>
    <s v="MG Set (Cutter/Swing)*Drive Cabinet (Cutter/Swing)*SCR, Main Field Hoist, 56 Amp"/>
    <x v="72"/>
    <s v="Y"/>
    <n v="6"/>
    <s v="SCR, Main Field Hoist, 56 Amp"/>
    <s v="MG Set (Cutter/Swing)*Drive Cabinet (Cutter/Swing)*SCR, Main Field Hoist, 56 Amp"/>
    <n v="7"/>
    <s v="354886"/>
    <s v="AVTRON"/>
    <n v="1"/>
  </r>
  <r>
    <s v="0101"/>
    <x v="2"/>
    <n v="45000019828"/>
    <s v="MG Set (Cutter/Swing)*Drive Cabinet (Cutter/Swing)*SLC 1747-L552 Processor Md"/>
    <x v="72"/>
    <s v="Y"/>
    <n v="1"/>
    <s v="SLC 1747-L552 Processor Md"/>
    <s v="MG Set (Cutter/Swing)*Drive Cabinet (Cutter/Swing)*SLC 1747-L552 Processor Md"/>
    <n v="0"/>
    <s v="1747-L552"/>
    <s v="ENGLEWOOD ELECTRICAL SUPPLY"/>
    <n v="1"/>
  </r>
  <r>
    <s v="0101"/>
    <x v="2"/>
    <n v="45000019829"/>
    <s v="MG Set (Cutter/Swing)*Drive Cabinet (Cutter/Swing)*Module, Analog, Input, SLC 1746-IB16"/>
    <x v="72"/>
    <s v="Y"/>
    <n v="1"/>
    <s v="Module, Analog, Input, SLC 1746-IB16"/>
    <s v="MG Set (Cutter/Swing)*Drive Cabinet (Cutter/Swing)*Module, Analog, Input, SLC 1746-IB16"/>
    <n v="1"/>
    <s v="1746-IB16"/>
    <s v="ENGLEWOOD ELECTRICAL SUPPLY"/>
    <n v="1"/>
  </r>
  <r>
    <s v="0101"/>
    <x v="2"/>
    <n v="45000021681"/>
    <s v="Swing*Swing Winch*Clutch Assembly-Swing Drums*Clutch Band, Split*Pin, Eye Bolt (111)"/>
    <x v="65"/>
    <s v="Y"/>
    <n v="1"/>
    <s v="Pin, Eye Bolt (111)"/>
    <s v="Swing*Swing Winch*Clutch Assembly-Swing Drums*Clutch Band, Split*Pin, Eye Bolt (111)"/>
    <n v="3"/>
    <s v="B-2979"/>
    <s v="MP/MW DWG "/>
    <n v="1"/>
  </r>
  <r>
    <s v="0101"/>
    <x v="2"/>
    <n v="45000021685"/>
    <s v="Swing*Swing Winch*Clutch Assembly-Swing Drums*Clutch Band, Split*Pin, Clutch Arm (117)"/>
    <x v="65"/>
    <s v="Y"/>
    <n v="1"/>
    <s v="Pin, Clutch Arm (117)"/>
    <s v="Swing*Swing Winch*Clutch Assembly-Swing Drums*Clutch Band, Split*Pin, Clutch Arm (117)"/>
    <n v="1"/>
    <s v="B-418"/>
    <s v="MP/MW DWG "/>
    <n v="1"/>
  </r>
  <r>
    <s v="0101"/>
    <x v="2"/>
    <n v="45000021687"/>
    <s v="Swing*Swing Winch*Clutch Assembly-Swing Drums*Clutch Band, Split*Clutch Arm-Stbd Swing (119)"/>
    <x v="65"/>
    <s v="Y"/>
    <n v="1"/>
    <s v="Clutch Arm-Stbd Swing (119)"/>
    <s v="Swing*Swing Winch*Clutch Assembly-Swing Drums*Clutch Band, Split*Clutch Arm-Stbd Swing (119)"/>
    <n v="2"/>
    <s v="C-123"/>
    <s v="MP/MW DWG "/>
    <n v="1"/>
  </r>
  <r>
    <s v="0101"/>
    <x v="2"/>
    <n v="45000021691"/>
    <s v="Swing*Swing Winch*Clutch Assembly-Swing Drums*Clutch Band, Split*Lever Arm (126)"/>
    <x v="65"/>
    <s v="Y"/>
    <n v="1"/>
    <s v="Lever Arm (126)"/>
    <s v="Swing*Swing Winch*Clutch Assembly-Swing Drums*Clutch Band, Split*Lever Arm (126)"/>
    <n v="1"/>
    <s v="B5C-122"/>
    <s v="MP/MW DWG "/>
    <n v="1"/>
  </r>
  <r>
    <s v="0101"/>
    <x v="2"/>
    <n v="45000021692"/>
    <s v="Swing*Swing Winch*Clutch Assembly-Swing Drums*Clutch Band, Split*Lever Arm Cap (127)"/>
    <x v="65"/>
    <s v="Y"/>
    <n v="1"/>
    <s v="Lever Arm Cap (127)"/>
    <s v="Swing*Swing Winch*Clutch Assembly-Swing Drums*Clutch Band, Split*Lever Arm Cap (127)"/>
    <n v="1"/>
    <s v="B5C-122"/>
    <s v="MP/MW DWG "/>
    <n v="1"/>
  </r>
  <r>
    <s v="0101"/>
    <x v="2"/>
    <n v="45000021714"/>
    <s v="Swing*Swing Winch*Clutch Assembly-Swing Drums*Clutch Band, Split*Female Rod, Clevis (332)"/>
    <x v="65"/>
    <s v="Y"/>
    <n v="1"/>
    <s v="Female Rod, Clevis (332)"/>
    <s v="Swing*Swing Winch*Clutch Assembly-Swing Drums*Clutch Band, Split*Female Rod, Clevis (332)"/>
    <n v="1"/>
    <s v="A-3801"/>
    <s v="MP/MW DWG "/>
    <n v="1"/>
  </r>
  <r>
    <s v="0101"/>
    <x v="2"/>
    <n v="45000021871"/>
    <s v="Swing*Swing Winch*Brake Assembly*Brake Shoe, Fwd*Housing, Spring (239)"/>
    <x v="65"/>
    <s v="Y"/>
    <n v="1"/>
    <s v="Housing, Spring (239)"/>
    <s v="Swing*Swing Winch*Brake Assembly*Brake Shoe, Fwd*Housing, Spring (239)"/>
    <n v="2"/>
    <m/>
    <m/>
    <n v="1"/>
  </r>
  <r>
    <s v="0101"/>
    <x v="2"/>
    <n v="45000021872"/>
    <s v="Swing*Swing Winch*Brake Assembly*Brake Shoe, Fwd*Anchor, Housing (240)"/>
    <x v="65"/>
    <s v="Y"/>
    <n v="1"/>
    <s v="Anchor, Housing (240)"/>
    <s v="Swing*Swing Winch*Brake Assembly*Brake Shoe, Fwd*Anchor, Housing (240)"/>
    <n v="2"/>
    <m/>
    <m/>
    <n v="1"/>
  </r>
  <r>
    <s v="0101"/>
    <x v="2"/>
    <n v="45000021875"/>
    <s v="Swing*Swing Winch*Brake Assembly*Brake Shoe, Fwd*Washer, Special (243)"/>
    <x v="65"/>
    <s v="Y"/>
    <n v="4"/>
    <s v="Washer, Special (243)"/>
    <s v="Swing*Swing Winch*Brake Assembly*Brake Shoe, Fwd*Washer, Special (243)"/>
    <n v="2"/>
    <m/>
    <m/>
    <n v="1"/>
  </r>
  <r>
    <s v="0101"/>
    <x v="2"/>
    <n v="45000021878"/>
    <s v="Swing*Swing Winch*Brake Assembly*Brake Shoe, Fwd*Pin, 1-1/2&quot; Dia. X 3-1/4&quot; LG (246)"/>
    <x v="65"/>
    <s v="Y"/>
    <n v="2"/>
    <s v="Pin, 1-1/2&quot; Dia. X 3-1/4&quot; LG (246)"/>
    <s v="Swing*Swing Winch*Brake Assembly*Brake Shoe, Fwd*Pin, 1-1/2&quot; Dia. X 3-1/4&quot; LG (246)"/>
    <n v="2"/>
    <m/>
    <m/>
    <n v="1"/>
  </r>
  <r>
    <s v="0101"/>
    <x v="2"/>
    <n v="45000021880"/>
    <s v="Swing*Swing Winch*Brake Assembly*Brake Shoe, Fwd*Pin, 1&quot; Dia. X 5-1/2&quot; LG CRS (248)"/>
    <x v="65"/>
    <s v="Y"/>
    <n v="2"/>
    <s v="Pin, 1&quot; Dia. X 5-1/2&quot; LG CRS (248)"/>
    <s v="Swing*Swing Winch*Brake Assembly*Brake Shoe, Fwd*Pin, 1&quot; Dia. X 5-1/2&quot; LG CRS (248)"/>
    <n v="2"/>
    <m/>
    <m/>
    <n v="1"/>
  </r>
  <r>
    <s v="0101"/>
    <x v="2"/>
    <n v="45000022405"/>
    <s v="Swing*Swing Winch*Brake Assembly*Brake Shoe, Fwd*Rod, Spring (238)"/>
    <x v="65"/>
    <s v="Y"/>
    <n v="4"/>
    <s v="Rod, Spring (238)"/>
    <s v="Swing*Swing Winch*Brake Assembly*Brake Shoe, Fwd*Rod, Spring (238)"/>
    <n v="2"/>
    <s v="A-3953"/>
    <s v="MP/MW DWG "/>
    <n v="1"/>
  </r>
  <r>
    <s v="0101"/>
    <x v="2"/>
    <n v="45000029091"/>
    <s v="Pump, Dredge*Dredge Pump Gearbox*Seal, H/S Input Split Oil"/>
    <x v="63"/>
    <s v="Y"/>
    <n v="2"/>
    <s v="Seal, H/S Input Split Oil"/>
    <s v="Pump, Dredge*Dredge Pump Gearbox*Seal, H/S Input Split Oil"/>
    <n v="11"/>
    <s v="3581RUP"/>
    <s v="TRICO"/>
    <n v="1"/>
  </r>
  <r>
    <s v="0101"/>
    <x v="2"/>
    <n v="45000029287"/>
    <s v="Pump, Dredge*Dredge Pump Engine (Port) (EMD 710)*Assembly 04: Power Assembly*Power Pack Assembly, Blade Rod"/>
    <x v="63"/>
    <s v="Y"/>
    <n v="2"/>
    <s v="Power Pack Assembly, Blade Rod"/>
    <s v="Pump, Dredge*Dredge Pump Engine (Port) (EMD 710)*Assembly 04: Power Assembly*Power Pack Assembly, Blade Rod"/>
    <n v="3"/>
    <s v="40190018"/>
    <s v="EMD"/>
    <n v="3"/>
  </r>
  <r>
    <s v="0101"/>
    <x v="2"/>
    <n v="45000029288"/>
    <s v="Pump, Dredge*Dredge Pump Engine (Port) (EMD 710)*Assembly 04: Power Assembly*Power Pack Assembly, Fork Rod"/>
    <x v="63"/>
    <s v="Y"/>
    <n v="2"/>
    <s v="Power Pack Assembly, Fork Rod"/>
    <s v="Pump, Dredge*Dredge Pump Engine (Port) (EMD 710)*Assembly 04: Power Assembly*Power Pack Assembly, Fork Rod"/>
    <n v="2"/>
    <s v="40190017"/>
    <s v="EMD"/>
    <n v="3"/>
  </r>
  <r>
    <s v="0101"/>
    <x v="2"/>
    <n v="45000029307"/>
    <s v="Pump, Dredge*Dredge Pump Engine (Port) (EMD 710)*Assembly 29: Thermocouples*Thermocouple, Exhaust Manifold"/>
    <x v="63"/>
    <s v="Y"/>
    <n v="4"/>
    <s v="Thermocouple, Exhaust Manifold"/>
    <s v="Pump, Dredge*Dredge Pump Engine (Port) (EMD 710)*Assembly 29: Thermocouples*Thermocouple, Exhaust Manifold"/>
    <n v="12"/>
    <s v="9575235"/>
    <s v="EMD"/>
    <n v="3"/>
  </r>
  <r>
    <s v="0101"/>
    <x v="2"/>
    <n v="45000031810"/>
    <s v="Electrical*Automation*PLC (Allen Bradley)*SLC 1746 - IN16I Analog Input Module"/>
    <x v="61"/>
    <s v="Y"/>
    <n v="1"/>
    <s v="SLC 1746 - IN16I Analog Input Module"/>
    <s v="Electrical*Automation*PLC (Allen Bradley)*SLC 1746 - IN16I Analog Input Module"/>
    <n v="0"/>
    <s v="1746-IN16"/>
    <s v="ALLEN-BRADLEY"/>
    <n v="1"/>
  </r>
  <r>
    <s v="0101"/>
    <x v="2"/>
    <n v="45000031811"/>
    <s v="Electrical*Automation*PLC (Allen Bradley)*SLC 1746 - NO4I, Analog Module"/>
    <x v="61"/>
    <s v="Y"/>
    <n v="2"/>
    <s v="SLC 1746 - NO4I, Analog Module"/>
    <s v="Electrical*Automation*PLC (Allen Bradley)*SLC 1746 - NO4I, Analog Module"/>
    <n v="0"/>
    <s v="1746-NO4I"/>
    <s v="ALLEN-BRADLEY"/>
    <n v="1"/>
  </r>
  <r>
    <s v="0101"/>
    <x v="2"/>
    <n v="45000035105"/>
    <s v="Electrical*Automation*PLC (Allen Bradley)*SLC 1747-M15-Memory Module Adapt Socket"/>
    <x v="61"/>
    <s v="Y"/>
    <n v="1"/>
    <s v="SLC 1747-M15-Memory Module Adapt Socket"/>
    <s v="Electrical*Automation*PLC (Allen Bradley)*SLC 1747-M15-Memory Module Adapt Socket"/>
    <n v="0"/>
    <s v="1747-M15"/>
    <s v="ALLEN-BRADLEY"/>
    <n v="1"/>
  </r>
  <r>
    <s v="0101"/>
    <x v="2"/>
    <n v="45000035106"/>
    <s v="Electrical*Automation*PLC (Allen Bradley)*SLC 1747-M13 - Memory Module"/>
    <x v="61"/>
    <s v="Y"/>
    <n v="1"/>
    <s v="SLC 1747-M13 - Memory Module"/>
    <s v="Electrical*Automation*PLC (Allen Bradley)*SLC 1747-M13 - Memory Module"/>
    <n v="0"/>
    <s v="1747-M13"/>
    <s v="ALLEN-BRADLEY"/>
    <n v="1"/>
  </r>
  <r>
    <s v="0101"/>
    <x v="2"/>
    <n v="46700000054"/>
    <s v="Pump, Ladder*Ladder Pump (Universal)*Liner, Suction Side (Moballoy)"/>
    <x v="64"/>
    <s v="Y"/>
    <n v="1"/>
    <s v="Liner, Suction Side (Moballoy)"/>
    <s v="Pump, Ladder*Ladder Pump (Universal)*Liner, Suction Side (Moballoy)"/>
    <n v="0"/>
    <s v="A-3604"/>
    <s v="SPI/MPMW"/>
    <n v="1"/>
  </r>
  <r>
    <s v="0101"/>
    <x v="2"/>
    <n v="60400001768"/>
    <s v="Hydraulic Systems*Hydraulic Power Unit (Kawasaki)*Hydraulic Pump*Pump*Pump, Hydraulic, Anchor Winch"/>
    <x v="58"/>
    <s v="Y"/>
    <n v="1"/>
    <s v="Pump, Hydraulic, Anchor Winch"/>
    <s v="Hydraulic Systems*Hydraulic Power Unit (Kawasaki)*Hydraulic Pump*Pump*Pump, Hydraulic, Anchor Winch"/>
    <n v="0"/>
    <s v="K3VL200"/>
    <s v="KAWASAKI"/>
    <n v="1"/>
  </r>
  <r>
    <s v="0101"/>
    <x v="2"/>
    <n v="60400002852"/>
    <s v="Swing*Swing Winch*Cylinder, Swing Clutch/Friction"/>
    <x v="65"/>
    <s v="Y"/>
    <n v="2"/>
    <s v="Cylinder, Swing Clutch/Friction"/>
    <s v="Swing*Swing Winch*Cylinder, Swing Clutch/Friction"/>
    <n v="3"/>
    <s v="MP1-3A-CC-5.00-9.00-FSM1G"/>
    <s v="INDUSTRIAL &amp; MARINE EQUIPMENT"/>
    <n v="1"/>
  </r>
  <r>
    <s v="0101"/>
    <x v="2"/>
    <n v="60400003063"/>
    <s v="Pump, Dredge*Dredge Pump*Wet End Parts*Liner, Suction Side"/>
    <x v="63"/>
    <s v="Y"/>
    <n v="1"/>
    <s v="Liner, Suction Side"/>
    <s v="Pump, Dredge*Dredge Pump*Wet End Parts*Liner, Suction Side"/>
    <n v="1"/>
    <s v="A-6738"/>
    <s v="SPI/MPMW"/>
    <n v="1"/>
  </r>
  <r>
    <s v="0101"/>
    <x v="2"/>
    <n v="60400003064"/>
    <s v="Pump, Dredge*Dredge Pump*Wet End Parts*Liner, Engine Side"/>
    <x v="63"/>
    <s v="Y"/>
    <n v="1"/>
    <s v="Liner, Engine Side"/>
    <s v="Pump, Dredge*Dredge Pump*Wet End Parts*Liner, Engine Side"/>
    <n v="1"/>
    <s v="A-6739"/>
    <s v="SPI/MPMW"/>
    <n v="1"/>
  </r>
  <r>
    <s v="0101"/>
    <x v="2"/>
    <n v="60400003068"/>
    <s v="Pump, Dredge*Dredge Pump*Wet End Parts*Impeller, 96&quot;  4-Vane"/>
    <x v="63"/>
    <s v="Y"/>
    <n v="1"/>
    <s v="Impeller, 96&quot;  4-Vane"/>
    <s v="Pump, Dredge*Dredge Pump*Wet End Parts*Impeller, 96&quot;  4-Vane"/>
    <n v="1"/>
    <s v="2A-6728"/>
    <s v="SPI/MPMW"/>
    <n v="1"/>
  </r>
  <r>
    <s v="0101"/>
    <x v="2"/>
    <n v="60400004551"/>
    <s v="Hydraulic Systems*Hydraulic Power Unit (Kawasaki)*Hydraulic Pump*Motor, (100 HP)*Motor, 100 Hp, HPU"/>
    <x v="58"/>
    <s v="Y"/>
    <n v="1"/>
    <s v="Motor, 100 Hp, HPU"/>
    <s v="Hydraulic Systems*Hydraulic Power Unit (Kawasaki)*Hydraulic Pump*Motor, (100 HP)*Motor, 100 Hp, HPU"/>
    <n v="1"/>
    <m/>
    <m/>
    <n v="1"/>
  </r>
  <r>
    <s v="0101"/>
    <x v="2"/>
    <n v="60400006327"/>
    <s v="Spud System*Spud Hoist Winch*Winch (Center)*Brake Band*Eye Bolt, Brake Anchor"/>
    <x v="73"/>
    <s v="Y"/>
    <n v="1"/>
    <s v="Eye Bolt, Brake Anchor"/>
    <s v="Spud System*Spud Hoist Winch*Winch (Center)*Brake Band*Eye Bolt, Brake Anchor"/>
    <n v="2"/>
    <s v="C-90"/>
    <s v="SPI/MPMW"/>
    <n v="3"/>
  </r>
  <r>
    <s v="0101"/>
    <x v="2"/>
    <n v="62400002536"/>
    <s v="Pump, Dredge*Dredge Pump*Pump Shell, Inner (D/P)"/>
    <x v="63"/>
    <s v="Y"/>
    <n v="1"/>
    <s v="Pump Shell, Inner (D/P)"/>
    <s v="Pump, Dredge*Dredge Pump*Pump Shell, Inner (D/P)"/>
    <n v="1"/>
    <s v="1A-5603"/>
    <s v="SPI/MPMW"/>
    <n v="1"/>
  </r>
  <r>
    <s v="0101"/>
    <x v="2"/>
    <n v="62400002831"/>
    <s v="Gland Seal*Gland Seal Pump Set (#1)*Motor, (100 HP)*Motor, 100 HP"/>
    <x v="67"/>
    <s v="Y"/>
    <n v="1"/>
    <s v="Motor, 100 HP"/>
    <s v="Gland Seal*Gland Seal Pump Set (#1)*Motor, (100 HP)*Motor, 100 HP"/>
    <n v="1"/>
    <m/>
    <m/>
    <n v="2"/>
  </r>
  <r>
    <s v="0101"/>
    <x v="2"/>
    <n v="66200007578"/>
    <s v="Pump, Dredge*Dredge Pump Engine (Port) (EMD 710)*Drive Line (Port) (EMD 710)*Roller Bearing"/>
    <x v="63"/>
    <s v="Y"/>
    <n v="1"/>
    <s v="Roller Bearing"/>
    <s v="Pump, Dredge*Dredge Pump Engine (Port) (EMD 710)*Drive Line (Port) (EMD 710)*Roller Bearing"/>
    <n v="1"/>
    <s v="S1 B 900"/>
    <s v="CRAFT"/>
    <n v="2"/>
  </r>
  <r>
    <s v="0101"/>
    <x v="2"/>
    <n v="66200007740"/>
    <s v="Pump, Dredge*Dredge Pump Engine (Port) (EMD 710)*Gasket, Eductor"/>
    <x v="63"/>
    <s v="Y"/>
    <n v="2"/>
    <s v="Gasket, Eductor"/>
    <s v="Pump, Dredge*Dredge Pump Engine (Port) (EMD 710)*Gasket, Eductor"/>
    <n v="27"/>
    <s v="40039277"/>
    <s v="EMD/MSI"/>
    <n v="3"/>
  </r>
  <r>
    <s v="0101"/>
    <x v="2"/>
    <n v="66200017339"/>
    <s v="Raw Water*General Service Pump (#2)*Back Pull Out Unit, 3196 MTX"/>
    <x v="71"/>
    <s v="Y"/>
    <n v="1"/>
    <s v="Back Pull Out Unit, 3196 MTX"/>
    <s v="Raw Water*General Service Pump (#2)*Back Pull Out Unit, 3196 MTX"/>
    <n v="1"/>
    <m/>
    <m/>
    <n v="3"/>
  </r>
  <r>
    <s v="0101"/>
    <x v="2"/>
    <n v="66200019530"/>
    <s v="Ladder System*Drive, SCR (Ladder Hoist)*Cap, End"/>
    <x v="68"/>
    <s v="Y"/>
    <n v="1"/>
    <s v="Cap, End"/>
    <s v="Ladder System*Drive, SCR (Ladder Hoist)*Cap, End"/>
    <n v="1"/>
    <s v="1769-ECR"/>
    <s v="ALLEN-BRADLEY"/>
    <n v="2"/>
  </r>
  <r>
    <s v="0101"/>
    <x v="2"/>
    <n v="66200019531"/>
    <s v="Ladder System*Drive, SCR (Ladder Hoist)*Memory Module, Logic Controller"/>
    <x v="68"/>
    <s v="Y"/>
    <n v="1"/>
    <s v="Memory Module, Logic Controller"/>
    <s v="Ladder System*Drive, SCR (Ladder Hoist)*Memory Module, Logic Controller"/>
    <n v="1"/>
    <s v="1764-MMI"/>
    <s v="ALLEN-BRADLEY"/>
    <n v="2"/>
  </r>
  <r>
    <s v="0101"/>
    <x v="2"/>
    <n v="71100000641"/>
    <s v="Electrical*RTD/Thermocouples*Pedestal Bearing Thermocouple, Type J"/>
    <x v="61"/>
    <s v="Y"/>
    <n v="1"/>
    <s v="Pedestal Bearing Thermocouple, Type J"/>
    <s v="Electrical*RTD/Thermocouples*Pedestal Bearing Thermocouple, Type J"/>
    <n v="3"/>
    <s v="BT-090-J-4-60-1"/>
    <s v="OMEGA"/>
    <n v="1"/>
  </r>
  <r>
    <s v="0101"/>
    <x v="2"/>
    <n v="71100000642"/>
    <s v="Electrical*RTD/Thermocouples*Pedestal Bearing Thermocouple, Adaptor"/>
    <x v="61"/>
    <s v="Y"/>
    <n v="1"/>
    <s v="Pedestal Bearing Thermocouple, Adaptor"/>
    <s v="Electrical*RTD/Thermocouples*Pedestal Bearing Thermocouple, Adaptor"/>
    <n v="3"/>
    <s v="BTA-1"/>
    <s v="OMEGA"/>
    <n v="1"/>
  </r>
  <r>
    <s v="0103"/>
    <x v="3"/>
    <n v="528"/>
    <s v="Pump, Ladder*Ladder Pump (Universal)*Pump Shell (Steel)"/>
    <x v="64"/>
    <s v="Y"/>
    <n v="1"/>
    <s v="Pump Shell (Steel)"/>
    <s v="Pump, Ladder*Ladder Pump (Universal)*Pump Shell (Steel)"/>
    <n v="0"/>
    <s v="2A-3603"/>
    <s v="SPI/MPMW"/>
    <n v="1"/>
  </r>
  <r>
    <s v="0103"/>
    <x v="3"/>
    <n v="9530"/>
    <s v="Pump, Dredge (Stbd)-OLD*Dredge Pump Gearbox (Stbd)*Clutch (32VC1000)*Kit, Air Tube, Clutch"/>
    <x v="74"/>
    <s v="Y"/>
    <n v="1"/>
    <s v="Kit, Air Tube, Clutch"/>
    <s v="Pump, Dredge (Stbd)-OLD*Dredge Pump Gearbox (Stbd)*Clutch (32VC1000)*Kit, Air Tube, Clutch"/>
    <n v="0"/>
    <s v="146500C"/>
    <s v="EATON AIRFLEX"/>
    <n v="2"/>
  </r>
  <r>
    <s v="0103"/>
    <x v="3"/>
    <n v="9547"/>
    <s v="Pump, Dredge (Stbd)-OLD*Dredge Pump (#2) (Stbd)*Hardware &amp; Gaskets*O-Ring, Hub Liner-Plate"/>
    <x v="74"/>
    <s v="Y"/>
    <n v="5"/>
    <s v="O-Ring, Hub Liner-Plate"/>
    <s v="Pump, Dredge (Stbd)-OLD*Dredge Pump (#2) (Stbd)*Hardware &amp; Gaskets*O-Ring, Hub Liner-Plate"/>
    <n v="2"/>
    <s v="7718P-11"/>
    <s v="GIW"/>
    <n v="2"/>
  </r>
  <r>
    <s v="0103"/>
    <x v="3"/>
    <n v="18876"/>
    <s v="Production Instrumentation/Monitoring*Rosemount Transducers*Transmitter (0-400 PSIG) Remote Seal"/>
    <x v="75"/>
    <s v="Y"/>
    <n v="1"/>
    <s v="Transmitter (0-400 PSIG) Remote Seal"/>
    <s v="Production Instrumentation/Monitoring*Rosemount Transducers*Transmitter (0-400 PSIG) Remote Seal"/>
    <n v="1"/>
    <s v="1151GP8E22S1B1"/>
    <s v="ROSEMOUNT"/>
    <n v="1"/>
  </r>
  <r>
    <s v="0103"/>
    <x v="3"/>
    <n v="18877"/>
    <s v="Production Instrumentation/Monitoring*Rosemount Transducers*Transmitter (0-100 PSIG)"/>
    <x v="75"/>
    <s v="Y"/>
    <n v="1"/>
    <s v="Transmitter (0-100 PSIG)"/>
    <s v="Production Instrumentation/Monitoring*Rosemount Transducers*Transmitter (0-100 PSIG)"/>
    <n v="4"/>
    <s v="1151GP6E22B3M3DF"/>
    <s v="ROSEMOUNT"/>
    <n v="1"/>
  </r>
  <r>
    <s v="0103"/>
    <x v="3"/>
    <n v="18879"/>
    <s v="Production Instrumentation/Monitoring*Rosemount Transducers*Transmitter (0-400 PSIG)"/>
    <x v="75"/>
    <s v="Y"/>
    <n v="1"/>
    <s v="Transmitter (0-400 PSIG)"/>
    <s v="Production Instrumentation/Monitoring*Rosemount Transducers*Transmitter (0-400 PSIG)"/>
    <n v="2"/>
    <s v="1151GP8E22B3M3DF"/>
    <s v="ROSEMOUNT"/>
    <n v="1"/>
  </r>
  <r>
    <s v="0103"/>
    <x v="3"/>
    <n v="31522"/>
    <s v="Cutter Machinery*Thrust Bearing*Forging Only, Thrust Shaft"/>
    <x v="66"/>
    <s v="Y"/>
    <n v="1"/>
    <s v="Forging Only, Thrust Shaft"/>
    <s v="Cutter Machinery*Thrust Bearing*Forging Only, Thrust Shaft"/>
    <n v="1"/>
    <s v="110-02-1006"/>
    <s v="SCOT"/>
    <n v="1"/>
  </r>
  <r>
    <s v="0103"/>
    <x v="3"/>
    <n v="32236"/>
    <s v="Pump, Dredge (Stbd)-OLD*Dredge Pump Gearbox (Stbd)*Clutch (32VC1000)*Clutch (Complete Assembly)"/>
    <x v="74"/>
    <s v="Y"/>
    <n v="1"/>
    <s v="Clutch (Complete Assembly)"/>
    <s v="Pump, Dredge (Stbd)-OLD*Dredge Pump Gearbox (Stbd)*Clutch (32VC1000)*Clutch (Complete Assembly)"/>
    <n v="0"/>
    <s v="988456"/>
    <s v="EATON AIRFLEX"/>
    <n v="2"/>
  </r>
  <r>
    <s v="0103"/>
    <x v="3"/>
    <n v="32495"/>
    <s v="Cutter Machinery*Tailshaft*Coupling,Flanged Rigid, Tail Shaft*Coupling Half,Thrust Bearing, Strt Bore"/>
    <x v="66"/>
    <s v="Y"/>
    <n v="1"/>
    <s v="Coupling Half,Thrust Bearing, Strt Bore"/>
    <s v="Cutter Machinery*Tailshaft*Coupling,Flanged Rigid, Tail Shaft*Coupling Half,Thrust Bearing, Strt Bore"/>
    <n v="0"/>
    <s v="2C-1529"/>
    <s v="MPMW Dwg "/>
    <n v="1"/>
  </r>
  <r>
    <s v="0103"/>
    <x v="3"/>
    <n v="35359"/>
    <s v="Pump, Dredge (Port)- OLD*Dredge Pump Engine (Port)*Exhaust/Air Intake*Gasket Kit, Turbocharger Install"/>
    <x v="76"/>
    <s v="Y"/>
    <n v="1"/>
    <s v="Gasket Kit, Turbocharger Install"/>
    <s v="Pump, Dredge (Port)- OLD*Dredge Pump Engine (Port)*Exhaust/Air Intake*Gasket Kit, Turbocharger Install"/>
    <n v="2"/>
    <s v="9580730"/>
    <s v="EMD"/>
    <n v="4"/>
  </r>
  <r>
    <s v="0103"/>
    <x v="3"/>
    <n v="35441"/>
    <s v="Pump, Dredge (Port)- OLD*Dredge Pump Engine (Port)*Crankshaft Assembly*Bearing, Main, Front &amp; Inter-Lower"/>
    <x v="76"/>
    <s v="Y"/>
    <n v="4"/>
    <s v="Bearing, Main, Front &amp; Inter-Lower"/>
    <s v="Pump, Dredge (Port)- OLD*Dredge Pump Engine (Port)*Crankshaft Assembly*Bearing, Main, Front &amp; Inter-Lower"/>
    <n v="50"/>
    <s v="8455666"/>
    <s v="EMD (MSI)"/>
    <n v="4"/>
  </r>
  <r>
    <s v="0103"/>
    <x v="3"/>
    <n v="35442"/>
    <s v="Pump, Dredge (Port)- OLD*Dredge Pump Engine (Port)*Crankshaft Assembly*Bearing, Main, Front &amp; Inter-Upper"/>
    <x v="76"/>
    <s v="Y"/>
    <n v="4"/>
    <s v="Bearing, Main, Front &amp; Inter-Upper"/>
    <s v="Pump, Dredge (Port)- OLD*Dredge Pump Engine (Port)*Crankshaft Assembly*Bearing, Main, Front &amp; Inter-Upper"/>
    <n v="41"/>
    <s v="8455862"/>
    <s v="EMD (MSI)"/>
    <n v="4"/>
  </r>
  <r>
    <s v="0103"/>
    <x v="3"/>
    <n v="35443"/>
    <s v="Pump, Dredge (Port)- OLD*Dredge Pump Engine (Port)*Crankshaft Assembly*Bearing, Main, Rear-Lower"/>
    <x v="76"/>
    <s v="Y"/>
    <n v="4"/>
    <s v="Bearing, Main, Rear-Lower"/>
    <s v="Pump, Dredge (Port)- OLD*Dredge Pump Engine (Port)*Crankshaft Assembly*Bearing, Main, Rear-Lower"/>
    <n v="5"/>
    <s v="8455665"/>
    <s v="EMD (MSI)"/>
    <n v="4"/>
  </r>
  <r>
    <s v="0103"/>
    <x v="3"/>
    <n v="35444"/>
    <s v="Pump, Dredge (Port)- OLD*Dredge Pump Engine (Port)*Crankshaft Assembly*Bearing, Main, Rear-Upper"/>
    <x v="76"/>
    <s v="Y"/>
    <n v="4"/>
    <s v="Bearing, Main, Rear-Upper"/>
    <s v="Pump, Dredge (Port)- OLD*Dredge Pump Engine (Port)*Crankshaft Assembly*Bearing, Main, Rear-Upper"/>
    <n v="8"/>
    <s v="8455844"/>
    <s v="EMD (MSI)"/>
    <n v="4"/>
  </r>
  <r>
    <s v="0103"/>
    <x v="3"/>
    <n v="39067"/>
    <s v="Pump, Dredge (Stbd)-OLD*Dredge Pump (#2) (Stbd)*Stuffing Box (Floating)*Stuffing Box Assembly, Floating Style"/>
    <x v="74"/>
    <s v="Y"/>
    <n v="1"/>
    <s v="Stuffing Box Assembly, Floating Style"/>
    <s v="Pump, Dredge (Stbd)-OLD*Dredge Pump (#2) (Stbd)*Stuffing Box (Floating)*Stuffing Box Assembly, Floating Style"/>
    <n v="0"/>
    <s v="9134D-SPECA"/>
    <s v="GIW"/>
    <n v="2"/>
  </r>
  <r>
    <s v="0103"/>
    <x v="3"/>
    <n v="39476"/>
    <s v="Electrical*PLC (Dredge System)*Governor Controls, Stbd"/>
    <x v="61"/>
    <s v="Y"/>
    <n v="1"/>
    <s v="Governor Controls, Stbd"/>
    <s v="Electrical*PLC (Dredge System)*Governor Controls, Stbd"/>
    <n v="0"/>
    <s v="8280-219"/>
    <s v="Woodward"/>
    <n v="1"/>
  </r>
  <r>
    <s v="0103"/>
    <x v="3"/>
    <n v="49226"/>
    <s v="Pump, Ladder*Shafting*Drive Shaft*Drive Shaft, Ladder Pump"/>
    <x v="64"/>
    <s v="Y"/>
    <n v="1"/>
    <s v="Drive Shaft, Ladder Pump"/>
    <s v="Pump, Ladder*Shafting*Drive Shaft*Drive Shaft, Ladder Pump"/>
    <n v="0"/>
    <s v="103-04-15334"/>
    <s v="Gldd Dwg "/>
    <n v="1"/>
  </r>
  <r>
    <s v="0103"/>
    <x v="3"/>
    <n v="49379"/>
    <s v="Pump, Ladder*Ladder Pump Gearbox*Coupling*Coupling, L/P Motor to Gearbox"/>
    <x v="64"/>
    <s v="Y"/>
    <n v="1"/>
    <s v="Coupling, L/P Motor to Gearbox"/>
    <s v="Pump, Ladder*Ladder Pump Gearbox*Coupling*Coupling, L/P Motor to Gearbox"/>
    <n v="2"/>
    <s v="103-04-16025"/>
    <s v="Gldd Dwg "/>
    <n v="1"/>
  </r>
  <r>
    <s v="0103"/>
    <x v="3"/>
    <n v="49582"/>
    <s v="Pump, Ladder*Shafting*Drive Shaft*Coupling (Drive Shaft)*Coupling, L/P, Gearbox End"/>
    <x v="64"/>
    <s v="Y"/>
    <n v="1"/>
    <s v="Coupling, L/P, Gearbox End"/>
    <s v="Pump, Ladder*Shafting*Drive Shaft*Coupling (Drive Shaft)*Coupling, L/P, Gearbox End"/>
    <n v="1"/>
    <s v="103-04-16026"/>
    <s v="Gldd Dwg "/>
    <n v="1"/>
  </r>
  <r>
    <s v="0103"/>
    <x v="3"/>
    <n v="55017"/>
    <s v="Pump, Ladder*Shafting*Pump Bearing Assembly (L/P)*Ladder Pump Shaft Assembly (Complete)"/>
    <x v="64"/>
    <s v="Y"/>
    <n v="1"/>
    <s v="Ladder Pump Shaft Assembly (Complete)"/>
    <s v="Pump, Ladder*Shafting*Pump Bearing Assembly (L/P)*Ladder Pump Shaft Assembly (Complete)"/>
    <n v="0"/>
    <s v="A-6395"/>
    <s v="SPI/MPMW"/>
    <n v="1"/>
  </r>
  <r>
    <s v="0103"/>
    <x v="3"/>
    <n v="55033"/>
    <s v="Pump, Ladder*Ladder Pump (Universal)*Stuffing Box (L/P)*Sleeve, Shaft"/>
    <x v="64"/>
    <s v="Y"/>
    <n v="1"/>
    <s v="Sleeve, Shaft"/>
    <s v="Pump, Ladder*Ladder Pump (Universal)*Stuffing Box (L/P)*Sleeve, Shaft"/>
    <n v="2"/>
    <s v="B-6282"/>
    <s v="SPI/MPMW"/>
    <n v="1"/>
  </r>
  <r>
    <s v="0103"/>
    <x v="3"/>
    <n v="55056"/>
    <s v="Pump, Ladder*Shafting*Pump Bearing Assembly (L/P)*Bearing, Thrust, L/P Bearing Asssembly"/>
    <x v="64"/>
    <s v="Y"/>
    <n v="1"/>
    <s v="Bearing, Thrust, L/P Bearing Asssembly"/>
    <s v="Pump, Ladder*Shafting*Pump Bearing Assembly (L/P)*Bearing, Thrust, L/P Bearing Asssembly"/>
    <n v="0"/>
    <s v="29468"/>
    <s v="SKF"/>
    <n v="1"/>
  </r>
  <r>
    <s v="0103"/>
    <x v="3"/>
    <n v="55059"/>
    <s v="Pump, Ladder*Shafting*Pump Bearing Assembly (L/P)*Carrier, Bearing, L/P Bearing Assembly"/>
    <x v="64"/>
    <s v="Y"/>
    <n v="1"/>
    <s v="Carrier, Bearing, L/P Bearing Assembly"/>
    <s v="Pump, Ladder*Shafting*Pump Bearing Assembly (L/P)*Carrier, Bearing, L/P Bearing Assembly"/>
    <n v="0"/>
    <s v="B-5151"/>
    <s v="SPI/MPMW"/>
    <n v="1"/>
  </r>
  <r>
    <s v="0103"/>
    <x v="3"/>
    <n v="55061"/>
    <s v="Pump, Ladder*Shafting*Pump Bearing Assembly (L/P)*End Cover, Coupling End"/>
    <x v="64"/>
    <s v="Y"/>
    <n v="1"/>
    <s v="End Cover, Coupling End"/>
    <s v="Pump, Ladder*Shafting*Pump Bearing Assembly (L/P)*End Cover, Coupling End"/>
    <n v="0"/>
    <s v="D-2017"/>
    <s v="SPI/MPMW"/>
    <n v="1"/>
  </r>
  <r>
    <s v="0103"/>
    <x v="3"/>
    <n v="55062"/>
    <s v="Pump, Ladder*Shafting*Pump Bearing Assembly (L/P)*End Cover, Pump End"/>
    <x v="64"/>
    <s v="Y"/>
    <n v="1"/>
    <s v="End Cover, Pump End"/>
    <s v="Pump, Ladder*Shafting*Pump Bearing Assembly (L/P)*End Cover, Pump End"/>
    <n v="1"/>
    <s v="D-2016"/>
    <s v="SPI/MPMW"/>
    <n v="1"/>
  </r>
  <r>
    <s v="0103"/>
    <x v="3"/>
    <n v="56058"/>
    <s v="Pump, Ladder*Ladder Pump (Universal)*Stuffing Box (L/P)*Stuffing Box, Split, Ladder Pump"/>
    <x v="64"/>
    <s v="Y"/>
    <n v="1"/>
    <s v="Stuffing Box, Split, Ladder Pump"/>
    <s v="Pump, Ladder*Ladder Pump (Universal)*Stuffing Box (L/P)*Stuffing Box, Split, Ladder Pump"/>
    <n v="1"/>
    <s v="A-4914"/>
    <s v="SPI/MPMW"/>
    <n v="1"/>
  </r>
  <r>
    <s v="0103"/>
    <x v="3"/>
    <n v="7500000179"/>
    <s v="Generators*Main Genset (Port)*Main Gen Engine Port (EMD 645)*Water Pumps (WP1-WP2)*Water Pump, Right Bank (L20-645 Turbo)"/>
    <x v="4"/>
    <s v="Y"/>
    <n v="2"/>
    <s v="Water Pump, Right Bank (L20-645 Turbo)"/>
    <s v="Generators*Main Genset (Port)*Main Gen Engine Port (EMD 645)*Water Pumps (WP1-WP2)*Water Pump, Right Bank (L20-645 Turbo)"/>
    <n v="1"/>
    <s v="9530406-MP"/>
    <s v="EMD (MSI)"/>
    <n v="2"/>
  </r>
  <r>
    <s v="0103"/>
    <x v="3"/>
    <n v="7500000194"/>
    <s v="Pump, Dredge (Port)- OLD*Dredge Pump Engine (Port)*Starting System*Valve, Air Start, Two Way*mrg-Solenoid, Used For Air Starters"/>
    <x v="76"/>
    <s v="Y"/>
    <n v="2"/>
    <s v="mrg-Solenoid, Used For Air Starters"/>
    <s v="Pump, Dredge (Port)- OLD*Dredge Pump Engine (Port)*Starting System*Valve, Air Start, Two Way*mrg-Solenoid, Used For Air Starters"/>
    <n v="1"/>
    <s v="712-000"/>
    <s v="SALEM"/>
    <n v="4"/>
  </r>
  <r>
    <s v="0103"/>
    <x v="3"/>
    <n v="7500006158"/>
    <s v="Cutter Machinery*Thrust Bearing*Coupling (Gearbox To Thrust Shaft)*Stud, Thrust Shaft Coupling"/>
    <x v="66"/>
    <s v="Y"/>
    <n v="1"/>
    <s v="Stud, Thrust Shaft Coupling"/>
    <s v="Cutter Machinery*Thrust Bearing*Coupling (Gearbox To Thrust Shaft)*Stud, Thrust Shaft Coupling"/>
    <n v="4"/>
    <s v="110-02-1002"/>
    <s v="GLDD DWG"/>
    <n v="1"/>
  </r>
  <r>
    <s v="0103"/>
    <x v="3"/>
    <n v="7500006164"/>
    <s v="Cutter Machinery*Thrust Bearing*Bushing, Brass"/>
    <x v="66"/>
    <s v="Y"/>
    <n v="1"/>
    <s v="Bushing, Brass"/>
    <s v="Cutter Machinery*Thrust Bearing*Bushing, Brass"/>
    <n v="2"/>
    <s v="B-5687"/>
    <s v="MPMW Dwg "/>
    <n v="1"/>
  </r>
  <r>
    <s v="0103"/>
    <x v="3"/>
    <n v="7500006226"/>
    <s v="Pump, Ladder*Ladder Pump (Universal)*Washer, Copper, Impeller"/>
    <x v="64"/>
    <s v="Y"/>
    <n v="2"/>
    <s v="Washer, Copper, Impeller"/>
    <s v="Pump, Ladder*Ladder Pump (Universal)*Washer, Copper, Impeller"/>
    <n v="3"/>
    <s v="B-6281"/>
    <s v="SPI/MPMW"/>
    <n v="1"/>
  </r>
  <r>
    <s v="0103"/>
    <x v="3"/>
    <n v="8800000361"/>
    <s v="Pump, Dredge (Port)- OLD*Dredge Pump Engine (Port)*Crankcase/Oil Pan/Block*Flywheel, Marine Hd (Boosters)*Gear, Ring (Split)"/>
    <x v="76"/>
    <s v="Y"/>
    <n v="1"/>
    <s v="Gear, Ring (Split)"/>
    <s v="Pump, Dredge (Port)- OLD*Dredge Pump Engine (Port)*Crankcase/Oil Pan/Block*Flywheel, Marine Hd (Boosters)*Gear, Ring (Split)"/>
    <n v="0"/>
    <s v="8356275-S"/>
    <s v="EMD (MSI)"/>
    <n v="4"/>
  </r>
  <r>
    <s v="0103"/>
    <x v="3"/>
    <n v="8800000370"/>
    <s v="Cutter Machinery*Cutter Gearbox*Coupling, Motor / Red. Gear (FALK 1160)*Hub,  Motor Side ,6-3/4&quot; Bore"/>
    <x v="66"/>
    <s v="Y"/>
    <n v="1"/>
    <s v="Hub,  Motor Side ,6-3/4&quot; Bore"/>
    <s v="Cutter Machinery*Cutter Gearbox*Coupling, Motor / Red. Gear (FALK 1160)*Hub,  Motor Side ,6-3/4&quot; Bore"/>
    <n v="0"/>
    <m/>
    <m/>
    <n v="1"/>
  </r>
  <r>
    <s v="0103"/>
    <x v="3"/>
    <n v="8800000375"/>
    <s v="Cutter Machinery*Cutter Gearbox*Coupling, Motor / Red. Gear (FALK 1160)*Spacer (T35), Hub"/>
    <x v="66"/>
    <s v="Y"/>
    <n v="1"/>
    <s v="Spacer (T35), Hub"/>
    <s v="Cutter Machinery*Cutter Gearbox*Coupling, Motor / Red. Gear (FALK 1160)*Spacer (T35), Hub"/>
    <n v="0"/>
    <m/>
    <m/>
    <n v="1"/>
  </r>
  <r>
    <s v="0103"/>
    <x v="3"/>
    <n v="8800000376"/>
    <s v="Cutter Machinery*Cutter Gearbox*Coupling, Motor / Red. Gear (FALK 1160)*Hub, Gearbox Side (4.996&quot; Bore)"/>
    <x v="66"/>
    <s v="Y"/>
    <n v="1"/>
    <s v="Hub, Gearbox Side (4.996&quot; Bore)"/>
    <s v="Cutter Machinery*Cutter Gearbox*Coupling, Motor / Red. Gear (FALK 1160)*Hub, Gearbox Side (4.996&quot; Bore)"/>
    <n v="0"/>
    <m/>
    <m/>
    <n v="1"/>
  </r>
  <r>
    <s v="0103"/>
    <x v="3"/>
    <n v="9700000017"/>
    <s v="Cutter Machinery*Cutter Gearbox*Coupling, Motor / Red. Gear (FALK 1160)*Grid, Steelflex,1160T35"/>
    <x v="66"/>
    <s v="Y"/>
    <n v="2"/>
    <s v="Grid, Steelflex,1160T35"/>
    <s v="Cutter Machinery*Cutter Gearbox*Coupling, Motor / Red. Gear (FALK 1160)*Grid, Steelflex,1160T35"/>
    <n v="4"/>
    <s v="1160T35"/>
    <s v="Falk"/>
    <n v="1"/>
  </r>
  <r>
    <s v="0103"/>
    <x v="3"/>
    <n v="11500002899"/>
    <s v="Pump, Dredge (Stbd)-OLD*Dredge Pump (#2) (Stbd)*Pumpshell (HP) (TBC-84)"/>
    <x v="74"/>
    <s v="Y"/>
    <n v="1"/>
    <s v="Pumpshell (HP) (TBC-84)"/>
    <s v="Pump, Dredge (Stbd)-OLD*Dredge Pump (#2) (Stbd)*Pumpshell (HP) (TBC-84)"/>
    <n v="0"/>
    <s v="6392C"/>
    <s v="GIW"/>
    <n v="2"/>
  </r>
  <r>
    <s v="0103"/>
    <x v="3"/>
    <n v="11500002902"/>
    <s v="Pump, Dredge (Stbd)-OLD*Dredge Pump (#2) (Stbd)*Liner, Engine Side"/>
    <x v="74"/>
    <s v="Y"/>
    <n v="2"/>
    <s v="Liner, Engine Side"/>
    <s v="Pump, Dredge (Stbd)-OLD*Dredge Pump (#2) (Stbd)*Liner, Engine Side"/>
    <n v="1"/>
    <s v="AC-1868"/>
    <s v="MPMW Dwg "/>
    <n v="2"/>
  </r>
  <r>
    <s v="0103"/>
    <x v="3"/>
    <n v="11500002903"/>
    <s v="Pump, Dredge (Stbd)-OLD*Dredge Pump (#2) (Stbd)*Liner, Throat"/>
    <x v="74"/>
    <s v="Y"/>
    <n v="2"/>
    <s v="Liner, Throat"/>
    <s v="Pump, Dredge (Stbd)-OLD*Dredge Pump (#2) (Stbd)*Liner, Throat"/>
    <n v="4"/>
    <s v="1C-2082"/>
    <s v="MPMW Dwg "/>
    <n v="2"/>
  </r>
  <r>
    <s v="0103"/>
    <x v="3"/>
    <n v="11500002905"/>
    <s v="Pump, Dredge (Stbd)-OLD*Dredge Pump (#2) (Stbd)*Door, Engine Side (HP)"/>
    <x v="74"/>
    <s v="Y"/>
    <n v="1"/>
    <s v="Door, Engine Side (HP)"/>
    <s v="Pump, Dredge (Stbd)-OLD*Dredge Pump (#2) (Stbd)*Door, Engine Side (HP)"/>
    <n v="1"/>
    <s v="A-5811"/>
    <s v="MPMW Dwg "/>
    <n v="2"/>
  </r>
  <r>
    <s v="0103"/>
    <x v="3"/>
    <n v="11500002920"/>
    <s v="Pump, Dredge (Stbd)-OLD*Dredge Pump (#2) (Stbd)*Liner, Throat*O-Ring, Throat Liner"/>
    <x v="74"/>
    <s v="Y"/>
    <n v="5"/>
    <s v="O-Ring, Throat Liner"/>
    <s v="Pump, Dredge (Stbd)-OLD*Dredge Pump (#2) (Stbd)*Liner, Throat*O-Ring, Throat Liner"/>
    <n v="7"/>
    <s v="7720P-08"/>
    <s v="GIW"/>
    <n v="2"/>
  </r>
  <r>
    <s v="0103"/>
    <x v="3"/>
    <n v="11500002926"/>
    <s v="Pump, Dredge (Stbd)-OLD*Dredge Pump (#2) (Stbd)*Hardware &amp; Gaskets*O-Ring, Outer Liner O.D."/>
    <x v="74"/>
    <s v="Y"/>
    <n v="5"/>
    <s v="O-Ring, Outer Liner O.D."/>
    <s v="Pump, Dredge (Stbd)-OLD*Dredge Pump (#2) (Stbd)*Hardware &amp; Gaskets*O-Ring, Outer Liner O.D."/>
    <n v="5"/>
    <s v="7719P-20"/>
    <s v="MPMW Dwg "/>
    <n v="2"/>
  </r>
  <r>
    <s v="0103"/>
    <x v="3"/>
    <n v="11500002927"/>
    <s v="Pump, Dredge (Stbd)-OLD*Dredge Pump (#2) (Stbd)*Hardware &amp; Gaskets*O-Ring, Back Door O.D."/>
    <x v="74"/>
    <s v="Y"/>
    <n v="5"/>
    <s v="O-Ring, Back Door O.D."/>
    <s v="Pump, Dredge (Stbd)-OLD*Dredge Pump (#2) (Stbd)*Hardware &amp; Gaskets*O-Ring, Back Door O.D."/>
    <n v="1"/>
    <s v="7739P-03"/>
    <s v="MPMW Dwg "/>
    <n v="2"/>
  </r>
  <r>
    <s v="0103"/>
    <x v="3"/>
    <n v="11500002928"/>
    <s v="Pump, Dredge (Stbd)-OLD*Dredge Pump (#2) (Stbd)*Hardware &amp; Gaskets*O-Ring, Back Door I.D."/>
    <x v="74"/>
    <s v="Y"/>
    <n v="5"/>
    <s v="O-Ring, Back Door I.D."/>
    <s v="Pump, Dredge (Stbd)-OLD*Dredge Pump (#2) (Stbd)*Hardware &amp; Gaskets*O-Ring, Back Door I.D."/>
    <n v="0"/>
    <s v="7743P-01"/>
    <s v="MPMW Dwg "/>
    <n v="2"/>
  </r>
  <r>
    <s v="0103"/>
    <x v="3"/>
    <n v="11500002943"/>
    <s v="Pump, Dredge (Stbd)-OLD*Dredge Pump (#2) (Stbd)*Hardware &amp; Gaskets*Washer, Spring (BV)"/>
    <x v="74"/>
    <s v="Y"/>
    <n v="20"/>
    <s v="Washer, Spring (BV)"/>
    <s v="Pump, Dredge (Stbd)-OLD*Dredge Pump (#2) (Stbd)*Hardware &amp; Gaskets*Washer, Spring (BV)"/>
    <n v="0"/>
    <s v="9705P-14"/>
    <s v="GIW"/>
    <n v="2"/>
  </r>
  <r>
    <s v="0103"/>
    <x v="3"/>
    <n v="13200000164"/>
    <s v="Generators*Main Genset (Port)*Main Gen Engine Port (EMD 645)*Lube Oil Scavenging Pump (SP2)*Lube Oil Scavenging Pump (20-645)*Coupling, Fuel Pump"/>
    <x v="4"/>
    <s v="Y"/>
    <n v="2"/>
    <s v="Coupling, Fuel Pump"/>
    <s v="Generators*Main Genset (Port)*Main Gen Engine Port (EMD 645)*Lube Oil Scavenging Pump (SP2)*Lube Oil Scavenging Pump (20-645)*Coupling, Fuel Pump"/>
    <n v="3"/>
    <s v="8077938"/>
    <s v="EMD (MSI)"/>
    <n v="2"/>
  </r>
  <r>
    <s v="0103"/>
    <x v="3"/>
    <n v="13200000851"/>
    <s v="Generators*Main Genset (Port)*Main Gen Engine Port (EMD 645)*Water Pumps (WP1-WP2)*Water Pump, Left Bank (L20-645 Turbo)"/>
    <x v="4"/>
    <s v="Y"/>
    <n v="2"/>
    <s v="Water Pump, Left Bank (L20-645 Turbo)"/>
    <s v="Generators*Main Genset (Port)*Main Gen Engine Port (EMD 645)*Water Pumps (WP1-WP2)*Water Pump, Left Bank (L20-645 Turbo)"/>
    <n v="0"/>
    <s v="9530407-MP"/>
    <s v="EMD (MSI)"/>
    <n v="2"/>
  </r>
  <r>
    <s v="0103"/>
    <x v="3"/>
    <n v="13200001003"/>
    <s v="Pump, Dredge (Port)- OLD*Dredge Pump Engine (Port)*Starting System*Air Starter, Left Hand Engine"/>
    <x v="76"/>
    <s v="Y"/>
    <n v="1"/>
    <s v="Air Starter, Left Hand Engine"/>
    <s v="Pump, Dredge (Port)- OLD*Dredge Pump Engine (Port)*Starting System*Air Starter, Left Hand Engine"/>
    <n v="1"/>
    <s v="IR 150BMPD88R54-020-MP"/>
    <s v="DIESEL PARTS SALES &amp; SERVICE, INC."/>
    <n v="4"/>
  </r>
  <r>
    <s v="0103"/>
    <x v="3"/>
    <n v="13200001392"/>
    <s v="Cutter Machinery*Thrust Bearing*Thrust Bearing Assembly (Complete)"/>
    <x v="66"/>
    <s v="Y"/>
    <n v="1"/>
    <s v="Thrust Bearing Assembly (Complete)"/>
    <s v="Cutter Machinery*Thrust Bearing*Thrust Bearing Assembly (Complete)"/>
    <n v="1"/>
    <s v="A-5394"/>
    <s v="MPMW Dwg "/>
    <n v="1"/>
  </r>
  <r>
    <s v="0103"/>
    <x v="3"/>
    <n v="13200002630"/>
    <s v="Pump, Dredge (Stbd)-OLD*Dredge Pump Gearbox (Stbd)*Clutch (32VC1000)*Gasket, Air Connection, Clutch"/>
    <x v="74"/>
    <s v="Y"/>
    <n v="4"/>
    <s v="Gasket, Air Connection, Clutch"/>
    <s v="Pump, Dredge (Stbd)-OLD*Dredge Pump Gearbox (Stbd)*Clutch (32VC1000)*Gasket, Air Connection, Clutch"/>
    <n v="10"/>
    <s v="412324-03"/>
    <s v="EATON AIRFLEX"/>
    <n v="2"/>
  </r>
  <r>
    <s v="0103"/>
    <x v="3"/>
    <n v="13200002637"/>
    <s v="Pump, Dredge (Stbd)-OLD*Dredge Pump Gearbox (Stbd)*Clutch (32VC1000)*Rotary Air Seal, 1&quot;"/>
    <x v="74"/>
    <s v="Y"/>
    <n v="2"/>
    <s v="Rotary Air Seal, 1&quot;"/>
    <s v="Pump, Dredge (Stbd)-OLD*Dredge Pump Gearbox (Stbd)*Clutch (32VC1000)*Rotary Air Seal, 1&quot;"/>
    <n v="4"/>
    <s v="145488AB"/>
    <s v="EATON AIRFLEX"/>
    <n v="2"/>
  </r>
  <r>
    <s v="0103"/>
    <x v="3"/>
    <n v="14400000081"/>
    <s v="Pump, Dredge (Port)- OLD*Dredge Pump Engine (Port)*Starting System*Valve, Air Start, Two Way"/>
    <x v="76"/>
    <s v="Y"/>
    <n v="2"/>
    <s v="Valve, Air Start, Two Way"/>
    <s v="Pump, Dredge (Port)- OLD*Dredge Pump Engine (Port)*Starting System*Valve, Air Start, Two Way"/>
    <n v="0"/>
    <s v="8393335"/>
    <s v="EMD (MSI)"/>
    <n v="4"/>
  </r>
  <r>
    <s v="0103"/>
    <x v="3"/>
    <n v="14400000223"/>
    <s v="Pump, Dredge (Port)- OLD*Dredge Pump Engine (Port)*Crankcase/Oil Pan/Block*Manifold, Water*Gasket, Pump To Elbow"/>
    <x v="76"/>
    <s v="Y"/>
    <n v="2"/>
    <s v="Gasket, Pump To Elbow"/>
    <s v="Pump, Dredge (Port)- OLD*Dredge Pump Engine (Port)*Crankcase/Oil Pan/Block*Manifold, Water*Gasket, Pump To Elbow"/>
    <n v="18"/>
    <s v="40040018"/>
    <s v="EMD (MSI)"/>
    <n v="4"/>
  </r>
  <r>
    <s v="0103"/>
    <x v="3"/>
    <n v="14400000242"/>
    <s v="Pump, Dredge (Port)- OLD*Dredge Pump Engine (Port)*Crankcase/Oil Pan/Block*Top Deck Cover, Flame Arrestor*Kit, Seal, Valve Cover"/>
    <x v="76"/>
    <s v="Y"/>
    <n v="20"/>
    <s v="Kit, Seal, Valve Cover"/>
    <s v="Pump, Dredge (Port)- OLD*Dredge Pump Engine (Port)*Crankcase/Oil Pan/Block*Top Deck Cover, Flame Arrestor*Kit, Seal, Valve Cover"/>
    <n v="0"/>
    <s v="9087072"/>
    <s v="EMD (MSI)"/>
    <n v="4"/>
  </r>
  <r>
    <s v="0103"/>
    <x v="3"/>
    <n v="14500000348"/>
    <s v="Generators*Main Genset (Port)*Main Gen Engine Port (EMD 645)*Power Packs (PP4)*Fork rod Pack"/>
    <x v="4"/>
    <s v="Y"/>
    <n v="2"/>
    <s v="Fork rod Pack"/>
    <s v="Generators*Main Genset (Port)*Main Gen Engine Port (EMD 645)*Power Packs (PP4)*Fork rod Pack"/>
    <n v="3"/>
    <s v="40122753-MP"/>
    <s v="EMD"/>
    <n v="2"/>
  </r>
  <r>
    <s v="0103"/>
    <x v="3"/>
    <n v="14500000349"/>
    <s v="Generators*Main Genset (Port)*Main Gen Engine Port (EMD 645)*Power Packs (PP4)*Blade Rod Pack"/>
    <x v="4"/>
    <s v="Y"/>
    <n v="2"/>
    <s v="Blade Rod Pack"/>
    <s v="Generators*Main Genset (Port)*Main Gen Engine Port (EMD 645)*Power Packs (PP4)*Blade Rod Pack"/>
    <n v="2"/>
    <s v="40122754-MP"/>
    <s v="EMD"/>
    <n v="2"/>
  </r>
  <r>
    <s v="0103"/>
    <x v="3"/>
    <n v="14500000383"/>
    <s v="Generators*Main Genset (Port)*Main Gen Engine Port (EMD 645)*Turbo Charger (T2)*Turbocharger (L20-645)"/>
    <x v="4"/>
    <s v="Y"/>
    <n v="1"/>
    <s v="Turbocharger (L20-645)"/>
    <s v="Generators*Main Genset (Port)*Main Gen Engine Port (EMD 645)*Turbo Charger (T2)*Turbocharger (L20-645)"/>
    <n v="1"/>
    <s v="40108834"/>
    <s v="EMD (MSI)"/>
    <n v="4"/>
  </r>
  <r>
    <s v="0103"/>
    <x v="3"/>
    <n v="14500000412"/>
    <s v="Pump, Dredge (Port)- OLD*Dredge Pump Engine (Port)*Gear, Spring Drive, LH"/>
    <x v="76"/>
    <s v="Y"/>
    <n v="1"/>
    <s v="Gear, Spring Drive, LH"/>
    <s v="Pump, Dredge (Port)- OLD*Dredge Pump Engine (Port)*Gear, Spring Drive, LH"/>
    <n v="2"/>
    <s v="9538149"/>
    <s v="EMD (MSI)"/>
    <n v="4"/>
  </r>
  <r>
    <s v="0103"/>
    <x v="3"/>
    <n v="14500000426"/>
    <s v="Generators*Main Genset (Port)*Main Gen Engine Port (EMD 645)*Lube Oil Scavenging Pump (SP2)*Lube Oil Scavenging Pump (20-645)"/>
    <x v="4"/>
    <s v="Y"/>
    <n v="1"/>
    <s v="Lube Oil Scavenging Pump (20-645)"/>
    <s v="Generators*Main Genset (Port)*Main Gen Engine Port (EMD 645)*Lube Oil Scavenging Pump (SP2)*Lube Oil Scavenging Pump (20-645)"/>
    <n v="0"/>
    <s v="8417074"/>
    <s v="EMD (MSI)"/>
    <n v="2"/>
  </r>
  <r>
    <s v="0103"/>
    <x v="3"/>
    <n v="26400000201"/>
    <s v="Cutter Machinery*Thrust Bearing*Spring, Cutter Thrust Bearing"/>
    <x v="66"/>
    <s v="Y"/>
    <n v="4"/>
    <s v="Spring, Cutter Thrust Bearing"/>
    <s v="Cutter Machinery*Thrust Bearing*Spring, Cutter Thrust Bearing"/>
    <n v="8"/>
    <s v="9-2006-21"/>
    <s v="DANLY"/>
    <n v="1"/>
  </r>
  <r>
    <s v="0103"/>
    <x v="3"/>
    <n v="27900000046"/>
    <s v="Pump, Dredge (Port)- OLD*Dredge Pump Engine (Port)*Crankcase/Oil Pan/Block*Manifold, Water*Gasket, Elbow To Manifold"/>
    <x v="76"/>
    <s v="Y"/>
    <n v="2"/>
    <s v="Gasket, Elbow To Manifold"/>
    <s v="Pump, Dredge (Port)- OLD*Dredge Pump Engine (Port)*Crankcase/Oil Pan/Block*Manifold, Water*Gasket, Elbow To Manifold"/>
    <n v="21"/>
    <s v="40040019"/>
    <s v="EMD (MSI)"/>
    <n v="4"/>
  </r>
  <r>
    <s v="0103"/>
    <x v="3"/>
    <n v="27900000142"/>
    <s v="Spud System*Walking Spud*Spud Hoist*Spud Clamps*Cylinder, Spud Clamp*Seal Kit, Spud Clamp Cylinder"/>
    <x v="73"/>
    <s v="Y"/>
    <n v="1"/>
    <s v="Seal Kit, Spud Clamp Cylinder"/>
    <s v="Spud System*Walking Spud*Spud Hoist*Spud Clamps*Cylinder, Spud Clamp*Seal Kit, Spud Clamp Cylinder"/>
    <n v="0"/>
    <s v="R905023446"/>
    <s v="BOSCH REXROTH"/>
    <n v="1"/>
  </r>
  <r>
    <s v="0103"/>
    <x v="3"/>
    <n v="27900000764"/>
    <s v="Pump, Dredge (Stbd)-OLD*Dredge Pump Gearbox (Stbd)*Clutch (32VC1000)*Drum, Eaton 32VC1000 Clutch"/>
    <x v="74"/>
    <s v="Y"/>
    <n v="1"/>
    <s v="Drum, Eaton 32VC1000 Clutch"/>
    <s v="Pump, Dredge (Stbd)-OLD*Dredge Pump Gearbox (Stbd)*Clutch (32VC1000)*Drum, Eaton 32VC1000 Clutch"/>
    <n v="0"/>
    <s v="410824"/>
    <s v="EATON AIRFLEX"/>
    <n v="2"/>
  </r>
  <r>
    <s v="0103"/>
    <x v="3"/>
    <n v="27900002276"/>
    <s v="Pump, Dredge (Port)- OLD*Dredge Pump Engine (Port)*Crankcase/Oil Pan/Block*Switch, Crankcase Pressure"/>
    <x v="76"/>
    <s v="Y"/>
    <n v="2"/>
    <s v="Switch, Crankcase Pressure"/>
    <s v="Pump, Dredge (Port)- OLD*Dredge Pump Engine (Port)*Crankcase/Oil Pan/Block*Switch, Crankcase Pressure"/>
    <n v="1"/>
    <s v="8362040"/>
    <s v="EMD (MSI)"/>
    <n v="4"/>
  </r>
  <r>
    <s v="0103"/>
    <x v="3"/>
    <n v="32400000078"/>
    <s v="Pump, Dredge (Port)- OLD*Dredge Pump Engine (Port)*Crankcase/Oil Pan/Block*Manifold, Water*Gasket, Water Jumper"/>
    <x v="76"/>
    <s v="Y"/>
    <n v="10"/>
    <s v="Gasket, Water Jumper"/>
    <s v="Pump, Dredge (Port)- OLD*Dredge Pump Engine (Port)*Crankcase/Oil Pan/Block*Manifold, Water*Gasket, Water Jumper"/>
    <n v="0"/>
    <s v="8142354"/>
    <s v="EMD"/>
    <n v="4"/>
  </r>
  <r>
    <s v="0103"/>
    <x v="3"/>
    <n v="32400000287"/>
    <s v="Cutter Machinery*Thrust Bearing*Seal, Labyrinth"/>
    <x v="66"/>
    <s v="Y"/>
    <n v="1"/>
    <s v="Seal, Labyrinth"/>
    <s v="Cutter Machinery*Thrust Bearing*Seal, Labyrinth"/>
    <n v="4"/>
    <s v="YSKD-1799-S02"/>
    <s v="SMALLEY"/>
    <n v="1"/>
  </r>
  <r>
    <s v="0103"/>
    <x v="3"/>
    <n v="45000001315"/>
    <s v="Pump, Ladder*Shafting*Pump Bearing Assembly (L/P)*End Cover, Bearing"/>
    <x v="64"/>
    <s v="Y"/>
    <n v="1"/>
    <s v="End Cover, Bearing"/>
    <s v="Pump, Ladder*Shafting*Pump Bearing Assembly (L/P)*End Cover, Bearing"/>
    <n v="0"/>
    <s v="C-2423"/>
    <s v="SPI/MPMW"/>
    <n v="1"/>
  </r>
  <r>
    <s v="0103"/>
    <x v="3"/>
    <n v="45000001327"/>
    <s v="Pump, Ladder*Ladder Pump (Universal)*Stuffing Box (L/P)*Packing Gland, Split"/>
    <x v="64"/>
    <s v="Y"/>
    <n v="1"/>
    <s v="Packing Gland, Split"/>
    <s v="Pump, Ladder*Ladder Pump (Universal)*Stuffing Box (L/P)*Packing Gland, Split"/>
    <n v="4"/>
    <s v="D-1847"/>
    <s v="SPI/MPMW"/>
    <n v="1"/>
  </r>
  <r>
    <s v="0103"/>
    <x v="3"/>
    <n v="45000001328"/>
    <s v="Pump, Ladder*Ladder Pump (Universal)*Stuffing Box (L/P)*Water Ring, Split, Ladder Pump"/>
    <x v="64"/>
    <s v="Y"/>
    <n v="2"/>
    <s v="Water Ring, Split, Ladder Pump"/>
    <s v="Pump, Ladder*Ladder Pump (Universal)*Stuffing Box (L/P)*Water Ring, Split, Ladder Pump"/>
    <n v="3"/>
    <s v="D-1846"/>
    <s v="SPI/MPMW"/>
    <n v="1"/>
  </r>
  <r>
    <s v="0103"/>
    <x v="3"/>
    <n v="45000001365"/>
    <s v="Electrical*PLC (Dredge System)*Power Supply"/>
    <x v="61"/>
    <s v="Y"/>
    <n v="1"/>
    <s v="Power Supply"/>
    <s v="Electrical*PLC (Dredge System)*Power Supply"/>
    <n v="1"/>
    <s v="SDN-10-24-100P"/>
    <s v="SOLA"/>
    <n v="1"/>
  </r>
  <r>
    <s v="0103"/>
    <x v="3"/>
    <n v="45000006602"/>
    <s v="Electrical*PLC (Dredge System)*Input Module 6 RTD"/>
    <x v="61"/>
    <s v="Y"/>
    <n v="1"/>
    <s v="Input Module 6 RTD"/>
    <s v="Electrical*PLC (Dredge System)*Input Module 6 RTD"/>
    <n v="0"/>
    <s v="PM6RTD-10 OHM COPPER"/>
    <s v="Procon Electronics Inc."/>
    <n v="1"/>
  </r>
  <r>
    <s v="0103"/>
    <x v="3"/>
    <n v="45000007922"/>
    <s v="Pump, Dredge (Port)- OLD*Dredge Pump Engine (Port)*Crankcase/Oil Pan/Block*Manifold, Water*Sleeve, Water Manifold"/>
    <x v="76"/>
    <s v="Y"/>
    <n v="2"/>
    <s v="Sleeve, Water Manifold"/>
    <s v="Pump, Dredge (Port)- OLD*Dredge Pump Engine (Port)*Crankcase/Oil Pan/Block*Manifold, Water*Sleeve, Water Manifold"/>
    <n v="6"/>
    <s v="8433263"/>
    <s v="EMD (MSI)"/>
    <n v="4"/>
  </r>
  <r>
    <s v="0103"/>
    <x v="3"/>
    <n v="45000010710"/>
    <s v="Production Instrumentation/Monitoring*Production Monitoring*Sensor, Ladder Angle"/>
    <x v="75"/>
    <s v="Y"/>
    <n v="1"/>
    <s v="Sensor, Ladder Angle"/>
    <s v="Production Instrumentation/Monitoring*Production Monitoring*Sensor, Ladder Angle"/>
    <n v="0"/>
    <s v="ATV1-21411"/>
    <s v="IHC"/>
    <n v="1"/>
  </r>
  <r>
    <s v="0103"/>
    <x v="3"/>
    <n v="45000014508"/>
    <s v="Cutter Machinery*Canister*Heat Exchanger Port Tandem (Hunt)*Cooling Unit, Tandem"/>
    <x v="66"/>
    <s v="Y"/>
    <n v="1"/>
    <s v="Cooling Unit, Tandem"/>
    <s v="Cutter Machinery*Canister*Heat Exchanger Port Tandem (Hunt)*Cooling Unit, Tandem"/>
    <n v="0"/>
    <s v="3160GO2"/>
    <s v="HUNT ENGINE"/>
    <n v="2"/>
  </r>
  <r>
    <s v="0103"/>
    <x v="3"/>
    <n v="45000014514"/>
    <s v="Cutter Machinery*Canister*Heat Exchanger Port Tandem (Hunt)*Heat Exchanger"/>
    <x v="66"/>
    <s v="Y"/>
    <n v="1"/>
    <s v="Heat Exchanger"/>
    <s v="Cutter Machinery*Canister*Heat Exchanger Port Tandem (Hunt)*Heat Exchanger"/>
    <n v="2"/>
    <s v="2010C"/>
    <s v="HUNT ENGINE"/>
    <n v="2"/>
  </r>
  <r>
    <s v="0103"/>
    <x v="3"/>
    <n v="45000015456"/>
    <s v="Generators*Main Genset (Port)*Main Gen Engine Port (EMD 645)*Governor*Actuator, UG"/>
    <x v="4"/>
    <s v="Y"/>
    <n v="1"/>
    <s v="Actuator, UG"/>
    <s v="Generators*Main Genset (Port)*Main Gen Engine Port (EMD 645)*Governor*Actuator, UG"/>
    <n v="0"/>
    <s v="A8251-769"/>
    <s v="WOODWARD GOVERN."/>
    <n v="2"/>
  </r>
  <r>
    <s v="0103"/>
    <x v="3"/>
    <n v="45000015458"/>
    <s v="Generators*Main Genset (Port)*Main Gen Engine Port (EMD 645)*Governor*Connector, UG Actuator"/>
    <x v="4"/>
    <s v="Y"/>
    <n v="1"/>
    <s v="Connector, UG Actuator"/>
    <s v="Generators*Main Genset (Port)*Main Gen Engine Port (EMD 645)*Governor*Connector, UG Actuator"/>
    <n v="1"/>
    <s v="203911"/>
    <s v="WOODWARD GOVERN."/>
    <n v="2"/>
  </r>
  <r>
    <s v="0103"/>
    <x v="3"/>
    <n v="45000016941"/>
    <s v="Electrical*MCC (Walking Spud)*Soft Starter, Spud Mcc"/>
    <x v="61"/>
    <s v="Y"/>
    <n v="1"/>
    <s v="Soft Starter, Spud Mcc"/>
    <s v="Electrical*MCC (Walking Spud)*Soft Starter, Spud Mcc"/>
    <n v="0"/>
    <s v="S801T30N3S"/>
    <s v="CUTLER HAMMER"/>
    <n v="1"/>
  </r>
  <r>
    <s v="0103"/>
    <x v="3"/>
    <n v="45000019006"/>
    <s v="Electrical*PLC (Dredge System)*CL 1756-A7 Rack"/>
    <x v="61"/>
    <s v="Y"/>
    <n v="1"/>
    <s v="CL 1756-A7 Rack"/>
    <s v="Electrical*PLC (Dredge System)*CL 1756-A7 Rack"/>
    <n v="1"/>
    <s v="1756-A7"/>
    <s v="ALLEN-BRADLEY"/>
    <n v="1"/>
  </r>
  <r>
    <s v="0103"/>
    <x v="3"/>
    <n v="45000019008"/>
    <s v="Electrical*PLC (Dredge System)*CL 1756-A13 Rack"/>
    <x v="61"/>
    <s v="Y"/>
    <n v="1"/>
    <s v="CL 1756-A13 Rack"/>
    <s v="Electrical*PLC (Dredge System)*CL 1756-A13 Rack"/>
    <n v="1"/>
    <s v="1756-A13"/>
    <s v="ENGLEWOOD ELECTRICAL SUPPLY"/>
    <n v="1"/>
  </r>
  <r>
    <s v="0103"/>
    <x v="3"/>
    <n v="45000019009"/>
    <s v="Electrical*PLC (Dredge System)*CL 1756-PB75 Power Supply"/>
    <x v="61"/>
    <s v="Y"/>
    <n v="1"/>
    <s v="CL 1756-PB75 Power Supply"/>
    <s v="Electrical*PLC (Dredge System)*CL 1756-PB75 Power Supply"/>
    <n v="2"/>
    <s v="1756-PB75"/>
    <s v="ALLEN-BRADLEY"/>
    <n v="1"/>
  </r>
  <r>
    <s v="0103"/>
    <x v="3"/>
    <n v="45000019010"/>
    <s v="Electrical*PLC (Dredge System)*Cl 1756-L61 Processor Mod"/>
    <x v="61"/>
    <s v="Y"/>
    <n v="1"/>
    <s v="Cl 1756-L61 Processor Mod"/>
    <s v="Electrical*PLC (Dredge System)*Cl 1756-L61 Processor Mod"/>
    <n v="1"/>
    <s v="1756-L61"/>
    <s v="ENGLEWOOD ELECTRICAL SUPPLY"/>
    <n v="1"/>
  </r>
  <r>
    <s v="0103"/>
    <x v="3"/>
    <n v="45000019011"/>
    <s v="Electrical*PLC (Dredge System)*Cl 1756-En2t Ether Net Mod"/>
    <x v="61"/>
    <s v="Y"/>
    <n v="1"/>
    <s v="Cl 1756-En2t Ether Net Mod"/>
    <s v="Electrical*PLC (Dredge System)*Cl 1756-En2t Ether Net Mod"/>
    <n v="1"/>
    <s v="1756-ENT2"/>
    <s v="ENGLEWOOD ELECTRICAL SUPPLY"/>
    <n v="1"/>
  </r>
  <r>
    <s v="0103"/>
    <x v="3"/>
    <n v="45000019012"/>
    <s v="Electrical*PLC (Dredge System)*Cl 1756-Cnbr Control Net Mod"/>
    <x v="61"/>
    <s v="Y"/>
    <n v="1"/>
    <s v="Cl 1756-Cnbr Control Net Mod"/>
    <s v="Electrical*PLC (Dredge System)*Cl 1756-Cnbr Control Net Mod"/>
    <n v="1"/>
    <s v="1756-CNBR"/>
    <s v="ENGLEWOOD ELECTRICAL SUPPLY"/>
    <n v="1"/>
  </r>
  <r>
    <s v="0103"/>
    <x v="3"/>
    <n v="45000019013"/>
    <s v="Electrical*PLC (Dredge System)*CL 1756-IF16 Analog In Mod"/>
    <x v="61"/>
    <s v="Y"/>
    <n v="1"/>
    <s v="CL 1756-IF16 Analog In Mod"/>
    <s v="Electrical*PLC (Dredge System)*CL 1756-IF16 Analog In Mod"/>
    <n v="2"/>
    <s v="1756-IF16"/>
    <s v="ENGLEWOOD ELECTRICAL SUPPLY"/>
    <n v="1"/>
  </r>
  <r>
    <s v="0103"/>
    <x v="3"/>
    <n v="45000019014"/>
    <s v="Electrical*PLC (Dredge System)*CL 1756-OF8 Analog Out Mod"/>
    <x v="61"/>
    <s v="Y"/>
    <n v="1"/>
    <s v="CL 1756-OF8 Analog Out Mod"/>
    <s v="Electrical*PLC (Dredge System)*CL 1756-OF8 Analog Out Mod"/>
    <n v="1"/>
    <s v="1756-OF8"/>
    <s v="ENGLEWOOD ELECTRICAL SUPPLY"/>
    <n v="1"/>
  </r>
  <r>
    <s v="0103"/>
    <x v="3"/>
    <n v="45000019015"/>
    <s v="Electrical*PLC (Dredge System)*6 CL 1756-IV32 10-30 VDC Input Mod"/>
    <x v="61"/>
    <s v="Y"/>
    <n v="1"/>
    <s v="6 CL 1756-IV32 10-30 VDC Input Mod"/>
    <s v="Electrical*PLC (Dredge System)*6 CL 1756-IV32 10-30 VDC Input Mod"/>
    <n v="1"/>
    <s v="1756-IV32"/>
    <s v="ENGLEWOOD ELECTRICAL SUPPLY"/>
    <n v="1"/>
  </r>
  <r>
    <s v="0103"/>
    <x v="3"/>
    <n v="45000019016"/>
    <s v="Electrical*PLC (Dredge System)*Cl 1756-OB16I10-30VDC Output Mod"/>
    <x v="61"/>
    <s v="Y"/>
    <n v="1"/>
    <s v="Cl 1756-OB16I10-30VDC Output Mod"/>
    <s v="Electrical*PLC (Dredge System)*Cl 1756-OB16I10-30VDC Output Mod"/>
    <n v="1"/>
    <s v="1756-OB16I"/>
    <s v="ENGLEWOOD ELECTRICAL SUPPLY"/>
    <n v="1"/>
  </r>
  <r>
    <s v="0103"/>
    <x v="3"/>
    <n v="45000019017"/>
    <s v="Electrical*PLC (Dredge System)*CL 1756-IA16 120 Vac Input Mod"/>
    <x v="61"/>
    <s v="Y"/>
    <n v="1"/>
    <s v="CL 1756-IA16 120 Vac Input Mod"/>
    <s v="Electrical*PLC (Dredge System)*CL 1756-IA16 120 Vac Input Mod"/>
    <n v="3"/>
    <s v="1756-IA16"/>
    <s v="ENGLEWOOD ELECTRICAL SUPPLY"/>
    <n v="1"/>
  </r>
  <r>
    <s v="0103"/>
    <x v="3"/>
    <n v="45000019018"/>
    <s v="Electrical*PLC (Dredge System)*CL 1786-TPS"/>
    <x v="61"/>
    <s v="Y"/>
    <n v="2"/>
    <s v="CL 1786-TPS"/>
    <s v="Electrical*PLC (Dredge System)*CL 1786-TPS"/>
    <n v="7"/>
    <s v="1786-TPS"/>
    <s v="ENGLEWOOD ELECTRICAL SUPPLY"/>
    <n v="1"/>
  </r>
  <r>
    <s v="0103"/>
    <x v="3"/>
    <n v="45000019938"/>
    <s v="Navigation/Communication*Search Light*Searchlight*Bulb, Searchlight"/>
    <x v="77"/>
    <s v="Y"/>
    <n v="1"/>
    <s v="Bulb, Searchlight"/>
    <s v="Navigation/Communication*Search Light*Searchlight*Bulb, Searchlight"/>
    <n v="3"/>
    <s v="CFX350"/>
    <s v="CARLISLE &amp; FINCH CO."/>
    <n v="1"/>
  </r>
  <r>
    <s v="0103"/>
    <x v="3"/>
    <n v="45000022808"/>
    <s v="Cutter Machinery*SCR Drive Port  (Cutter)*Control, SCR*SCR,Controller, Complete Assembly"/>
    <x v="66"/>
    <s v="Y"/>
    <n v="1"/>
    <s v="SCR,Controller, Complete Assembly"/>
    <s v="Cutter Machinery*SCR Drive Port  (Cutter)*Control, SCR*SCR,Controller, Complete Assembly"/>
    <n v="0"/>
    <s v="DC0001-2J00-C"/>
    <s v="AVTRON"/>
    <n v="4"/>
  </r>
  <r>
    <s v="0103"/>
    <x v="3"/>
    <n v="45000022810"/>
    <s v="Cutter Machinery*SCR Drive Port  (Cutter)*Control, SCR*Voltage Isolation Module"/>
    <x v="66"/>
    <s v="Y"/>
    <n v="1"/>
    <s v="Voltage Isolation Module"/>
    <s v="Cutter Machinery*SCR Drive Port  (Cutter)*Control, SCR*Voltage Isolation Module"/>
    <n v="3"/>
    <s v="A22056 REV.F"/>
    <s v="AVTRON"/>
    <n v="4"/>
  </r>
  <r>
    <s v="0103"/>
    <x v="3"/>
    <n v="45000023202"/>
    <s v="Electrical*PLC (Walking Spud)*Devicenet Scanner"/>
    <x v="61"/>
    <s v="Y"/>
    <n v="1"/>
    <s v="Devicenet Scanner"/>
    <s v="Electrical*PLC (Walking Spud)*Devicenet Scanner"/>
    <n v="4"/>
    <s v="1769-SDN"/>
    <s v="ALLEN- BRADLEY"/>
    <n v="1"/>
  </r>
  <r>
    <s v="0103"/>
    <x v="3"/>
    <n v="45000024275"/>
    <s v="Electrical*Main Switchboard*Circuit Breaker, 1200 Amp"/>
    <x v="61"/>
    <s v="Y"/>
    <n v="1"/>
    <s v="Circuit Breaker, 1200 Amp"/>
    <s v="Electrical*Main Switchboard*Circuit Breaker, 1200 Amp"/>
    <n v="1"/>
    <s v="50VCP-T25-1200A"/>
    <s v="CUTLTER HAMMER"/>
    <n v="1"/>
  </r>
  <r>
    <s v="0103"/>
    <x v="3"/>
    <n v="45000024583"/>
    <s v="Electrical*Main Switchboard*Power Management Module , Ge Multilin &gt;&gt;"/>
    <x v="61"/>
    <s v="Y"/>
    <n v="1"/>
    <s v="Power Management Module , Ge Multilin &gt;&gt;"/>
    <s v="Electrical*Main Switchboard*Power Management Module , Ge Multilin &gt;&gt;"/>
    <n v="4"/>
    <s v="489-P5-LO-A20-T"/>
    <s v="GE"/>
    <n v="1"/>
  </r>
  <r>
    <s v="0103"/>
    <x v="3"/>
    <n v="45000026007"/>
    <s v="Spud System*Walking Spud*Spud Hoist*Spud Lift Cylinder (Port)*Rod Seal, Spud Lift Cylinder"/>
    <x v="73"/>
    <s v="Y"/>
    <n v="2"/>
    <s v="Rod Seal, Spud Lift Cylinder"/>
    <s v="Spud System*Walking Spud*Spud Hoist*Spud Lift Cylinder (Port)*Rod Seal, Spud Lift Cylinder"/>
    <n v="0"/>
    <s v="R905000507"/>
    <s v="BOSCH REXROTH"/>
    <n v="2"/>
  </r>
  <r>
    <s v="0103"/>
    <x v="3"/>
    <n v="45000028869"/>
    <s v="Pump, Dredge (Stbd)-OLD*Dredge Pump (#2) (Stbd)*Stuffing Box (Floating)*Impeller Release Ring Kit (13&quot;)"/>
    <x v="74"/>
    <s v="Y"/>
    <n v="1"/>
    <s v="Impeller Release Ring Kit (13&quot;)"/>
    <s v="Pump, Dredge (Stbd)-OLD*Dredge Pump (#2) (Stbd)*Stuffing Box (Floating)*Impeller Release Ring Kit (13&quot;)"/>
    <n v="0"/>
    <s v="0902X (13.0 PLUG)"/>
    <s v="GIW"/>
    <n v="2"/>
  </r>
  <r>
    <s v="0103"/>
    <x v="3"/>
    <n v="45000031853"/>
    <s v="Pump, Ladder*Drive, Soft Start (L/P Motor)*Control Board, L/P Soft Start"/>
    <x v="64"/>
    <s v="Y"/>
    <n v="1"/>
    <s v="Control Board, L/P Soft Start"/>
    <s v="Pump, Ladder*Drive, Soft Start (L/P Motor)*Control Board, L/P Soft Start"/>
    <n v="1"/>
    <s v="BIPC450100-01"/>
    <s v="BENSHAW"/>
    <n v="1"/>
  </r>
  <r>
    <s v="0103"/>
    <x v="3"/>
    <n v="45000031854"/>
    <s v="Pump, Ladder*Drive, Soft Start (L/P Motor)*Divider Card, L/P Soft Start"/>
    <x v="64"/>
    <s v="Y"/>
    <n v="1"/>
    <s v="Divider Card, L/P Soft Start"/>
    <s v="Pump, Ladder*Drive, Soft Start (L/P Motor)*Divider Card, L/P Soft Start"/>
    <n v="3"/>
    <s v="BIPC-30032-01"/>
    <s v="BENSHAW"/>
    <n v="1"/>
  </r>
  <r>
    <s v="0103"/>
    <x v="3"/>
    <n v="45000031855"/>
    <s v="Pump, Ladder*Drive, Soft Start (L/P Motor)*Snubber Card, L/P Soft Start"/>
    <x v="64"/>
    <s v="Y"/>
    <n v="1"/>
    <s v="Snubber Card, L/P Soft Start"/>
    <s v="Pump, Ladder*Drive, Soft Start (L/P Motor)*Snubber Card, L/P Soft Start"/>
    <n v="3"/>
    <s v="BIPC-300052-01"/>
    <s v="BENSHAW"/>
    <n v="1"/>
  </r>
  <r>
    <s v="0103"/>
    <x v="3"/>
    <n v="45000031857"/>
    <s v="Pump, Ladder*Drive, Soft Start (L/P Motor)*Contactor, L/P Soft Start"/>
    <x v="64"/>
    <s v="Y"/>
    <n v="1"/>
    <s v="Contactor, L/P Soft Start"/>
    <s v="Pump, Ladder*Drive, Soft Start (L/P Motor)*Contactor, L/P Soft Start"/>
    <n v="1"/>
    <s v="CON-100016-00"/>
    <s v="BENSHAW"/>
    <n v="1"/>
  </r>
  <r>
    <s v="0103"/>
    <x v="3"/>
    <n v="45000031858"/>
    <s v="Pump, Ladder*Drive, Soft Start (L/P Motor)*Fuse, 6 Amp, L/P Soft Start"/>
    <x v="64"/>
    <s v="Y"/>
    <n v="5"/>
    <s v="Fuse, 6 Amp, L/P Soft Start"/>
    <s v="Pump, Ladder*Drive, Soft Start (L/P Motor)*Fuse, 6 Amp, L/P Soft Start"/>
    <n v="5"/>
    <s v="FU760"/>
    <s v="BENSHAW"/>
    <n v="1"/>
  </r>
  <r>
    <s v="0103"/>
    <x v="3"/>
    <n v="45000031859"/>
    <s v="Pump, Ladder*Drive, Soft Start (L/P Motor)*Fuse, 10 Amp. L/P Soft Start"/>
    <x v="64"/>
    <s v="Y"/>
    <n v="5"/>
    <s v="Fuse, 10 Amp. L/P Soft Start"/>
    <s v="Pump, Ladder*Drive, Soft Start (L/P Motor)*Fuse, 10 Amp. L/P Soft Start"/>
    <n v="9"/>
    <s v="FU805"/>
    <s v="BENSHAW"/>
    <n v="1"/>
  </r>
  <r>
    <s v="0103"/>
    <x v="3"/>
    <n v="45000031860"/>
    <s v="Pump, Ladder*Drive, Soft Start (L/P Motor)*Fuse, 15 Amp, L/P Soft Start"/>
    <x v="64"/>
    <s v="Y"/>
    <n v="5"/>
    <s v="Fuse, 15 Amp, L/P Soft Start"/>
    <s v="Pump, Ladder*Drive, Soft Start (L/P Motor)*Fuse, 15 Amp, L/P Soft Start"/>
    <n v="7"/>
    <s v="FU812"/>
    <s v="BENSHAW"/>
    <n v="1"/>
  </r>
  <r>
    <s v="0103"/>
    <x v="3"/>
    <n v="45100003038"/>
    <s v="Pump, Dredge (Stbd)-OLD*Dredge Pump Gearbox (Stbd)*Bearing, Roller, Spherical"/>
    <x v="74"/>
    <s v="Y"/>
    <n v="1"/>
    <s v="Bearing, Roller, Spherical"/>
    <s v="Pump, Dredge (Stbd)-OLD*Dredge Pump Gearbox (Stbd)*Bearing, Roller, Spherical"/>
    <n v="4"/>
    <s v="23244 CC"/>
    <s v="SKF"/>
    <n v="1"/>
  </r>
  <r>
    <s v="0103"/>
    <x v="3"/>
    <n v="45100003748"/>
    <s v="Pump, Dredge (Stbd)-OLD*Shafting*Pump Bearing Assembly (D/P) (Stbd)*Bearing, Thrust"/>
    <x v="74"/>
    <s v="Y"/>
    <n v="1"/>
    <s v="Bearing, Thrust"/>
    <s v="Pump, Dredge (Stbd)-OLD*Shafting*Pump Bearing Assembly (D/P) (Stbd)*Bearing, Thrust"/>
    <n v="1"/>
    <s v="8701P-12"/>
    <s v="GIW"/>
    <n v="2"/>
  </r>
  <r>
    <s v="0103"/>
    <x v="3"/>
    <n v="45100003753"/>
    <s v="Pump, Dredge (Stbd)-OLD*Shafting*Pump Bearing Assembly (D/P) (Stbd)*Bearing, Radial Roller"/>
    <x v="74"/>
    <s v="Y"/>
    <n v="1"/>
    <s v="Bearing, Radial Roller"/>
    <s v="Pump, Dredge (Stbd)-OLD*Shafting*Pump Bearing Assembly (D/P) (Stbd)*Bearing, Radial Roller"/>
    <n v="1"/>
    <s v="8700P-32"/>
    <s v="GIW"/>
    <n v="2"/>
  </r>
  <r>
    <s v="0103"/>
    <x v="3"/>
    <n v="45100004766"/>
    <s v="Pump, Dredge (Port)- OLD*Dredge Pump Engine (Port)*Crankcase/Oil Pan/Block*Manifold, Water*Manifold, Water Header, Left Bank"/>
    <x v="76"/>
    <s v="Y"/>
    <n v="1"/>
    <s v="Manifold, Water Header, Left Bank"/>
    <s v="Pump, Dredge (Port)- OLD*Dredge Pump Engine (Port)*Crankcase/Oil Pan/Block*Manifold, Water*Manifold, Water Header, Left Bank"/>
    <n v="2"/>
    <s v="8433303"/>
    <s v="EMD (MSI)"/>
    <n v="4"/>
  </r>
  <r>
    <s v="0103"/>
    <x v="3"/>
    <n v="45100004767"/>
    <s v="Pump, Dredge (Port)- OLD*Dredge Pump Engine (Port)*Crankcase/Oil Pan/Block*Manifold, Water*Manifold, Water Header, Right Bank"/>
    <x v="76"/>
    <s v="Y"/>
    <n v="1"/>
    <s v="Manifold, Water Header, Right Bank"/>
    <s v="Pump, Dredge (Port)- OLD*Dredge Pump Engine (Port)*Crankcase/Oil Pan/Block*Manifold, Water*Manifold, Water Header, Right Bank"/>
    <n v="0"/>
    <s v="8433304"/>
    <s v="EMD (MSI)"/>
    <n v="4"/>
  </r>
  <r>
    <s v="0103"/>
    <x v="3"/>
    <n v="45100005178"/>
    <s v="Electrical*PLC (Dredge System)*Input Card, 16PT"/>
    <x v="61"/>
    <s v="Y"/>
    <n v="1"/>
    <s v="Input Card, 16PT"/>
    <s v="Electrical*PLC (Dredge System)*Input Card, 16PT"/>
    <n v="4"/>
    <s v="1756-IB16"/>
    <s v="ALLEN-BRADLEY"/>
    <n v="1"/>
  </r>
  <r>
    <s v="0103"/>
    <x v="3"/>
    <n v="45100005179"/>
    <s v="Electrical*PLC (Dredge System)*Base"/>
    <x v="61"/>
    <s v="Y"/>
    <n v="1"/>
    <s v="Base"/>
    <s v="Electrical*PLC (Dredge System)*Base"/>
    <n v="1"/>
    <s v="1794-TBN"/>
    <s v="ALLEN-BRADLEY"/>
    <n v="1"/>
  </r>
  <r>
    <s v="0103"/>
    <x v="3"/>
    <n v="45100005207"/>
    <s v="Electrical*PLC (Dredge System)*Thermocouple, Flex I/O, 8 Input"/>
    <x v="61"/>
    <s v="Y"/>
    <n v="2"/>
    <s v="Thermocouple, Flex I/O, 8 Input"/>
    <s v="Electrical*PLC (Dredge System)*Thermocouple, Flex I/O, 8 Input"/>
    <n v="12"/>
    <s v="1794-IT8"/>
    <s v="ALLEN-BRADLEY"/>
    <n v="1"/>
  </r>
  <r>
    <s v="0103"/>
    <x v="3"/>
    <n v="45100005208"/>
    <s v="Electrical*PLC (Dredge System)*Terminal Block, It8"/>
    <x v="61"/>
    <s v="Y"/>
    <n v="1"/>
    <s v="Terminal Block, It8"/>
    <s v="Electrical*PLC (Dredge System)*Terminal Block, It8"/>
    <n v="1"/>
    <s v="1794-TB3T"/>
    <s v="ALLEN-BRADLEY"/>
    <n v="1"/>
  </r>
  <r>
    <s v="0103"/>
    <x v="3"/>
    <n v="45100005209"/>
    <s v="Electrical*PLC (Dredge System)*Interconnect Cable, Flex I/O"/>
    <x v="61"/>
    <s v="Y"/>
    <n v="1"/>
    <s v="Interconnect Cable, Flex I/O"/>
    <s v="Electrical*PLC (Dredge System)*Interconnect Cable, Flex I/O"/>
    <n v="2"/>
    <s v="1794-CE1"/>
    <s v="ALLEN-BRADLEY"/>
    <n v="1"/>
  </r>
  <r>
    <s v="0103"/>
    <x v="3"/>
    <n v="46700000014"/>
    <s v="Electrical*PLC (Walking Spud)*Amplifier Card, Avr-1/10"/>
    <x v="61"/>
    <s v="Y"/>
    <n v="1"/>
    <s v="Amplifier Card, Avr-1/10"/>
    <s v="Electrical*PLC (Walking Spud)*Amplifier Card, Avr-1/10"/>
    <n v="3"/>
    <s v="R978888235"/>
    <s v="ALLEN- BRADLEY"/>
    <n v="1"/>
  </r>
  <r>
    <s v="0103"/>
    <x v="3"/>
    <n v="46700000015"/>
    <s v="Electrical*PLC (Walking Spud)*Amplifier Card, Mdsd1K-2X/0"/>
    <x v="61"/>
    <s v="Y"/>
    <n v="1"/>
    <s v="Amplifier Card, Mdsd1K-2X/0"/>
    <s v="Electrical*PLC (Walking Spud)*Amplifier Card, Mdsd1K-2X/0"/>
    <n v="1"/>
    <s v="R978886412"/>
    <s v="ALLEN- BRADLEY"/>
    <n v="1"/>
  </r>
  <r>
    <s v="0103"/>
    <x v="3"/>
    <n v="46700000026"/>
    <s v="Spud System*Walking Spud*Spud Hoist*Spud Lift Cylinder (Port)*Seal Kit, Spud Hoist Cylinder"/>
    <x v="73"/>
    <s v="Y"/>
    <n v="1"/>
    <s v="Seal Kit, Spud Hoist Cylinder"/>
    <s v="Spud System*Walking Spud*Spud Hoist*Spud Lift Cylinder (Port)*Seal Kit, Spud Hoist Cylinder"/>
    <n v="1"/>
    <s v="R905024550"/>
    <s v="REXROTH BOSCH GROUP"/>
    <n v="2"/>
  </r>
  <r>
    <s v="0103"/>
    <x v="3"/>
    <n v="46700000032"/>
    <s v="Spud System*Walking Spud*Spud Carriage*Seal Kit, Spud Carriage Cylinder"/>
    <x v="73"/>
    <s v="Y"/>
    <n v="1"/>
    <s v="Seal Kit, Spud Carriage Cylinder"/>
    <s v="Spud System*Walking Spud*Spud Carriage*Seal Kit, Spud Carriage Cylinder"/>
    <n v="0"/>
    <m/>
    <m/>
    <n v="1"/>
  </r>
  <r>
    <s v="0103"/>
    <x v="3"/>
    <n v="46700000033"/>
    <s v="Spud System*Walking Spud*Spud Hoist*Spud Clamps*Hydraulic Cylinder, Hoisting Clamp*Seal Kit, Hoist Clamp Cylinder"/>
    <x v="73"/>
    <s v="Y"/>
    <n v="1"/>
    <s v="Seal Kit, Hoist Clamp Cylinder"/>
    <s v="Spud System*Walking Spud*Spud Hoist*Spud Clamps*Hydraulic Cylinder, Hoisting Clamp*Seal Kit, Hoist Clamp Cylinder"/>
    <n v="0"/>
    <s v="3-138545- A1, REV 00"/>
    <s v="BOSCH REXROTH"/>
    <n v="1"/>
  </r>
  <r>
    <s v="0103"/>
    <x v="3"/>
    <n v="50700000008"/>
    <s v="Navigation/Communication*Navigation Lights*Lens, Upper Green"/>
    <x v="77"/>
    <s v="Y"/>
    <n v="1"/>
    <s v="Lens, Upper Green"/>
    <s v="Navigation/Communication*Navigation Lights*Lens, Upper Green"/>
    <n v="2"/>
    <s v="83070018"/>
    <s v="AQUA SIGNAL"/>
    <n v="1"/>
  </r>
  <r>
    <s v="0103"/>
    <x v="3"/>
    <n v="50700000009"/>
    <s v="Navigation/Communication*Navigation Lights*Lens, Lower Green"/>
    <x v="77"/>
    <s v="Y"/>
    <n v="1"/>
    <s v="Lens, Lower Green"/>
    <s v="Navigation/Communication*Navigation Lights*Lens, Lower Green"/>
    <n v="2"/>
    <s v="83075014"/>
    <s v="AQUA SIGNAL"/>
    <n v="1"/>
  </r>
  <r>
    <s v="0103"/>
    <x v="3"/>
    <n v="50700000010"/>
    <s v="Navigation/Communication*Navigation Lights*Lens, Upper Red"/>
    <x v="77"/>
    <s v="Y"/>
    <n v="1"/>
    <s v="Lens, Upper Red"/>
    <s v="Navigation/Communication*Navigation Lights*Lens, Upper Red"/>
    <n v="3"/>
    <s v="83070019"/>
    <s v="AQUA SIGNAL"/>
    <n v="1"/>
  </r>
  <r>
    <s v="0103"/>
    <x v="3"/>
    <n v="50700000011"/>
    <s v="Navigation/Communication*Navigation Lights*Lens, Lower Red"/>
    <x v="77"/>
    <s v="Y"/>
    <n v="1"/>
    <s v="Lens, Lower Red"/>
    <s v="Navigation/Communication*Navigation Lights*Lens, Lower Red"/>
    <n v="4"/>
    <s v="83075015"/>
    <s v="AQUA SIGNAL"/>
    <n v="1"/>
  </r>
  <r>
    <s v="0103"/>
    <x v="3"/>
    <n v="50700000012"/>
    <s v="Navigation/Communication*Navigation Lights*Lens, Upper White"/>
    <x v="77"/>
    <s v="Y"/>
    <n v="1"/>
    <s v="Lens, Upper White"/>
    <s v="Navigation/Communication*Navigation Lights*Lens, Upper White"/>
    <n v="2"/>
    <s v="83072005"/>
    <s v="AQUA SIGNAL"/>
    <n v="1"/>
  </r>
  <r>
    <s v="0103"/>
    <x v="3"/>
    <n v="50700000013"/>
    <s v="Navigation/Communication*Navigation Lights*Lens, Lower White"/>
    <x v="77"/>
    <s v="Y"/>
    <n v="1"/>
    <s v="Lens, Lower White"/>
    <s v="Navigation/Communication*Navigation Lights*Lens, Lower White"/>
    <n v="1"/>
    <s v="83077002"/>
    <s v="AQUA SIGNAL"/>
    <n v="1"/>
  </r>
  <r>
    <s v="0103"/>
    <x v="3"/>
    <n v="51000000002"/>
    <s v="Electrical*MCC (Walking Spud)*Soft Starter, Spud Mcc"/>
    <x v="61"/>
    <s v="Y"/>
    <n v="1"/>
    <s v="Soft Starter, Spud Mcc"/>
    <s v="Electrical*MCC (Walking Spud)*Soft Starter, Spud Mcc"/>
    <n v="1"/>
    <s v="S801T30N3S"/>
    <s v="CUTLER HAMMER"/>
    <n v="1"/>
  </r>
  <r>
    <s v="0103"/>
    <x v="3"/>
    <n v="53300000050"/>
    <s v="Cutter Machinery*Cutter Gearbox*Shaft, Output*Superbolt Torquenut (2&quot;)"/>
    <x v="66"/>
    <s v="Y"/>
    <n v="1"/>
    <s v="Superbolt Torquenut (2&quot;)"/>
    <s v="Cutter Machinery*Cutter Gearbox*Shaft, Output*Superbolt Torquenut (2&quot;)"/>
    <n v="0"/>
    <s v="MT - 200 - 4.5W"/>
    <s v="SUPERBOLT"/>
    <n v="1"/>
  </r>
  <r>
    <s v="0103"/>
    <x v="3"/>
    <n v="53300000051"/>
    <s v="Cutter Machinery*Cutter Gearbox*Shaft, Output*Superbolt Torquenut (1-1/2&quot;)"/>
    <x v="66"/>
    <s v="Y"/>
    <n v="1"/>
    <s v="Superbolt Torquenut (1-1/2&quot;)"/>
    <s v="Cutter Machinery*Cutter Gearbox*Shaft, Output*Superbolt Torquenut (1-1/2&quot;)"/>
    <n v="0"/>
    <s v="MT - 150-6/W"/>
    <s v="SUPERBOLT"/>
    <n v="1"/>
  </r>
  <r>
    <s v="0103"/>
    <x v="3"/>
    <n v="53300000056"/>
    <s v="Cutter Machinery*Cutter Gearbox*Shaft, Output*Sleeve, Wear"/>
    <x v="66"/>
    <s v="Y"/>
    <n v="1"/>
    <s v="Sleeve, Wear"/>
    <s v="Cutter Machinery*Cutter Gearbox*Shaft, Output*Sleeve, Wear"/>
    <n v="1"/>
    <s v="BSLV02112-001"/>
    <s v="HORSBURGH &amp; SCOTT CO."/>
    <n v="1"/>
  </r>
  <r>
    <s v="0103"/>
    <x v="3"/>
    <n v="53300000060"/>
    <s v="Cutter Machinery*Cutter Gearbox*Shaft, Output"/>
    <x v="66"/>
    <s v="Y"/>
    <n v="1"/>
    <s v="Shaft, Output"/>
    <s v="Cutter Machinery*Cutter Gearbox*Shaft, Output"/>
    <n v="0"/>
    <s v="CSFT10523-001"/>
    <s v="HORSBURGH &amp; SCOTT CO."/>
    <n v="1"/>
  </r>
  <r>
    <s v="0103"/>
    <x v="3"/>
    <n v="53300000065"/>
    <s v="Cutter Machinery*Cutter Gearbox*Shaft, Output*Stud"/>
    <x v="66"/>
    <s v="Y"/>
    <n v="1"/>
    <s v="Stud"/>
    <s v="Cutter Machinery*Cutter Gearbox*Shaft, Output*Stud"/>
    <n v="12"/>
    <s v="BSUD00003-001"/>
    <s v="HORSBURGH &amp; SCOTT CO."/>
    <n v="1"/>
  </r>
  <r>
    <s v="0103"/>
    <x v="3"/>
    <n v="53300000069"/>
    <s v="Cutter Machinery*Cutter Gearbox*Shaft, Low Speed Intermediate"/>
    <x v="66"/>
    <s v="Y"/>
    <n v="1"/>
    <s v="Shaft, Low Speed Intermediate"/>
    <s v="Cutter Machinery*Cutter Gearbox*Shaft, Low Speed Intermediate"/>
    <n v="0"/>
    <s v="CPSH02423-004"/>
    <s v="HORSBURGH &amp; SCOTT CO."/>
    <n v="1"/>
  </r>
  <r>
    <s v="0103"/>
    <x v="3"/>
    <n v="53300000070"/>
    <s v="Cutter Machinery*Cutter Gearbox*Shaft, Low Speed Intermediate*Bearing, Low Speed Intermediate Shaft"/>
    <x v="66"/>
    <s v="Y"/>
    <n v="2"/>
    <s v="Bearing, Low Speed Intermediate Shaft"/>
    <s v="Cutter Machinery*Cutter Gearbox*Shaft, Low Speed Intermediate*Bearing, Low Speed Intermediate Shaft"/>
    <n v="4"/>
    <s v="HM266446 / HM266410CD"/>
    <s v="TIMKEN"/>
    <n v="1"/>
  </r>
  <r>
    <s v="0103"/>
    <x v="3"/>
    <n v="53300000161"/>
    <s v="Cutter Machinery*Cutter Gearbox*Shaft, High Speed Intermediate"/>
    <x v="66"/>
    <s v="Y"/>
    <n v="1"/>
    <s v="Shaft, High Speed Intermediate"/>
    <s v="Cutter Machinery*Cutter Gearbox*Shaft, High Speed Intermediate"/>
    <n v="1"/>
    <s v="CPSH01416-004"/>
    <s v="HORSBURGH &amp; SCOTT CO."/>
    <n v="1"/>
  </r>
  <r>
    <s v="0103"/>
    <x v="3"/>
    <n v="53300000162"/>
    <s v="Cutter Machinery*Cutter Gearbox*Shaft, High Speed Intermediate*Bearing, H/S Intermediate Shaft ,Output"/>
    <x v="66"/>
    <s v="Y"/>
    <n v="1"/>
    <s v="Bearing, H/S Intermediate Shaft ,Output"/>
    <s v="Cutter Machinery*Cutter Gearbox*Shaft, High Speed Intermediate*Bearing, H/S Intermediate Shaft ,Output"/>
    <n v="2"/>
    <s v="EE420801/ 421451CD"/>
    <s v="TIMKEN"/>
    <n v="1"/>
  </r>
  <r>
    <s v="0103"/>
    <x v="3"/>
    <n v="53300000163"/>
    <s v="Cutter Machinery*Cutter Gearbox*Shaft, High Speed Intermediate*Bearing, H/S Intermediate Shaft ,Input"/>
    <x v="66"/>
    <s v="Y"/>
    <n v="1"/>
    <s v="Bearing, H/S Intermediate Shaft ,Input"/>
    <s v="Cutter Machinery*Cutter Gearbox*Shaft, High Speed Intermediate*Bearing, H/S Intermediate Shaft ,Input"/>
    <n v="2"/>
    <s v="H249148/ 249111CD"/>
    <s v="TIMKEN"/>
    <n v="1"/>
  </r>
  <r>
    <s v="0103"/>
    <x v="3"/>
    <n v="53300000164"/>
    <s v="Cutter Machinery*Cutter Gearbox*Shaft, High Speed Intermediate*Cone Spacer - Item 550,"/>
    <x v="66"/>
    <s v="Y"/>
    <n v="1"/>
    <s v="Cone Spacer - Item 550,"/>
    <s v="Cutter Machinery*Cutter Gearbox*Shaft, High Speed Intermediate*Cone Spacer - Item 550,"/>
    <n v="0"/>
    <s v="BSPC00800-003"/>
    <s v="HORSBURGH &amp; SCOTT CO."/>
    <n v="1"/>
  </r>
  <r>
    <s v="0103"/>
    <x v="3"/>
    <n v="53300000165"/>
    <s v="Cutter Machinery*Cutter Gearbox*Shaft, High Speed Intermediate*Cone Spacer, Item 551"/>
    <x v="66"/>
    <s v="Y"/>
    <n v="1"/>
    <s v="Cone Spacer, Item 551"/>
    <s v="Cutter Machinery*Cutter Gearbox*Shaft, High Speed Intermediate*Cone Spacer, Item 551"/>
    <n v="0"/>
    <s v="BSPC00900-003"/>
    <s v="HORSBURGH &amp; SCOTT CO."/>
    <n v="1"/>
  </r>
  <r>
    <s v="0103"/>
    <x v="3"/>
    <n v="53300000171"/>
    <s v="Cutter Machinery*Cutter Gearbox*Shaft, Input"/>
    <x v="66"/>
    <s v="Y"/>
    <n v="1"/>
    <s v="Shaft, Input"/>
    <s v="Cutter Machinery*Cutter Gearbox*Shaft, Input"/>
    <n v="2"/>
    <s v="CPSH01213-004"/>
    <s v="HORSBURGH &amp; SCOTT CO."/>
    <n v="1"/>
  </r>
  <r>
    <s v="0103"/>
    <x v="3"/>
    <n v="53300000172"/>
    <s v="Cutter Machinery*Cutter Gearbox*Shaft, Input*Bearing, Input Shaft"/>
    <x v="66"/>
    <s v="Y"/>
    <n v="4"/>
    <s v="Bearing, Input Shaft"/>
    <s v="Cutter Machinery*Cutter Gearbox*Shaft, Input*Bearing, Input Shaft"/>
    <n v="0"/>
    <s v="H239640/ H239612CD"/>
    <s v="TIMKEN"/>
    <n v="1"/>
  </r>
  <r>
    <s v="0103"/>
    <x v="3"/>
    <n v="53300000175"/>
    <s v="Cutter Machinery*Cutter Gearbox*Shaft, Input*Sleeve, Input Shaft, Standard Id"/>
    <x v="66"/>
    <s v="Y"/>
    <n v="1"/>
    <s v="Sleeve, Input Shaft, Standard Id"/>
    <s v="Cutter Machinery*Cutter Gearbox*Shaft, Input*Sleeve, Input Shaft, Standard Id"/>
    <n v="0"/>
    <s v="BSLV00609-001"/>
    <s v="HORSBURGH &amp; SCOTT CO."/>
    <n v="1"/>
  </r>
  <r>
    <s v="0103"/>
    <x v="3"/>
    <n v="53600000006"/>
    <s v="Electrical*Panels/Console*Controllers*Joystick, Walking Spud"/>
    <x v="61"/>
    <s v="Y"/>
    <n v="1"/>
    <s v="Joystick, Walking Spud"/>
    <s v="Electrical*Panels/Console*Controllers*Joystick, Walking Spud"/>
    <n v="1"/>
    <s v="R978002441"/>
    <s v="Bosch Rexroth"/>
    <n v="1"/>
  </r>
  <r>
    <s v="0103"/>
    <x v="3"/>
    <n v="53600000007"/>
    <s v="Electrical*Panels/Console*Controllers*Joystick, Walking Spud"/>
    <x v="61"/>
    <s v="Y"/>
    <n v="1"/>
    <s v="Joystick, Walking Spud"/>
    <s v="Electrical*Panels/Console*Controllers*Joystick, Walking Spud"/>
    <n v="1"/>
    <s v="R978002442"/>
    <s v="Bosch Rexroth"/>
    <n v="1"/>
  </r>
  <r>
    <s v="0103"/>
    <x v="3"/>
    <n v="53600000065"/>
    <s v="Cutter Machinery*Cutter Gearbox*Shaft, High Speed Intermediate*Gear, High Speed Intermediate"/>
    <x v="66"/>
    <s v="Y"/>
    <n v="1"/>
    <s v="Gear, High Speed Intermediate"/>
    <s v="Cutter Machinery*Cutter Gearbox*Shaft, High Speed Intermediate*Gear, High Speed Intermediate"/>
    <n v="0"/>
    <s v="CGSH02613-001"/>
    <s v="HORSBURGH &amp; SCOTT CO."/>
    <n v="1"/>
  </r>
  <r>
    <s v="0103"/>
    <x v="3"/>
    <n v="54000000014"/>
    <s v="Pump, Dredge (Stbd)-OLD*Dredge Pump (#2) (Stbd)*Hardware &amp; Gaskets*O-Ring, Hub to Shell"/>
    <x v="74"/>
    <s v="Y"/>
    <n v="5"/>
    <s v="O-Ring, Hub to Shell"/>
    <s v="Pump, Dredge (Stbd)-OLD*Dredge Pump (#2) (Stbd)*Hardware &amp; Gaskets*O-Ring, Hub to Shell"/>
    <n v="0"/>
    <s v="7717P-42"/>
    <s v="GIW"/>
    <n v="2"/>
  </r>
  <r>
    <s v="0103"/>
    <x v="3"/>
    <n v="54000000116"/>
    <s v="Electrical*PLC (Dredge System)*Relay Output, Allen Bradley 8Pt"/>
    <x v="61"/>
    <s v="Y"/>
    <n v="1"/>
    <s v="Relay Output, Allen Bradley 8Pt"/>
    <s v="Electrical*PLC (Dredge System)*Relay Output, Allen Bradley 8Pt"/>
    <n v="3"/>
    <s v="1794-OW8"/>
    <s v="ALLEN-BRADLEY"/>
    <n v="1"/>
  </r>
  <r>
    <s v="0103"/>
    <x v="3"/>
    <n v="54000000117"/>
    <s v="Electrical*PLC (Dredge System)*Relay Input, Allen Bradley"/>
    <x v="61"/>
    <s v="Y"/>
    <n v="1"/>
    <s v="Relay Input, Allen Bradley"/>
    <s v="Electrical*PLC (Dredge System)*Relay Input, Allen Bradley"/>
    <n v="2"/>
    <s v="1794-IA16"/>
    <s v="ALLEN-BRADLEY"/>
    <n v="1"/>
  </r>
  <r>
    <s v="0103"/>
    <x v="3"/>
    <n v="54000000246"/>
    <s v="Electrical*PLC (Walking Spud)*Module, Analog Out"/>
    <x v="61"/>
    <s v="Y"/>
    <n v="1"/>
    <s v="Module, Analog Out"/>
    <s v="Electrical*PLC (Walking Spud)*Module, Analog Out"/>
    <n v="1"/>
    <s v="R978002446"/>
    <s v="REXROTH/BOSCH GROUP"/>
    <n v="1"/>
  </r>
  <r>
    <s v="0103"/>
    <x v="3"/>
    <n v="54000000247"/>
    <s v="Electrical*PLC (Walking Spud)*Module, Analog In"/>
    <x v="61"/>
    <s v="Y"/>
    <n v="1"/>
    <s v="Module, Analog In"/>
    <s v="Electrical*PLC (Walking Spud)*Module, Analog In"/>
    <n v="1"/>
    <s v="R978002445"/>
    <s v="REXROTH/BOSCH GROUP"/>
    <n v="1"/>
  </r>
  <r>
    <s v="0103"/>
    <x v="3"/>
    <n v="54000000248"/>
    <s v="Electrical*PLC (Walking Spud)*Module, Relay Output"/>
    <x v="61"/>
    <s v="Y"/>
    <n v="1"/>
    <s v="Module, Relay Output"/>
    <s v="Electrical*PLC (Walking Spud)*Module, Relay Output"/>
    <n v="3"/>
    <s v="R978002444"/>
    <s v="REXROTH/BOSCH GROUP"/>
    <n v="1"/>
  </r>
  <r>
    <s v="0103"/>
    <x v="3"/>
    <n v="54000000249"/>
    <s v="Electrical*PLC (Walking Spud)*Module, Sinking Input"/>
    <x v="61"/>
    <s v="Y"/>
    <n v="1"/>
    <s v="Module, Sinking Input"/>
    <s v="Electrical*PLC (Walking Spud)*Module, Sinking Input"/>
    <n v="3"/>
    <s v="R978002443"/>
    <s v="REXROTH/BOSCH GROUP"/>
    <n v="1"/>
  </r>
  <r>
    <s v="0103"/>
    <x v="3"/>
    <n v="54000000250"/>
    <s v="Electrical*PLC (Walking Spud)*Module,Base"/>
    <x v="61"/>
    <s v="Y"/>
    <n v="1"/>
    <s v="Module,Base"/>
    <s v="Electrical*PLC (Walking Spud)*Module,Base"/>
    <n v="0"/>
    <s v="R978002519"/>
    <s v="REXROTH/BOSCH GROUP"/>
    <n v="1"/>
  </r>
  <r>
    <s v="0103"/>
    <x v="3"/>
    <n v="54000000251"/>
    <s v="Electrical*PLC (Walking Spud)*Module, Point Block"/>
    <x v="61"/>
    <s v="Y"/>
    <n v="1"/>
    <s v="Module, Point Block"/>
    <s v="Electrical*PLC (Walking Spud)*Module, Point Block"/>
    <n v="0"/>
    <s v="R978002516"/>
    <s v="REXROTH/BOSCH GROUP"/>
    <n v="1"/>
  </r>
  <r>
    <s v="0103"/>
    <x v="3"/>
    <n v="54000000253"/>
    <s v="Electrical*PLC (Walking Spud)*Moudule, Diode"/>
    <x v="61"/>
    <s v="Y"/>
    <n v="1"/>
    <s v="Moudule, Diode"/>
    <s v="Electrical*PLC (Walking Spud)*Moudule, Diode"/>
    <n v="1"/>
    <s v="R978013493"/>
    <s v="REXROTH/BOSCH GROUP"/>
    <n v="1"/>
  </r>
  <r>
    <s v="0103"/>
    <x v="3"/>
    <n v="54000000267"/>
    <s v="Electrical*PLC (Walking Spud)*End Cap, Micro 1500 Right"/>
    <x v="61"/>
    <s v="Y"/>
    <n v="1"/>
    <s v="End Cap, Micro 1500 Right"/>
    <s v="Electrical*PLC (Walking Spud)*End Cap, Micro 1500 Right"/>
    <n v="2"/>
    <s v="R978002386"/>
    <s v="REXROTH/BOSCH GROUP"/>
    <n v="1"/>
  </r>
  <r>
    <s v="0103"/>
    <x v="3"/>
    <n v="54000000268"/>
    <s v="Electrical*PLC (Walking Spud)*Processor, Micro 1500"/>
    <x v="61"/>
    <s v="Y"/>
    <n v="1"/>
    <s v="Processor, Micro 1500"/>
    <s v="Electrical*PLC (Walking Spud)*Processor, Micro 1500"/>
    <n v="2"/>
    <s v="R978000542"/>
    <s v="REXROTH/BOSCH GROUP"/>
    <n v="1"/>
  </r>
  <r>
    <s v="0103"/>
    <x v="3"/>
    <n v="54000000269"/>
    <s v="Electrical*PLC (Walking Spud)*Base, Micro 1500"/>
    <x v="61"/>
    <s v="Y"/>
    <n v="1"/>
    <s v="Base, Micro 1500"/>
    <s v="Electrical*PLC (Walking Spud)*Base, Micro 1500"/>
    <n v="0"/>
    <s v="R978000541"/>
    <s v="REXROTH/BOSCH GROUP"/>
    <n v="1"/>
  </r>
  <r>
    <s v="0103"/>
    <x v="3"/>
    <n v="54000000270"/>
    <s v="Electrical*PLC (Walking Spud)*Module, Dc X 16"/>
    <x v="61"/>
    <s v="Y"/>
    <n v="1"/>
    <s v="Module, Dc X 16"/>
    <s v="Electrical*PLC (Walking Spud)*Module, Dc X 16"/>
    <n v="5"/>
    <s v="R978000544"/>
    <s v="REXROTH/BOSCH GROUP"/>
    <n v="1"/>
  </r>
  <r>
    <s v="0103"/>
    <x v="3"/>
    <n v="54000000273"/>
    <s v="Electrical*PLC (Walking Spud)*Power Supply"/>
    <x v="61"/>
    <s v="Y"/>
    <n v="1"/>
    <s v="Power Supply"/>
    <s v="Electrical*PLC (Walking Spud)*Power Supply"/>
    <n v="2"/>
    <s v="R978023747"/>
    <s v="REXROTH/BOSCH GROUP"/>
    <n v="1"/>
  </r>
  <r>
    <s v="0103"/>
    <x v="3"/>
    <n v="54000000274"/>
    <s v="Electrical*PLC (Walking Spud)*Module, 2Ch Analog Output"/>
    <x v="61"/>
    <s v="Y"/>
    <n v="1"/>
    <s v="Module, 2Ch Analog Output"/>
    <s v="Electrical*PLC (Walking Spud)*Module, 2Ch Analog Output"/>
    <n v="1"/>
    <s v="R978000545"/>
    <s v="REXROTH/BOSCH GROUP"/>
    <n v="1"/>
  </r>
  <r>
    <s v="0103"/>
    <x v="3"/>
    <n v="54000000364"/>
    <s v="Cutter Machinery*Canister*Gasket, Cutter Motor Enclosure Cover"/>
    <x v="66"/>
    <s v="Y"/>
    <n v="2"/>
    <s v="Gasket, Cutter Motor Enclosure Cover"/>
    <s v="Cutter Machinery*Canister*Gasket, Cutter Motor Enclosure Cover"/>
    <n v="6"/>
    <s v="11'- 0 3/4&quot; X 7'-8 3/4&quot; X 3/4W"/>
    <s v="TRICO"/>
    <n v="1"/>
  </r>
  <r>
    <s v="0103"/>
    <x v="3"/>
    <n v="54000000582"/>
    <s v="Cutter Machinery*Cutter Gearbox*Mechanical Seal, Cutter Gearbox*Mechanical Seal, High Speed Shaft*Mechanical Seal, High Speed Shaft"/>
    <x v="66"/>
    <s v="Y"/>
    <n v="1"/>
    <s v="Mechanical Seal, High Speed Shaft"/>
    <s v="Cutter Machinery*Cutter Gearbox*Mechanical Seal, Cutter Gearbox*Mechanical Seal, High Speed Shaft*Mechanical Seal, High Speed Shaft"/>
    <n v="1"/>
    <s v="8-1V0"/>
    <s v="JOHN CRANE"/>
    <n v="1"/>
  </r>
  <r>
    <s v="0103"/>
    <x v="3"/>
    <n v="54000000607"/>
    <s v="Cutter Machinery*Canister*Gasket, Canister Wt Door"/>
    <x v="66"/>
    <s v="Y"/>
    <n v="1"/>
    <s v="Gasket, Canister Wt Door"/>
    <s v="Cutter Machinery*Canister*Gasket, Canister Wt Door"/>
    <n v="2"/>
    <m/>
    <m/>
    <n v="1"/>
  </r>
  <r>
    <s v="0103"/>
    <x v="3"/>
    <n v="57200000009"/>
    <s v="Electrical*PLC (Dredge System)*Terminal Base"/>
    <x v="61"/>
    <s v="Y"/>
    <n v="1"/>
    <s v="Terminal Base"/>
    <s v="Electrical*PLC (Dredge System)*Terminal Base"/>
    <n v="8"/>
    <s v="1794-TB3"/>
    <s v="ALLEN-BRADLEY"/>
    <n v="1"/>
  </r>
  <r>
    <s v="0103"/>
    <x v="3"/>
    <n v="57200000010"/>
    <s v="Electrical*PLC (Dredge System)*Input Module , 16 PT"/>
    <x v="61"/>
    <s v="Y"/>
    <n v="1"/>
    <s v="Input Module , 16 PT"/>
    <s v="Electrical*PLC (Dredge System)*Input Module , 16 PT"/>
    <n v="7"/>
    <s v="1794-IB16"/>
    <s v="ALLEN-BRADLEY"/>
    <n v="1"/>
  </r>
  <r>
    <s v="0103"/>
    <x v="3"/>
    <n v="57200000030"/>
    <s v="Electrical*PLC (Dredge System)*Interconnect Cable, Flex I/O"/>
    <x v="61"/>
    <s v="Y"/>
    <n v="1"/>
    <s v="Interconnect Cable, Flex I/O"/>
    <s v="Electrical*PLC (Dredge System)*Interconnect Cable, Flex I/O"/>
    <n v="5"/>
    <s v="1794-CE3"/>
    <s v="ALLEN-BRADLEY"/>
    <n v="1"/>
  </r>
  <r>
    <s v="0103"/>
    <x v="3"/>
    <n v="57200000348"/>
    <s v="Electrical*Sensors*Sensor, Pressure 4 - 20 Ma"/>
    <x v="61"/>
    <s v="Y"/>
    <n v="1"/>
    <s v="Sensor, Pressure 4 - 20 Ma"/>
    <s v="Electrical*Sensors*Sensor, Pressure 4 - 20 Ma"/>
    <n v="1"/>
    <s v="151GP8E22B3M7DF"/>
    <s v="ROSEMOUNT"/>
    <n v="1"/>
  </r>
  <r>
    <s v="0103"/>
    <x v="3"/>
    <n v="57200000454"/>
    <s v="Electrical*PLC (Walking Spud)*Cable 1500 - Micrologix"/>
    <x v="61"/>
    <s v="Y"/>
    <n v="1"/>
    <s v="Cable 1500 - Micrologix"/>
    <s v="Electrical*PLC (Walking Spud)*Cable 1500 - Micrologix"/>
    <n v="1"/>
    <s v="698-7574"/>
    <s v="RS CATALOG "/>
    <n v="1"/>
  </r>
  <r>
    <s v="0103"/>
    <x v="3"/>
    <n v="57200000906"/>
    <s v="Swing*SCR Drive Port (Swing)*DC Contactor, Control Voltage, Swing SCR"/>
    <x v="65"/>
    <s v="Y"/>
    <n v="1"/>
    <s v="DC Contactor, Control Voltage, Swing SCR"/>
    <s v="Swing*SCR Drive Port (Swing)*DC Contactor, Control Voltage, Swing SCR"/>
    <n v="1"/>
    <s v="6702ED584-2"/>
    <s v="CUTTLER HAMMER"/>
    <n v="3"/>
  </r>
  <r>
    <s v="0103"/>
    <x v="3"/>
    <n v="57200000907"/>
    <s v="Cutter Machinery*SCR Drive Port (Cutter)*DC Contactor, Coil Voltage 115 Vdc"/>
    <x v="66"/>
    <s v="Y"/>
    <n v="1"/>
    <s v="DC Contactor, Coil Voltage 115 Vdc"/>
    <s v="Cutter Machinery*SCR Drive Port (Cutter)*DC Contactor, Coil Voltage 115 Vdc"/>
    <n v="3"/>
    <s v="6702ED587-4"/>
    <s v="CUTLER HAMMER"/>
    <n v="2"/>
  </r>
  <r>
    <s v="0103"/>
    <x v="3"/>
    <n v="57200001059"/>
    <s v="Pump, Dredge (Port)- OLD*Dredge Pump Engine (Port)*Crankshaft Assembly*Bearing, Main, Center-Upper"/>
    <x v="76"/>
    <s v="Y"/>
    <n v="4"/>
    <s v="Bearing, Main, Center-Upper"/>
    <s v="Pump, Dredge (Port)- OLD*Dredge Pump Engine (Port)*Crankshaft Assembly*Bearing, Main, Center-Upper"/>
    <n v="5"/>
    <s v="8455856"/>
    <s v="EMD (MSI)"/>
    <n v="4"/>
  </r>
  <r>
    <s v="0103"/>
    <x v="3"/>
    <n v="57200001060"/>
    <s v="Pump, Dredge (Port)- OLD*Dredge Pump Engine (Port)*Crankshaft Assembly*Bearing, Main, Center-Lower"/>
    <x v="76"/>
    <s v="Y"/>
    <n v="4"/>
    <s v="Bearing, Main, Center-Lower"/>
    <s v="Pump, Dredge (Port)- OLD*Dredge Pump Engine (Port)*Crankshaft Assembly*Bearing, Main, Center-Lower"/>
    <n v="1"/>
    <s v="8455668"/>
    <s v="EMD (MSI)"/>
    <n v="4"/>
  </r>
  <r>
    <s v="0103"/>
    <x v="3"/>
    <n v="57200001691"/>
    <s v="Electrical*PLC (Dredge System)*Flex I/O Fused Terminal Base"/>
    <x v="61"/>
    <s v="Y"/>
    <n v="1"/>
    <s v="Flex I/O Fused Terminal Base"/>
    <s v="Electrical*PLC (Dredge System)*Flex I/O Fused Terminal Base"/>
    <n v="3"/>
    <s v="1794-TBNF"/>
    <s v="ALLEN-BRADLEY"/>
    <n v="1"/>
  </r>
  <r>
    <s v="0103"/>
    <x v="3"/>
    <n v="57200001692"/>
    <s v="Electrical*PLC (Dredge System)*4 Input/ 2 Output Analog Module"/>
    <x v="61"/>
    <s v="Y"/>
    <n v="1"/>
    <s v="4 Input/ 2 Output Analog Module"/>
    <s v="Electrical*PLC (Dredge System)*4 Input/ 2 Output Analog Module"/>
    <n v="1"/>
    <s v="1794-IE4XOE2"/>
    <s v="ALLEN-BRADLEY"/>
    <n v="1"/>
  </r>
  <r>
    <s v="0103"/>
    <x v="3"/>
    <n v="57200001693"/>
    <s v="Electrical*PLC (Dredge System)*32 Current Sinking, 24V Input Module"/>
    <x v="61"/>
    <s v="Y"/>
    <n v="1"/>
    <s v="32 Current Sinking, 24V Input Module"/>
    <s v="Electrical*PLC (Dredge System)*32 Current Sinking, 24V Input Module"/>
    <n v="2"/>
    <s v="1794-IB32"/>
    <s v="ALLEN-BRADLEY"/>
    <n v="1"/>
  </r>
  <r>
    <s v="0103"/>
    <x v="3"/>
    <n v="57200001694"/>
    <s v="Electrical*PLC (Dredge System)*16 Current, Sinking I/P &amp; Sourcing O/P"/>
    <x v="61"/>
    <s v="Y"/>
    <n v="1"/>
    <s v="16 Current, Sinking I/P &amp; Sourcing O/P"/>
    <s v="Electrical*PLC (Dredge System)*16 Current, Sinking I/P &amp; Sourcing O/P"/>
    <n v="1"/>
    <s v="1794-IB16XOB16P"/>
    <s v="ALLEN-BRADLEY"/>
    <n v="1"/>
  </r>
  <r>
    <s v="0103"/>
    <x v="3"/>
    <n v="57200001695"/>
    <s v="Electrical*PLC (Dredge System)*8 Input Analog Module"/>
    <x v="61"/>
    <s v="Y"/>
    <n v="1"/>
    <s v="8 Input Analog Module"/>
    <s v="Electrical*PLC (Dredge System)*8 Input Analog Module"/>
    <n v="1"/>
    <s v="1794-IE8"/>
    <s v="ALLEN-BRADLEY"/>
    <n v="1"/>
  </r>
  <r>
    <s v="0103"/>
    <x v="3"/>
    <n v="57200001696"/>
    <s v="Electrical*PLC (Dredge System)*Flex I/O Controlnet Adapter"/>
    <x v="61"/>
    <s v="Y"/>
    <n v="1"/>
    <s v="Flex I/O Controlnet Adapter"/>
    <s v="Electrical*PLC (Dredge System)*Flex I/O Controlnet Adapter"/>
    <n v="3"/>
    <s v="1794-ACNR15"/>
    <s v="ALLEN-BRADLEY"/>
    <n v="1"/>
  </r>
  <r>
    <s v="0103"/>
    <x v="3"/>
    <n v="57200001697"/>
    <s v="Electrical*PLC (Dredge System)*Ethernet/ Ip Module"/>
    <x v="61"/>
    <s v="Y"/>
    <n v="1"/>
    <s v="Ethernet/ Ip Module"/>
    <s v="Electrical*PLC (Dredge System)*Ethernet/ Ip Module"/>
    <n v="1"/>
    <s v="1756-ENBT"/>
    <s v="ALLEN-BRADLEY"/>
    <n v="1"/>
  </r>
  <r>
    <s v="0103"/>
    <x v="3"/>
    <n v="57200001698"/>
    <s v="Electrical*PLC (Dredge System)*32 Point Dc Input Module"/>
    <x v="61"/>
    <s v="Y"/>
    <n v="1"/>
    <s v="32 Point Dc Input Module"/>
    <s v="Electrical*PLC (Dredge System)*32 Point Dc Input Module"/>
    <n v="2"/>
    <s v="1756-IB32"/>
    <s v="ALLEN-BRADLEY"/>
    <n v="1"/>
  </r>
  <r>
    <s v="0103"/>
    <x v="3"/>
    <n v="57200001711"/>
    <s v="Electrical*PLC (Dredge System)*Input Module, 120VAC"/>
    <x v="61"/>
    <s v="Y"/>
    <n v="1"/>
    <s v="Input Module, 120VAC"/>
    <s v="Electrical*PLC (Dredge System)*Input Module, 120VAC"/>
    <n v="0"/>
    <s v="1756-IA16"/>
    <s v="ALLEN-BRADLEY"/>
    <n v="1"/>
  </r>
  <r>
    <s v="0103"/>
    <x v="3"/>
    <n v="57200001712"/>
    <s v="Electrical*PLC (Dredge System)*Output Module , 120Vac"/>
    <x v="61"/>
    <s v="Y"/>
    <n v="1"/>
    <s v="Output Module , 120Vac"/>
    <s v="Electrical*PLC (Dredge System)*Output Module , 120Vac"/>
    <n v="2"/>
    <s v="1756-OA16"/>
    <s v="ALLEN-BRADLEY"/>
    <n v="1"/>
  </r>
  <r>
    <s v="0103"/>
    <x v="3"/>
    <n v="57200001713"/>
    <s v="Electrical*PLC (Dredge System)*6 Individually Isolated Outputs"/>
    <x v="61"/>
    <s v="Y"/>
    <n v="1"/>
    <s v="6 Individually Isolated Outputs"/>
    <s v="Electrical*PLC (Dredge System)*6 Individually Isolated Outputs"/>
    <n v="2"/>
    <s v="1756-OF6CI"/>
    <s v="ALLEN-BRADLEY"/>
    <n v="1"/>
  </r>
  <r>
    <s v="0103"/>
    <x v="3"/>
    <n v="57200001714"/>
    <s v="Electrical*PLC (Dredge System)*16 SGL End Current Input"/>
    <x v="61"/>
    <s v="Y"/>
    <n v="1"/>
    <s v="16 SGL End Current Input"/>
    <s v="Electrical*PLC (Dredge System)*16 SGL End Current Input"/>
    <n v="0"/>
    <s v="1756-IF16"/>
    <s v="ALLEN-BRADLEY"/>
    <n v="1"/>
  </r>
  <r>
    <s v="0103"/>
    <x v="3"/>
    <n v="57200001730"/>
    <s v="Electrical*PLC (Dredge System)*Isolated Output, 6 Individually"/>
    <x v="61"/>
    <s v="Y"/>
    <n v="1"/>
    <s v="Isolated Output, 6 Individually"/>
    <s v="Electrical*PLC (Dredge System)*Isolated Output, 6 Individually"/>
    <n v="2"/>
    <s v="1756-OF6C1"/>
    <s v="ALLEN-BRADLEY"/>
    <n v="1"/>
  </r>
  <r>
    <s v="0103"/>
    <x v="3"/>
    <n v="57200001762"/>
    <s v="Cutter Machinery*SCR Drive Port  (Cutter)*Control, SCR*Pc Board Assembly, System"/>
    <x v="66"/>
    <s v="Y"/>
    <n v="1"/>
    <s v="Pc Board Assembly, System"/>
    <s v="Cutter Machinery*SCR Drive Port  (Cutter)*Control, SCR*Pc Board Assembly, System"/>
    <n v="0"/>
    <s v="A18876-1 REV.V"/>
    <s v="AVTRON"/>
    <n v="4"/>
  </r>
  <r>
    <s v="0103"/>
    <x v="3"/>
    <n v="57200001763"/>
    <s v="Cutter Machinery*SCR Drive Port  (Cutter)*Control, SCR*Board, Bridge Interface"/>
    <x v="66"/>
    <s v="Y"/>
    <n v="1"/>
    <s v="Board, Bridge Interface"/>
    <s v="Cutter Machinery*SCR Drive Port  (Cutter)*Control, SCR*Board, Bridge Interface"/>
    <n v="5"/>
    <s v="A19273-1 REV.M"/>
    <s v="AVTRON"/>
    <n v="4"/>
  </r>
  <r>
    <s v="0103"/>
    <x v="3"/>
    <n v="57200001765"/>
    <s v="Cutter Machinery*SCR Drive Port  (Cutter)*Control, SCR*Rectifier, Bridge"/>
    <x v="66"/>
    <s v="Y"/>
    <n v="1"/>
    <s v="Rectifier, Bridge"/>
    <s v="Cutter Machinery*SCR Drive Port  (Cutter)*Control, SCR*Rectifier, Bridge"/>
    <n v="0"/>
    <s v="354899"/>
    <s v="AVTRON"/>
    <n v="4"/>
  </r>
  <r>
    <s v="0103"/>
    <x v="3"/>
    <n v="57200001766"/>
    <s v="Cutter Machinery*SCR Drive Port  (Cutter)*Control, SCR*Bridge Rectifier"/>
    <x v="66"/>
    <s v="Y"/>
    <n v="1"/>
    <s v="Bridge Rectifier"/>
    <s v="Cutter Machinery*SCR Drive Port  (Cutter)*Control, SCR*Bridge Rectifier"/>
    <n v="0"/>
    <s v="354821"/>
    <s v="AVTRON"/>
    <n v="4"/>
  </r>
  <r>
    <s v="0103"/>
    <x v="3"/>
    <n v="57200001816"/>
    <s v="Cutter Machinery*SCR Drive Port  (Cutter)*Control, SCR*SCR Module - Cr1"/>
    <x v="66"/>
    <s v="Y"/>
    <n v="4"/>
    <s v="SCR Module - Cr1"/>
    <s v="Cutter Machinery*SCR Drive Port  (Cutter)*Control, SCR*SCR Module - Cr1"/>
    <n v="0"/>
    <s v="254886"/>
    <s v="AVTRON"/>
    <n v="4"/>
  </r>
  <r>
    <s v="0103"/>
    <x v="3"/>
    <n v="57200001818"/>
    <s v="Cutter Machinery*SCR Drive Port  (Cutter)*Control, SCR*Microprocessor Board"/>
    <x v="66"/>
    <s v="Y"/>
    <n v="1"/>
    <s v="Microprocessor Board"/>
    <s v="Cutter Machinery*SCR Drive Port  (Cutter)*Control, SCR*Microprocessor Board"/>
    <n v="0"/>
    <s v="630264"/>
    <s v="AVTRON"/>
    <n v="4"/>
  </r>
  <r>
    <s v="0103"/>
    <x v="3"/>
    <n v="57200001819"/>
    <s v="Cutter Machinery*SCR Drive Port  (Cutter)*Control, SCR*Ethernet Module"/>
    <x v="66"/>
    <s v="Y"/>
    <n v="1"/>
    <s v="Ethernet Module"/>
    <s v="Cutter Machinery*SCR Drive Port  (Cutter)*Control, SCR*Ethernet Module"/>
    <n v="2"/>
    <s v="A26494 REV.F"/>
    <s v="AVTRON"/>
    <n v="4"/>
  </r>
  <r>
    <s v="0103"/>
    <x v="3"/>
    <n v="57200002309"/>
    <s v="Swing*Swing Winch (Stbd)*Winch Drum*Bearing, Swing Winch 200 ID. X 340 OD."/>
    <x v="65"/>
    <s v="Y"/>
    <n v="2"/>
    <s v="Bearing, Swing Winch 200 ID. X 340 OD."/>
    <s v="Swing*Swing Winch (Stbd)*Winch Drum*Bearing, Swing Winch 200 ID. X 340 OD."/>
    <n v="0"/>
    <s v="551012"/>
    <s v="TIMBERLAND EQUIPMENT LIMITED"/>
    <n v="1"/>
  </r>
  <r>
    <s v="0103"/>
    <x v="3"/>
    <n v="57200002310"/>
    <s v="Swing*Swing Winch (Stbd)*Winch Drum*Seal, Swing Winch Drum HDS3"/>
    <x v="65"/>
    <s v="Y"/>
    <n v="2"/>
    <s v="Seal, Swing Winch Drum HDS3"/>
    <s v="Swing*Swing Winch (Stbd)*Winch Drum*Seal, Swing Winch Drum HDS3"/>
    <m/>
    <s v="86225"/>
    <s v="SKF"/>
    <n v="1"/>
  </r>
  <r>
    <s v="0103"/>
    <x v="3"/>
    <n v="57200002311"/>
    <s v="Swing*Swing Winch (Stbd)*Winch Drum*Seal, Swing Winch Drum HDS2"/>
    <x v="65"/>
    <s v="Y"/>
    <n v="2"/>
    <s v="Seal, Swing Winch Drum HDS2"/>
    <s v="Swing*Swing Winch (Stbd)*Winch Drum*Seal, Swing Winch Drum HDS2"/>
    <m/>
    <s v="95045"/>
    <s v="SKF"/>
    <n v="1"/>
  </r>
  <r>
    <s v="0103"/>
    <x v="3"/>
    <n v="57200002313"/>
    <s v="Swing*Swing Winch (Stbd)*Winch Drum*Intermediate Shaft, Swing Winch"/>
    <x v="65"/>
    <s v="Y"/>
    <n v="1"/>
    <s v="Intermediate Shaft, Swing Winch"/>
    <s v="Swing*Swing Winch (Stbd)*Winch Drum*Intermediate Shaft, Swing Winch"/>
    <n v="0"/>
    <s v="8003859"/>
    <s v="TIMBERLAND EQUIPMENT LIMITED"/>
    <n v="1"/>
  </r>
  <r>
    <s v="0103"/>
    <x v="3"/>
    <n v="57200002315"/>
    <s v="Swing*Swing Winch (Port)*Winch Drum*Bearing, Swing Winch, 200 Id. X 340 Od."/>
    <x v="65"/>
    <s v="Y"/>
    <n v="2"/>
    <s v="Bearing, Swing Winch, 200 Id. X 340 Od."/>
    <s v="Swing*Swing Winch (Port)*Winch Drum*Bearing, Swing Winch, 200 Id. X 340 Od."/>
    <n v="0"/>
    <s v="551012"/>
    <s v="TIMBERLAND EQUIPMENT LIMITED"/>
    <n v="1"/>
  </r>
  <r>
    <s v="0103"/>
    <x v="3"/>
    <n v="57200002933"/>
    <s v="Cutter Machinery*SCR Drive Port  (Cutter)*Control, SCR*SCR, To-200Ad, 2200V, 1470A"/>
    <x v="66"/>
    <s v="Y"/>
    <n v="4"/>
    <s v="SCR, To-200Ad, 2200V, 1470A"/>
    <s v="Cutter Machinery*SCR Drive Port  (Cutter)*Control, SCR*SCR, To-200Ad, 2200V, 1470A"/>
    <n v="0"/>
    <s v="N490CH22"/>
    <s v="WEST CODE"/>
    <n v="4"/>
  </r>
  <r>
    <s v="0103"/>
    <x v="3"/>
    <n v="57300000001"/>
    <s v="Cutter Machinery*Cutter Gearbox*Housing, Cutter Gearbox*Superbolt #H1216-04129, Special 3&quot;- 4"/>
    <x v="66"/>
    <s v="Y"/>
    <n v="1"/>
    <s v="Superbolt #H1216-04129, Special 3&quot;- 4"/>
    <s v="Cutter Machinery*Cutter Gearbox*Housing, Cutter Gearbox*Superbolt #H1216-04129, Special 3&quot;- 4"/>
    <n v="5"/>
    <s v="H1216-04129"/>
    <s v="SUPERBOLT"/>
    <n v="1"/>
  </r>
  <r>
    <s v="0103"/>
    <x v="3"/>
    <n v="57300000002"/>
    <s v="Cutter Machinery*Cutter Gearbox*Housing, Cutter Gearbox*Stud 3&quot; - 4 TPI X 50.00&quot; / 4.50&quot; Min Thd"/>
    <x v="66"/>
    <s v="Y"/>
    <n v="1"/>
    <s v="Stud 3&quot; - 4 TPI X 50.00&quot; / 4.50&quot; Min Thd"/>
    <s v="Cutter Machinery*Cutter Gearbox*Housing, Cutter Gearbox*Stud 3&quot; - 4 TPI X 50.00&quot; / 4.50&quot; Min Thd"/>
    <n v="2"/>
    <s v="BSUD00351-001"/>
    <s v="HORSBURGH &amp; SCOTT CO."/>
    <n v="1"/>
  </r>
  <r>
    <s v="0103"/>
    <x v="3"/>
    <n v="57300000003"/>
    <s v="Cutter Machinery*Cutter Gearbox*Housing, Cutter Gearbox*Superbolt, Special 2 1/2&quot;- 4 TPI"/>
    <x v="66"/>
    <s v="Y"/>
    <n v="1"/>
    <s v="Superbolt, Special 2 1/2&quot;- 4 TPI"/>
    <s v="Cutter Machinery*Cutter Gearbox*Housing, Cutter Gearbox*Superbolt, Special 2 1/2&quot;- 4 TPI"/>
    <n v="2"/>
    <s v="DARU04603-001 / ITEM "/>
    <s v="HORSBURGH &amp; SCOTT CO."/>
    <n v="1"/>
  </r>
  <r>
    <s v="0103"/>
    <x v="3"/>
    <n v="57300000004"/>
    <s v="Cutter Machinery*Cutter Gearbox*Housing, Cutter Gearbox*Stud 1 1/2&quot;- 6 TPI X 16.25&quot; / 2.25&quot;"/>
    <x v="66"/>
    <s v="Y"/>
    <n v="1"/>
    <s v="Stud 1 1/2&quot;- 6 TPI X 16.25&quot; / 2.25&quot;"/>
    <s v="Cutter Machinery*Cutter Gearbox*Housing, Cutter Gearbox*Stud 1 1/2&quot;- 6 TPI X 16.25&quot; / 2.25&quot;"/>
    <n v="3"/>
    <s v="DARU04603-001 / ITEM "/>
    <s v="HORSBURGH &amp; SCOTT CO."/>
    <n v="1"/>
  </r>
  <r>
    <s v="0103"/>
    <x v="3"/>
    <n v="57300000005"/>
    <s v="Cutter Machinery*Cutter Gearbox*Shaft, Input*Stud 2&quot;- 4.5 TPI X 16.50&quot; / 3.00&quot;"/>
    <x v="66"/>
    <s v="Y"/>
    <n v="1"/>
    <s v="Stud 2&quot;- 4.5 TPI X 16.50&quot; / 3.00&quot;"/>
    <s v="Cutter Machinery*Cutter Gearbox*Shaft, Input*Stud 2&quot;- 4.5 TPI X 16.50&quot; / 3.00&quot;"/>
    <n v="2"/>
    <s v="BSUD00216-002"/>
    <s v="HORSBURGH &amp; SCOTT CO."/>
    <n v="1"/>
  </r>
  <r>
    <s v="0103"/>
    <x v="3"/>
    <n v="57300000006"/>
    <s v="Cutter Machinery*Cutter Gearbox*Shaft, Input*Superbolt # MT-200-4.5W 2.500-4 TPI"/>
    <x v="66"/>
    <s v="Y"/>
    <n v="1"/>
    <s v="Superbolt # MT-200-4.5W 2.500-4 TPI"/>
    <s v="Cutter Machinery*Cutter Gearbox*Shaft, Input*Superbolt # MT-200-4.5W 2.500-4 TPI"/>
    <n v="2"/>
    <s v="DARU04603-001 / ITEM "/>
    <s v="HORSBURGH &amp; SCOTT CO."/>
    <n v="1"/>
  </r>
  <r>
    <s v="0103"/>
    <x v="3"/>
    <n v="57300000007"/>
    <s v="Cutter Machinery*Cutter Gearbox*Housing, Cutter Gearbox*Superbolt # H1218-06138 Special 1 1/2&quot;-6"/>
    <x v="66"/>
    <s v="Y"/>
    <n v="1"/>
    <s v="Superbolt # H1218-06138 Special 1 1/2&quot;-6"/>
    <s v="Cutter Machinery*Cutter Gearbox*Housing, Cutter Gearbox*Superbolt # H1218-06138 Special 1 1/2&quot;-6"/>
    <n v="2"/>
    <s v="H1218-06138"/>
    <s v="SUPERBOLT"/>
    <n v="1"/>
  </r>
  <r>
    <s v="0103"/>
    <x v="3"/>
    <n v="57300000008"/>
    <s v="Cutter Machinery*Cutter Gearbox*Housing, Cutter Gearbox*Stud 2 1/2&quot;- 4 TPI X 19.00&quot; / 3.75&quot;"/>
    <x v="66"/>
    <s v="Y"/>
    <n v="1"/>
    <s v="Stud 2 1/2&quot;- 4 TPI X 19.00&quot; / 3.75&quot;"/>
    <s v="Cutter Machinery*Cutter Gearbox*Housing, Cutter Gearbox*Stud 2 1/2&quot;- 4 TPI X 19.00&quot; / 3.75&quot;"/>
    <n v="3"/>
    <s v="BSUD00220-001"/>
    <s v="HORSBURGH &amp; SCOTT CO."/>
    <n v="1"/>
  </r>
  <r>
    <s v="0103"/>
    <x v="3"/>
    <n v="57300000009"/>
    <s v="Electrical*Main Switchboard*Synchronizer, Digital Load Control"/>
    <x v="61"/>
    <s v="Y"/>
    <n v="1"/>
    <s v="Synchronizer, Digital Load Control"/>
    <s v="Electrical*Main Switchboard*Synchronizer, Digital Load Control"/>
    <n v="1"/>
    <s v="9905-797 REV M"/>
    <s v="Woodward"/>
    <n v="1"/>
  </r>
  <r>
    <s v="0103"/>
    <x v="3"/>
    <n v="57300000010"/>
    <s v="Electrical*Main Switchboard*Exitation Control Sys., Digital"/>
    <x v="61"/>
    <s v="Y"/>
    <n v="1"/>
    <s v="Exitation Control Sys., Digital"/>
    <s v="Electrical*Main Switchboard*Exitation Control Sys., Digital"/>
    <n v="2"/>
    <s v="DECS-200 1L"/>
    <s v="Basler"/>
    <n v="1"/>
  </r>
  <r>
    <s v="0103"/>
    <x v="3"/>
    <n v="57300000011"/>
    <s v="Electrical*Main Switchboard*Speed Control, Digital Load Sharing"/>
    <x v="61"/>
    <s v="Y"/>
    <n v="1"/>
    <s v="Speed Control, Digital Load Sharing"/>
    <s v="Electrical*Main Switchboard*Speed Control, Digital Load Sharing"/>
    <n v="1"/>
    <s v="8273-505 REV E"/>
    <s v="Woodward"/>
    <n v="1"/>
  </r>
  <r>
    <s v="0103"/>
    <x v="3"/>
    <n v="57600000026"/>
    <s v="Navigation/Communication*Search Light*Searchlight*Igniter"/>
    <x v="77"/>
    <s v="Y"/>
    <n v="1"/>
    <s v="Igniter"/>
    <s v="Navigation/Communication*Search Light*Searchlight*Igniter"/>
    <n v="1"/>
    <s v="12815"/>
    <s v="CARLISLE &amp; FINCH CO."/>
    <n v="1"/>
  </r>
  <r>
    <s v="0103"/>
    <x v="3"/>
    <n v="60900000001"/>
    <s v="Electrical*Main Switchboard*Circuit Breaker, Swing/ Ladder"/>
    <x v="61"/>
    <s v="Y"/>
    <n v="1"/>
    <s v="Circuit Breaker, Swing/ Ladder"/>
    <s v="Electrical*Main Switchboard*Circuit Breaker, Swing/ Ladder"/>
    <n v="2"/>
    <m/>
    <m/>
    <n v="1"/>
  </r>
  <r>
    <s v="0103"/>
    <x v="3"/>
    <n v="60900000002"/>
    <s v="Electrical*Main Switchboard*Circuit Breaker, Cutter Drive"/>
    <x v="61"/>
    <s v="Y"/>
    <n v="1"/>
    <s v="Circuit Breaker, Cutter Drive"/>
    <s v="Electrical*Main Switchboard*Circuit Breaker, Cutter Drive"/>
    <n v="2"/>
    <m/>
    <m/>
    <n v="1"/>
  </r>
  <r>
    <s v="0103"/>
    <x v="3"/>
    <n v="61900000181"/>
    <s v="Electrical*PLC (Dredge System)*1756-TBNH (20 Position NEMA screw clamp)"/>
    <x v="61"/>
    <s v="Y"/>
    <n v="1"/>
    <s v="1756-TBNH (20 Position NEMA screw clamp)"/>
    <s v="Electrical*PLC (Dredge System)*1756-TBNH (20 Position NEMA screw clamp)"/>
    <n v="3"/>
    <s v="1756-TBNH"/>
    <s v="Electrical Source USA"/>
    <n v="1"/>
  </r>
  <r>
    <s v="0103"/>
    <x v="3"/>
    <n v="61900000182"/>
    <s v="Electrical*PLC (Dredge System)*1756-TBCH (36 pin cage-clamp )"/>
    <x v="61"/>
    <s v="Y"/>
    <n v="1"/>
    <s v="1756-TBCH (36 pin cage-clamp )"/>
    <s v="Electrical*PLC (Dredge System)*1756-TBCH (36 pin cage-clamp )"/>
    <n v="3"/>
    <s v="1756-TBCH"/>
    <s v="Electrical Source USA"/>
    <n v="1"/>
  </r>
  <r>
    <s v="0103"/>
    <x v="3"/>
    <n v="61900000918"/>
    <s v="Electrical*Main Switchboard*Power Management Module , Ge Multilin &gt;&gt;*Ethernet Esd Board, GE Multilin SR"/>
    <x v="61"/>
    <s v="Y"/>
    <n v="1"/>
    <s v="Ethernet Esd Board, GE Multilin SR"/>
    <s v="Electrical*Main Switchboard*Power Management Module , Ge Multilin &gt;&gt;*Ethernet Esd Board, GE Multilin SR"/>
    <n v="0"/>
    <s v="1219-1008-A2"/>
    <s v="GE"/>
    <n v="1"/>
  </r>
  <r>
    <s v="0103"/>
    <x v="3"/>
    <n v="61900000965"/>
    <s v="Swing*Swing Winch (Port)*Swing Gearbox (Port)*Pump, Lube Oil*Coupling, Pump*Hub, Coupling, Swing Gearbox Oil Pump"/>
    <x v="65"/>
    <s v="Y"/>
    <n v="1"/>
    <s v="Hub, Coupling, Swing Gearbox Oil Pump"/>
    <s v="Swing*Swing Winch (Port)*Swing Gearbox (Port)*Pump, Lube Oil*Coupling, Pump*Hub, Coupling, Swing Gearbox Oil Pump"/>
    <n v="1"/>
    <s v="BO WEX, M-28"/>
    <s v="KTR"/>
    <n v="1"/>
  </r>
  <r>
    <s v="0103"/>
    <x v="3"/>
    <n v="62400000072"/>
    <s v="Cutter Machinery*Cutter Gearbox*Shaft, Low Speed Intermediate*Gear, Low Speed Intermediate"/>
    <x v="66"/>
    <s v="Y"/>
    <n v="1"/>
    <s v="Gear, Low Speed Intermediate"/>
    <s v="Cutter Machinery*Cutter Gearbox*Shaft, Low Speed Intermediate*Gear, Low Speed Intermediate"/>
    <n v="1"/>
    <s v="CGSH04916-001"/>
    <s v="HORSBURGH &amp; SCOTT CO."/>
    <n v="1"/>
  </r>
  <r>
    <s v="0103"/>
    <x v="3"/>
    <n v="62400000073"/>
    <s v="Cutter Machinery*Cutter Gearbox*Shaft, Output*Gear, Output Shaft"/>
    <x v="66"/>
    <s v="Y"/>
    <n v="1"/>
    <s v="Gear, Output Shaft"/>
    <s v="Cutter Machinery*Cutter Gearbox*Shaft, Output*Gear, Output Shaft"/>
    <n v="0"/>
    <s v="CGSH07122-001"/>
    <s v="HORSBURGH &amp; SCOTT CO."/>
    <n v="1"/>
  </r>
  <r>
    <s v="0103"/>
    <x v="3"/>
    <n v="62400002244"/>
    <s v="Spud System*Walking Spud*Spud Carriage*Carriage Cylinder*Spherical Bearing, &quot;Elges&quot;"/>
    <x v="73"/>
    <s v="Y"/>
    <n v="1"/>
    <s v="Spherical Bearing, &quot;Elges&quot;"/>
    <s v="Spud System*Walking Spud*Spud Carriage*Carriage Cylinder*Spherical Bearing, &quot;Elges&quot;"/>
    <n v="1"/>
    <s v="GE-120-UK-2RS"/>
    <s v="ELGES"/>
    <n v="1"/>
  </r>
  <r>
    <s v="0103"/>
    <x v="3"/>
    <n v="62400002815"/>
    <s v="Production Instrumentation/Monitoring*Production Monitoring*Ethernet Switch, Industrial, 16 Port"/>
    <x v="75"/>
    <s v="Y"/>
    <n v="1"/>
    <s v="Ethernet Switch, Industrial, 16 Port"/>
    <s v="Production Instrumentation/Monitoring*Production Monitoring*Ethernet Switch, Industrial, 16 Port"/>
    <n v="0"/>
    <s v="IE-SW-VL16-16TX"/>
    <s v="WEIDMULLER"/>
    <n v="1"/>
  </r>
  <r>
    <s v="0103"/>
    <x v="3"/>
    <n v="62400004536"/>
    <s v="Production Instrumentation/Monitoring*Rosemount Transducers*Transmitter (-14.7 +40 PSI) Remote Seal"/>
    <x v="75"/>
    <s v="Y"/>
    <n v="1"/>
    <s v="Transmitter (-14.7 +40 PSI) Remote Seal"/>
    <s v="Production Instrumentation/Monitoring*Rosemount Transducers*Transmitter (-14.7 +40 PSI) Remote Seal"/>
    <n v="1"/>
    <s v="1151GP6E22B1M7S1"/>
    <s v="ROSEMOUNT"/>
    <n v="1"/>
  </r>
  <r>
    <s v="0103"/>
    <x v="3"/>
    <n v="63600000285"/>
    <s v="Pump, Dredge (Port)- OLD*Dredge Pump Engine (Port)*UNDER REVIEW*r-Pump As,  Scavenging &amp; Fuel Oil"/>
    <x v="76"/>
    <s v="Y"/>
    <n v="1"/>
    <s v="r-Pump As,  Scavenging &amp; Fuel Oil"/>
    <s v="Pump, Dredge (Port)- OLD*Dredge Pump Engine (Port)*UNDER REVIEW*r-Pump As,  Scavenging &amp; Fuel Oil"/>
    <n v="2"/>
    <s v="9524892"/>
    <s v="EMD"/>
    <n v="4"/>
  </r>
  <r>
    <s v="0103"/>
    <x v="3"/>
    <n v="63600000286"/>
    <s v="Generators*Main Genset (Port)*Main Gen Engine Port (EMD 645)*Water Pumps (WP1-WP2)*Water Pump, Right Bank (L20-645 Turbo) U"/>
    <x v="4"/>
    <s v="Y"/>
    <n v="2"/>
    <s v="Water Pump, Right Bank (L20-645 Turbo) U"/>
    <s v="Generators*Main Genset (Port)*Main Gen Engine Port (EMD 645)*Water Pumps (WP1-WP2)*Water Pump, Right Bank (L20-645 Turbo) U"/>
    <n v="2"/>
    <s v="40179631UX"/>
    <s v="EMD"/>
    <n v="2"/>
  </r>
  <r>
    <s v="0103"/>
    <x v="3"/>
    <n v="63600000287"/>
    <s v="Generators*Main Genset (Port)*Main Gen Engine Port (EMD 645)*Water Pumps (WP1-WP2)*Water Pump, Left Bank (L20-645 Turbo)U"/>
    <x v="4"/>
    <s v="Y"/>
    <n v="2"/>
    <s v="Water Pump, Left Bank (L20-645 Turbo)U"/>
    <s v="Generators*Main Genset (Port)*Main Gen Engine Port (EMD 645)*Water Pumps (WP1-WP2)*Water Pump, Left Bank (L20-645 Turbo)U"/>
    <n v="2"/>
    <s v="40179630UX"/>
    <s v="EMD"/>
    <n v="2"/>
  </r>
  <r>
    <s v="0103"/>
    <x v="3"/>
    <n v="63600000317"/>
    <s v="Pump, Dredge (Port)- OLD*Dredge Pump Engine (Port)*UNDER REVIEW*r-Accessory Drive Gear Asembly"/>
    <x v="76"/>
    <s v="Y"/>
    <n v="1"/>
    <s v="r-Accessory Drive Gear Asembly"/>
    <s v="Pump, Dredge (Port)- OLD*Dredge Pump Engine (Port)*UNDER REVIEW*r-Accessory Drive Gear Asembly"/>
    <n v="0"/>
    <s v="8365300"/>
    <s v="EMD"/>
    <n v="4"/>
  </r>
  <r>
    <s v="0103"/>
    <x v="3"/>
    <n v="65500000041"/>
    <s v="Cutter Machinery*Cutter Gearbox*Housing, Cutter Gearbox*Stud 3&quot;-4 TPI x 45/4.50 Min THD / Ø3.00"/>
    <x v="66"/>
    <s v="Y"/>
    <n v="1"/>
    <s v="Stud 3&quot;-4 TPI x 45/4.50 Min THD / Ø3.00"/>
    <s v="Cutter Machinery*Cutter Gearbox*Housing, Cutter Gearbox*Stud 3&quot;-4 TPI x 45/4.50 Min THD / Ø3.00"/>
    <n v="0"/>
    <s v="BSUD00345-001"/>
    <s v="HORSBURGH &amp; SCOTT CO."/>
    <n v="1"/>
  </r>
  <r>
    <s v="0103"/>
    <x v="3"/>
    <n v="65500000060"/>
    <s v="Cutter Machinery*Cutter Gearbox*Housing, Cutter Gearbox*Superbolt #MT-200-4.5/W 2.500-4 TPI"/>
    <x v="66"/>
    <s v="Y"/>
    <n v="1"/>
    <s v="Superbolt #MT-200-4.5/W 2.500-4 TPI"/>
    <s v="Cutter Machinery*Cutter Gearbox*Housing, Cutter Gearbox*Superbolt #MT-200-4.5/W 2.500-4 TPI"/>
    <n v="0"/>
    <s v="MT-200-4.5/W"/>
    <s v="SUPERBOLT"/>
    <n v="1"/>
  </r>
  <r>
    <s v="0103"/>
    <x v="3"/>
    <n v="65500000061"/>
    <s v="Cutter Machinery*Cutter Gearbox*Housing, Cutter Gearbox*Stud 2&quot;-4.5 Tpi X 16.50&quot; / 3.00&quot; Min Thd"/>
    <x v="66"/>
    <s v="Y"/>
    <n v="1"/>
    <s v="Stud 2&quot;-4.5 Tpi X 16.50&quot; / 3.00&quot; Min Thd"/>
    <s v="Cutter Machinery*Cutter Gearbox*Housing, Cutter Gearbox*Stud 2&quot;-4.5 Tpi X 16.50&quot; / 3.00&quot; Min Thd"/>
    <n v="0"/>
    <s v="BSUD00216-002"/>
    <s v="HORSBURGH &amp; SCOTT CO."/>
    <n v="1"/>
  </r>
  <r>
    <s v="0103"/>
    <x v="3"/>
    <n v="65700000100"/>
    <s v="Cutter Machinery*SCR Drive Port  (Cutter)*Control, SCR*Microprocessor Board ,A1"/>
    <x v="66"/>
    <s v="Y"/>
    <n v="1"/>
    <s v="Microprocessor Board ,A1"/>
    <s v="Cutter Machinery*SCR Drive Port  (Cutter)*Control, SCR*Microprocessor Board ,A1"/>
    <n v="3"/>
    <s v="D46505"/>
    <s v="AVTRON"/>
    <n v="4"/>
  </r>
  <r>
    <s v="0103"/>
    <x v="3"/>
    <n v="65700000101"/>
    <s v="Cutter Machinery*SCR Drive Port  (Cutter)*Control, SCR*Snubber Board ,A4"/>
    <x v="66"/>
    <s v="Y"/>
    <n v="1"/>
    <s v="Snubber Board ,A4"/>
    <s v="Cutter Machinery*SCR Drive Port  (Cutter)*Control, SCR*Snubber Board ,A4"/>
    <n v="2"/>
    <s v="A22429 REV.J"/>
    <s v="AVTRON"/>
    <n v="4"/>
  </r>
  <r>
    <s v="0103"/>
    <x v="3"/>
    <n v="65700000102"/>
    <s v="Cutter Machinery*SCR Drive Port  (Cutter)*Control, SCR*Snubber Board ,Schematic Reference A4"/>
    <x v="66"/>
    <s v="Y"/>
    <n v="1"/>
    <s v="Snubber Board ,Schematic Reference A4"/>
    <s v="Cutter Machinery*SCR Drive Port  (Cutter)*Control, SCR*Snubber Board ,Schematic Reference A4"/>
    <n v="2"/>
    <s v="A22004 REV.D"/>
    <s v="AVTRON"/>
    <n v="4"/>
  </r>
  <r>
    <s v="0103"/>
    <x v="3"/>
    <n v="65700000138"/>
    <s v="Electrical*PLC (Walking Spud)*Power Supply, 24 V, 1.4 A"/>
    <x v="61"/>
    <s v="Y"/>
    <n v="1"/>
    <s v="Power Supply, 24 V, 1.4 A"/>
    <s v="Electrical*PLC (Walking Spud)*Power Supply, 24 V, 1.4 A"/>
    <n v="1"/>
    <s v="PSG120E"/>
    <s v="Eaton"/>
    <n v="1"/>
  </r>
  <r>
    <s v="0103"/>
    <x v="3"/>
    <n v="65700000257"/>
    <s v="Cutter Machinery*SCR Drive Port  (Cutter)*Control, SCR*Semiconductor Module,Dual"/>
    <x v="66"/>
    <s v="Y"/>
    <n v="3"/>
    <s v="Semiconductor Module,Dual"/>
    <s v="Cutter Machinery*SCR Drive Port  (Cutter)*Control, SCR*Semiconductor Module,Dual"/>
    <n v="7"/>
    <s v="354899"/>
    <s v="AVTRON"/>
    <n v="4"/>
  </r>
  <r>
    <s v="0103"/>
    <x v="3"/>
    <n v="65700000260"/>
    <s v="Cutter Machinery*SCR Drive Port  (Cutter)*Control, SCR*Transformer,Current"/>
    <x v="66"/>
    <s v="Y"/>
    <n v="1"/>
    <s v="Transformer,Current"/>
    <s v="Cutter Machinery*SCR Drive Port  (Cutter)*Control, SCR*Transformer,Current"/>
    <n v="5"/>
    <s v="A18751"/>
    <s v="AVTRON"/>
    <n v="4"/>
  </r>
  <r>
    <s v="0103"/>
    <x v="3"/>
    <n v="65700000569"/>
    <s v="Cutter Machinery*Tailshaft*Cutless Bearing Thordon*Thordon Composite Bearing"/>
    <x v="66"/>
    <s v="Y"/>
    <n v="1"/>
    <s v="Thordon Composite Bearing"/>
    <s v="Cutter Machinery*Tailshaft*Cutless Bearing Thordon*Thordon Composite Bearing"/>
    <n v="1"/>
    <m/>
    <m/>
    <n v="1"/>
  </r>
  <r>
    <s v="0103"/>
    <x v="3"/>
    <n v="66200010214"/>
    <s v="Pump, Dredge (Port)- OLD*Dredge Pump Engine (Port)*Camshafts*Bearing"/>
    <x v="76"/>
    <s v="Y"/>
    <n v="5"/>
    <s v="Bearing"/>
    <s v="Pump, Dredge (Port)- OLD*Dredge Pump Engine (Port)*Camshafts*Bearing"/>
    <n v="0"/>
    <s v="8071176"/>
    <s v="EMD/MSI"/>
    <n v="1"/>
  </r>
  <r>
    <s v="0103"/>
    <x v="3"/>
    <n v="66200011939"/>
    <s v="Ladder System*Ladder Hoist Winch*Ladder Hoist Gearbox*Low Speed Output Pinion*LSS Shaft"/>
    <x v="68"/>
    <s v="Y"/>
    <n v="1"/>
    <s v="LSS Shaft"/>
    <s v="Ladder System*Ladder Hoist Winch*Ladder Hoist Gearbox*Low Speed Output Pinion*LSS Shaft"/>
    <n v="0"/>
    <m/>
    <m/>
    <n v="3"/>
  </r>
  <r>
    <s v="0103"/>
    <x v="3"/>
    <n v="66200011941"/>
    <s v="Ladder System*Ladder Hoist Winch*Ladder Hoist Gearbox*Low Speed Output Pinion*Gear Wheel"/>
    <x v="68"/>
    <s v="Y"/>
    <n v="1"/>
    <s v="Gear Wheel"/>
    <s v="Ladder System*Ladder Hoist Winch*Ladder Hoist Gearbox*Low Speed Output Pinion*Gear Wheel"/>
    <n v="0"/>
    <m/>
    <m/>
    <n v="3"/>
  </r>
  <r>
    <s v="0103"/>
    <x v="3"/>
    <n v="66200011943"/>
    <s v="Ladder System*Ladder Hoist Winch*Ladder Hoist Gearbox*Low Speed Output Pinion*Key"/>
    <x v="68"/>
    <s v="Y"/>
    <n v="1"/>
    <s v="Key"/>
    <s v="Ladder System*Ladder Hoist Winch*Ladder Hoist Gearbox*Low Speed Output Pinion*Key"/>
    <n v="0"/>
    <m/>
    <m/>
    <n v="3"/>
  </r>
  <r>
    <s v="0103"/>
    <x v="3"/>
    <n v="66200011944"/>
    <s v="Ladder System*Ladder Hoist Winch*Ladder Hoist Gearbox*Low Speed Output Pinion*Key"/>
    <x v="68"/>
    <s v="Y"/>
    <n v="1"/>
    <s v="Key"/>
    <s v="Ladder System*Ladder Hoist Winch*Ladder Hoist Gearbox*Low Speed Output Pinion*Key"/>
    <n v="0"/>
    <m/>
    <m/>
    <n v="3"/>
  </r>
  <r>
    <s v="0103"/>
    <x v="3"/>
    <n v="66200011948"/>
    <s v="Ladder System*Ladder Hoist Winch*Ladder Hoist Gearbox*Low Speed Output Pinion*Bearing"/>
    <x v="68"/>
    <s v="Y"/>
    <n v="1"/>
    <s v="Bearing"/>
    <s v="Ladder System*Ladder Hoist Winch*Ladder Hoist Gearbox*Low Speed Output Pinion*Bearing"/>
    <n v="2"/>
    <m/>
    <m/>
    <n v="3"/>
  </r>
  <r>
    <s v="0103"/>
    <x v="3"/>
    <n v="66200011949"/>
    <s v="Ladder System*Ladder Hoist Winch*Ladder Hoist Gearbox*Low Speed Output Pinion*Seal"/>
    <x v="68"/>
    <s v="Y"/>
    <n v="1"/>
    <s v="Seal"/>
    <s v="Ladder System*Ladder Hoist Winch*Ladder Hoist Gearbox*Low Speed Output Pinion*Seal"/>
    <n v="2"/>
    <m/>
    <m/>
    <n v="3"/>
  </r>
  <r>
    <s v="0103"/>
    <x v="3"/>
    <n v="68600000044"/>
    <s v="Electrical*Main Switchboard*Trip Unit"/>
    <x v="61"/>
    <s v="Y"/>
    <n v="1"/>
    <s v="Trip Unit"/>
    <s v="Electrical*Main Switchboard*Trip Unit"/>
    <n v="0"/>
    <s v="PR121/P-LSI"/>
    <s v="ABB Turbo Systems Ltd"/>
    <n v="1"/>
  </r>
  <r>
    <s v="0103"/>
    <x v="3"/>
    <n v="68600000057"/>
    <s v="Swing*Swing Winch (Port)*Swing Winch (Complete)*Drive Assembly - LH Swing Winch*Seal , Input Shaft, Swing Winch"/>
    <x v="65"/>
    <s v="Y"/>
    <n v="2"/>
    <s v="Seal , Input Shaft, Swing Winch"/>
    <s v="Swing*Swing Winch (Port)*Swing Winch (Complete)*Drive Assembly - LH Swing Winch*Seal , Input Shaft, Swing Winch"/>
    <n v="8"/>
    <s v="NS003777"/>
    <s v="TIMBERLAND EQUIPMENT LIMITED"/>
    <n v="2"/>
  </r>
  <r>
    <s v="0103"/>
    <x v="3"/>
    <n v="68900000021"/>
    <s v="Generators*Main Genset (Port)*Main Generator Port*Generator, EMD, (AB21-T24)*Bolt, 1-1/2 - 12 x 8-1/4"/>
    <x v="4"/>
    <s v="Y"/>
    <n v="5"/>
    <s v="Bolt, 1-1/2 - 12 x 8-1/4"/>
    <s v="Generators*Main Genset (Port)*Main Generator Port*Generator, EMD, (AB21-T24)*Bolt, 1-1/2 - 12 x 8-1/4"/>
    <n v="0"/>
    <s v="8350867"/>
    <s v="EMD"/>
    <n v="2"/>
  </r>
  <r>
    <s v="0103"/>
    <x v="3"/>
    <n v="71100000546"/>
    <s v="Electrical*PLC (Dredge System)*Point Block I/O Module"/>
    <x v="61"/>
    <s v="Y"/>
    <n v="1"/>
    <s v="Point Block I/O Module"/>
    <s v="Electrical*PLC (Dredge System)*Point Block I/O Module"/>
    <n v="1"/>
    <s v="1734D-1B8XOW8"/>
    <s v="ALLEN-BRADLEY"/>
    <n v="1"/>
  </r>
  <r>
    <s v="0103"/>
    <x v="3"/>
    <n v="71100000624"/>
    <s v="Production Instrumentation/Monitoring*Rosemount Transducers*Rosemount Assembly,-14.7 to 100PSIG"/>
    <x v="75"/>
    <s v="Y"/>
    <n v="1"/>
    <s v="Rosemount Assembly,-14.7 to 100PSIG"/>
    <s v="Production Instrumentation/Monitoring*Rosemount Transducers*Rosemount Assembly,-14.7 to 100PSIG"/>
    <m/>
    <s v="3051CG4A22A1AS1B4M5D4"/>
    <s v="ROSEMOUNT"/>
    <n v="1"/>
  </r>
  <r>
    <s v="0103"/>
    <x v="3"/>
    <n v="71100000625"/>
    <s v="Production Instrumentation/Monitoring*Rosemount Transducers*Rosemount Assembly,-14.7 to 250PSIG,"/>
    <x v="75"/>
    <s v="Y"/>
    <n v="1"/>
    <s v="Rosemount Assembly,-14.7 to 250PSIG,"/>
    <s v="Production Instrumentation/Monitoring*Rosemount Transducers*Rosemount Assembly,-14.7 to 250PSIG,"/>
    <m/>
    <m/>
    <m/>
    <n v="1"/>
  </r>
  <r>
    <s v="0103"/>
    <x v="3"/>
    <n v="71100000627"/>
    <s v="Production Instrumentation/Monitoring*Rosemount Transducers*Rosemount Assembly, 0 to 450PSIG"/>
    <x v="75"/>
    <s v="Y"/>
    <n v="1"/>
    <s v="Rosemount Assembly, 0 to 450PSIG"/>
    <s v="Production Instrumentation/Monitoring*Rosemount Transducers*Rosemount Assembly, 0 to 450PSIG"/>
    <m/>
    <m/>
    <m/>
    <n v="1"/>
  </r>
  <r>
    <s v="0103"/>
    <x v="3"/>
    <n v="71100000635"/>
    <s v="Electrical*Sensors*Noshok Temperature Transmitter"/>
    <x v="61"/>
    <s v="Y"/>
    <n v="1"/>
    <s v="Noshok Temperature Transmitter"/>
    <s v="Electrical*Sensors*Noshok Temperature Transmitter"/>
    <n v="5"/>
    <s v="800-0/300-1-1-8-8-025-6"/>
    <s v="NOSHOK"/>
    <n v="1"/>
  </r>
  <r>
    <s v="0103"/>
    <x v="3"/>
    <n v="71100000641"/>
    <s v="Electrical*RTD/ Thermocouples*Pedestal Bearing Thermocouple, Type J"/>
    <x v="61"/>
    <s v="Y"/>
    <n v="1"/>
    <s v="Pedestal Bearing Thermocouple, Type J"/>
    <s v="Electrical*RTD/ Thermocouples*Pedestal Bearing Thermocouple, Type J"/>
    <n v="1"/>
    <s v="BT-090-J-4-60-1"/>
    <s v="OMEGA"/>
    <n v="1"/>
  </r>
  <r>
    <s v="0103"/>
    <x v="3"/>
    <n v="71100000642"/>
    <s v="Electrical*RTD/ Thermocouples*Pedestal Bearing Thermocouple, Adaptor"/>
    <x v="61"/>
    <s v="Y"/>
    <n v="1"/>
    <s v="Pedestal Bearing Thermocouple, Adaptor"/>
    <s v="Electrical*RTD/ Thermocouples*Pedestal Bearing Thermocouple, Adaptor"/>
    <n v="1"/>
    <s v="BTA-1"/>
    <s v="OMEGA"/>
    <n v="1"/>
  </r>
  <r>
    <s v="0105"/>
    <x v="4"/>
    <n v="528"/>
    <s v="Pump, Ladder*Ladder Pump (Universal)*Pump Shell (Steel)"/>
    <x v="64"/>
    <s v="Y"/>
    <n v="1"/>
    <s v="Pump Shell (Steel)"/>
    <s v="Pump, Ladder*Ladder Pump (Universal)*Pump Shell (Steel)"/>
    <n v="1"/>
    <s v="2A-3603"/>
    <s v="SPI/MPMW"/>
    <n v="1"/>
  </r>
  <r>
    <s v="0105"/>
    <x v="4"/>
    <n v="532"/>
    <s v="Pump, Ladder*Ladder Pump (Universal)*Liner, Engine Side"/>
    <x v="64"/>
    <s v="Y"/>
    <n v="1"/>
    <s v="Liner, Engine Side"/>
    <s v="Pump, Ladder*Ladder Pump (Universal)*Liner, Engine Side"/>
    <n v="2"/>
    <s v="A-3605"/>
    <s v="SPI/MPMW"/>
    <n v="1"/>
  </r>
  <r>
    <s v="0105"/>
    <x v="4"/>
    <n v="773"/>
    <s v="Ladder System*Ladder Hoist Winch*Lever, Brake"/>
    <x v="68"/>
    <s v="Y"/>
    <n v="1"/>
    <s v="Lever, Brake"/>
    <s v="Ladder System*Ladder Hoist Winch*Lever, Brake"/>
    <n v="0"/>
    <s v="CIC-131"/>
    <s v="MOBILE PULLEY"/>
    <n v="1"/>
  </r>
  <r>
    <s v="0105"/>
    <x v="4"/>
    <n v="787"/>
    <s v="Spud System*Stern Hoist Winch*WINCH*Brake Band, I-Bolt"/>
    <x v="73"/>
    <s v="Y"/>
    <n v="2"/>
    <s v="Brake Band, I-Bolt"/>
    <s v="Spud System*Stern Hoist Winch*WINCH*Brake Band, I-Bolt"/>
    <n v="7"/>
    <s v="B-1432-110"/>
    <s v="MOBILE PULLEY"/>
    <n v="4"/>
  </r>
  <r>
    <s v="0105"/>
    <x v="4"/>
    <n v="788"/>
    <s v="Spud System*Stern Hoist Winch*WINCH*Pin, Clutch (IL)"/>
    <x v="73"/>
    <s v="Y"/>
    <n v="2"/>
    <s v="Pin, Clutch (IL)"/>
    <s v="Spud System*Stern Hoist Winch*WINCH*Pin, Clutch (IL)"/>
    <n v="3"/>
    <s v="B-2328"/>
    <s v="MOBILE PULLEY"/>
    <n v="4"/>
  </r>
  <r>
    <s v="0105"/>
    <x v="4"/>
    <n v="789"/>
    <s v="Spud System*Stern Hoist Winch*WINCH*I-Bolt"/>
    <x v="73"/>
    <s v="Y"/>
    <n v="2"/>
    <s v="I-Bolt"/>
    <s v="Spud System*Stern Hoist Winch*WINCH*I-Bolt"/>
    <n v="12"/>
    <s v="B-420-4"/>
    <s v="MOBILE PULLEY"/>
    <n v="4"/>
  </r>
  <r>
    <s v="0105"/>
    <x v="4"/>
    <n v="791"/>
    <s v="Spud System*Stern Hoist Winch*WINCH*Pin, I-Bolt"/>
    <x v="73"/>
    <s v="Y"/>
    <n v="2"/>
    <s v="Pin, I-Bolt"/>
    <s v="Spud System*Stern Hoist Winch*WINCH*Pin, I-Bolt"/>
    <n v="3"/>
    <s v="B-2979"/>
    <s v="MOBILE PULLEY"/>
    <n v="4"/>
  </r>
  <r>
    <s v="0105"/>
    <x v="4"/>
    <n v="3397"/>
    <s v="Vessel Consumables*Filters*Filter, Oil (Turbo)"/>
    <x v="78"/>
    <s v="Y"/>
    <n v="6"/>
    <s v="Filter, Oil (Turbo)"/>
    <s v="Vessel Consumables*Filters*Filter, Oil (Turbo)"/>
    <n v="21"/>
    <s v="MPL6913"/>
    <s v="MPL"/>
    <n v="1"/>
  </r>
  <r>
    <s v="0105"/>
    <x v="4"/>
    <n v="3401"/>
    <s v="Vessel Consumables*Filters*Filter, Lube Oil"/>
    <x v="78"/>
    <s v="Y"/>
    <n v="20"/>
    <s v="Filter, Lube Oil"/>
    <s v="Vessel Consumables*Filters*Filter, Lube Oil"/>
    <n v="82"/>
    <s v="LF4045"/>
    <s v="Fleet Guard"/>
    <n v="1"/>
  </r>
  <r>
    <s v="0105"/>
    <x v="4"/>
    <n v="13958"/>
    <s v="Gland Seal*Gland Seal Pump Set ( LTX #1)*Gland Seal Pump Set (#1), Complete*Coupling (1060T35)"/>
    <x v="67"/>
    <s v="Y"/>
    <n v="1"/>
    <s v="Coupling (1060T35)"/>
    <s v="Gland Seal*Gland Seal Pump Set ( LTX #1)*Gland Seal Pump Set (#1), Complete*Coupling (1060T35)"/>
    <n v="1"/>
    <s v="1060T35"/>
    <s v="Falk"/>
    <n v="1"/>
  </r>
  <r>
    <s v="0105"/>
    <x v="4"/>
    <n v="13961"/>
    <s v="Gland Seal*Gland Seal Pump Set ( LTX #1)*Gland Seal Pump Set (#1), Complete*Coupling (1060T35)*Hub, Motor End"/>
    <x v="67"/>
    <s v="Y"/>
    <n v="1"/>
    <s v="Hub, Motor End"/>
    <s v="Gland Seal*Gland Seal Pump Set ( LTX #1)*Gland Seal Pump Set (#1), Complete*Coupling (1060T35)*Hub, Motor End"/>
    <n v="2"/>
    <s v="0713016"/>
    <s v="Motion Industries"/>
    <n v="1"/>
  </r>
  <r>
    <s v="0105"/>
    <x v="4"/>
    <n v="15454"/>
    <s v="Gland Seal*Gland Seal Pump Set ( LTX #1)*Gland Seal Pump Set (#1), Complete*Back Pullout Unit, 3196 LTX"/>
    <x v="67"/>
    <s v="Y"/>
    <n v="1"/>
    <s v="Back Pullout Unit, 3196 LTX"/>
    <s v="Gland Seal*Gland Seal Pump Set ( LTX #1)*Gland Seal Pump Set (#1), Complete*Back Pullout Unit, 3196 LTX"/>
    <n v="1"/>
    <s v="769F266BKPO"/>
    <s v="Goulds"/>
    <n v="1"/>
  </r>
  <r>
    <s v="0105"/>
    <x v="4"/>
    <n v="15862"/>
    <s v="Ladder System*Ladder Hoist Winch*Brake Band*Bolt, Adjusting"/>
    <x v="68"/>
    <s v="Y"/>
    <n v="2"/>
    <s v="Bolt, Adjusting"/>
    <s v="Ladder System*Ladder Hoist Winch*Brake Band*Bolt, Adjusting"/>
    <n v="3"/>
    <m/>
    <m/>
    <n v="1"/>
  </r>
  <r>
    <s v="0105"/>
    <x v="4"/>
    <n v="15863"/>
    <s v="Ladder System*Ladder Hoist Winch*Brake Band*Nut, 2-1/2&quot;-6 (C.P, HEX)"/>
    <x v="68"/>
    <s v="Y"/>
    <n v="2"/>
    <s v="Nut, 2-1/2&quot;-6 (C.P, HEX)"/>
    <s v="Ladder System*Ladder Hoist Winch*Brake Band*Nut, 2-1/2&quot;-6 (C.P, HEX)"/>
    <n v="3"/>
    <m/>
    <m/>
    <n v="1"/>
  </r>
  <r>
    <s v="0105"/>
    <x v="4"/>
    <n v="15864"/>
    <s v="Ladder System*Ladder Hoist Winch*Brake Band*Nut, Jam, 2-1/2&quot;-6"/>
    <x v="68"/>
    <s v="Y"/>
    <n v="2"/>
    <s v="Nut, Jam, 2-1/2&quot;-6"/>
    <s v="Ladder System*Ladder Hoist Winch*Brake Band*Nut, Jam, 2-1/2&quot;-6"/>
    <n v="3"/>
    <m/>
    <m/>
    <n v="1"/>
  </r>
  <r>
    <s v="0105"/>
    <x v="4"/>
    <n v="16032"/>
    <s v="HVAC*Vent, E/R Intake Blower (Stbd, Aft)*Motor, (20 HP)*Motor, E/R Intake Blower, 20 Hp"/>
    <x v="38"/>
    <s v="Y"/>
    <n v="1"/>
    <s v="Motor, E/R Intake Blower, 20 Hp"/>
    <s v="HVAC*Vent, E/R Intake Blower (Stbd, Aft)*Motor, (20 HP)*Motor, E/R Intake Blower, 20 Hp"/>
    <n v="2"/>
    <s v="FI-20"/>
    <s v="HARTZELL"/>
    <n v="4"/>
  </r>
  <r>
    <s v="0105"/>
    <x v="4"/>
    <n v="17543"/>
    <s v="Compressed Air*Air Compressor Set (Starting Air # 1)*Motor, (15 HP)*Motor, Start Air Compressor, 15 HP"/>
    <x v="79"/>
    <s v="Y"/>
    <n v="1"/>
    <s v="Motor, Start Air Compressor, 15 HP"/>
    <s v="Compressed Air*Air Compressor Set (Starting Air # 1)*Motor, (15 HP)*Motor, Start Air Compressor, 15 HP"/>
    <n v="2"/>
    <m/>
    <m/>
    <n v="2"/>
  </r>
  <r>
    <s v="0105"/>
    <x v="4"/>
    <n v="31452"/>
    <s v="Gland Seal*Gland Seal Pump Set ( LTX #1)*Gland Seal Pump Set (#1), Complete*Coupling (1060T35)*Grid, 1060T35 Coupling"/>
    <x v="67"/>
    <s v="Y"/>
    <n v="1"/>
    <s v="Grid, 1060T35 Coupling"/>
    <s v="Gland Seal*Gland Seal Pump Set ( LTX #1)*Gland Seal Pump Set (#1), Complete*Coupling (1060T35)*Grid, 1060T35 Coupling"/>
    <n v="1"/>
    <s v="1060T35"/>
    <s v="Motion Industries"/>
    <n v="1"/>
  </r>
  <r>
    <s v="0105"/>
    <x v="4"/>
    <n v="38429"/>
    <s v="Pump, Ladder*Ladder Pump (Universal)*Impeller, 58&quot; 3-Vane"/>
    <x v="64"/>
    <s v="Y"/>
    <n v="1"/>
    <s v="Impeller, 58&quot; 3-Vane"/>
    <s v="Pump, Ladder*Ladder Pump (Universal)*Impeller, 58&quot; 3-Vane"/>
    <n v="1"/>
    <s v="5A-3611"/>
    <s v="SPI/MPMW"/>
    <n v="1"/>
  </r>
  <r>
    <s v="0105"/>
    <x v="4"/>
    <n v="49580"/>
    <s v="Generators*Main Generator Set*Main Generator Engine (EMD 645)*Heat Exchanger*Joint, Flex - Oil Oulet"/>
    <x v="4"/>
    <s v="Y"/>
    <n v="1"/>
    <s v="Joint, Flex - Oil Oulet"/>
    <s v="Generators*Main Generator Set*Main Generator Engine (EMD 645)*Heat Exchanger*Joint, Flex - Oil Oulet"/>
    <n v="1"/>
    <m/>
    <m/>
    <n v="1"/>
  </r>
  <r>
    <s v="0105"/>
    <x v="4"/>
    <n v="50075"/>
    <s v="Gland Seal*Gland Seal Pump Set ( LTX #1)*Gland Seal Pump Set (#1), Complete*Coupling (1060T35)*Grid Spring Assembly"/>
    <x v="67"/>
    <s v="Y"/>
    <n v="1"/>
    <s v="Grid Spring Assembly"/>
    <s v="Gland Seal*Gland Seal Pump Set ( LTX #1)*Gland Seal Pump Set (#1), Complete*Coupling (1060T35)*Grid Spring Assembly"/>
    <n v="1"/>
    <s v="1060T35"/>
    <s v="Falk"/>
    <n v="1"/>
  </r>
  <r>
    <s v="0105"/>
    <x v="4"/>
    <n v="54593"/>
    <s v="MG Set (Cutter/Swing)*Junction Box (Cutter)*Contactor, Single Pole"/>
    <x v="72"/>
    <s v="Y"/>
    <n v="1"/>
    <s v="Contactor, Single Pole"/>
    <s v="MG Set (Cutter/Swing)*Junction Box (Cutter)*Contactor, Single Pole"/>
    <n v="1"/>
    <s v="6702ED668"/>
    <s v="CUTTLER HAMMER"/>
    <n v="1"/>
  </r>
  <r>
    <s v="0105"/>
    <x v="4"/>
    <n v="55779"/>
    <s v="Potable Water*Desalinator*Fresh Water Distillate Pump"/>
    <x v="69"/>
    <s v="Y"/>
    <n v="1"/>
    <s v="Fresh Water Distillate Pump"/>
    <s v="Potable Water*Desalinator*Fresh Water Distillate Pump"/>
    <n v="2"/>
    <s v="78634-08"/>
    <s v="MAXIM"/>
    <n v="1"/>
  </r>
  <r>
    <s v="0105"/>
    <x v="4"/>
    <n v="800000050"/>
    <s v="Vessel Consumables*Dredge Wires*Breast Wire, 1-5/8&quot; x 1500'"/>
    <x v="78"/>
    <s v="Y"/>
    <n v="3"/>
    <s v="Breast Wire, 1-5/8&quot; x 1500'"/>
    <s v="Vessel Consumables*Dredge Wires*Breast Wire, 1-5/8&quot; x 1500'"/>
    <n v="2"/>
    <m/>
    <m/>
    <n v="1"/>
  </r>
  <r>
    <s v="0105"/>
    <x v="4"/>
    <n v="800000055"/>
    <s v="Vessel Consumables*Dredge Wires*Ladder Wire, 1-1/2&quot; x 1000'"/>
    <x v="78"/>
    <s v="Y"/>
    <n v="1"/>
    <s v="Ladder Wire, 1-1/2&quot; x 1000'"/>
    <s v="Vessel Consumables*Dredge Wires*Ladder Wire, 1-1/2&quot; x 1000'"/>
    <n v="2"/>
    <m/>
    <m/>
    <n v="1"/>
  </r>
  <r>
    <s v="0105"/>
    <x v="4"/>
    <n v="800000060"/>
    <s v="Cutter Machinery*Tailshaft*Cutlass Bearing*Stave Set, Cutless Bearing"/>
    <x v="66"/>
    <s v="Y"/>
    <n v="1"/>
    <s v="Stave Set, Cutless Bearing"/>
    <s v="Cutter Machinery*Tailshaft*Cutlass Bearing*Stave Set, Cutless Bearing"/>
    <n v="1"/>
    <s v="806793062"/>
    <s v="DURAMAX MARINE"/>
    <n v="1"/>
  </r>
  <r>
    <s v="0105"/>
    <x v="4"/>
    <n v="900000090"/>
    <s v="Vessel Consumables*Filters*Filter, Primary Air (EMD 20)"/>
    <x v="78"/>
    <s v="Y"/>
    <n v="15"/>
    <s v="Filter, Primary Air (EMD 20)"/>
    <s v="Vessel Consumables*Filters*Filter, Primary Air (EMD 20)"/>
    <n v="20"/>
    <s v="AF4997"/>
    <s v="Fleet Guard"/>
    <n v="1"/>
  </r>
  <r>
    <s v="0105"/>
    <x v="4"/>
    <n v="6900000052"/>
    <s v="Cutter Machinery*Tailshaft*Cutlass Bearing*Hose, Cutlass Water Supply"/>
    <x v="66"/>
    <s v="Y"/>
    <n v="2"/>
    <s v="Hose, Cutlass Water Supply"/>
    <s v="Cutter Machinery*Tailshaft*Cutlass Bearing*Hose, Cutlass Water Supply"/>
    <n v="5"/>
    <m/>
    <m/>
    <n v="1"/>
  </r>
  <r>
    <s v="0105"/>
    <x v="4"/>
    <n v="6900000220"/>
    <s v="Pump, Dredge*Dredge Pump*Washer, Copper, Impeller"/>
    <x v="63"/>
    <s v="Y"/>
    <n v="2"/>
    <s v="Washer, Copper, Impeller"/>
    <s v="Pump, Dredge*Dredge Pump*Washer, Copper, Impeller"/>
    <n v="2"/>
    <s v="B-5176"/>
    <s v="SPI/MPMW"/>
    <n v="1"/>
  </r>
  <r>
    <s v="0105"/>
    <x v="4"/>
    <n v="7500003644"/>
    <s v="Cutter Machinery*Cutter Motor (Port)*Motokool Closed Loop System*Blower/ Motor Assembly*Blower Motor, Cutter, 15 HP"/>
    <x v="66"/>
    <s v="Y"/>
    <n v="1"/>
    <s v="Blower Motor, Cutter, 15 HP"/>
    <s v="Cutter Machinery*Cutter Motor (Port)*Motokool Closed Loop System*Blower/ Motor Assembly*Blower Motor, Cutter, 15 HP"/>
    <n v="1"/>
    <s v="5K5254BCT105B"/>
    <s v="General Electric"/>
    <n v="2"/>
  </r>
  <r>
    <s v="0105"/>
    <x v="4"/>
    <n v="7500003702"/>
    <s v="Ladder System*Ladder Hoist Winch*Ladder Hoist Motor*Breaker"/>
    <x v="68"/>
    <s v="Y"/>
    <n v="1"/>
    <s v="Breaker"/>
    <s v="Ladder System*Ladder Hoist Winch*Ladder Hoist Motor*Breaker"/>
    <n v="1"/>
    <s v="2608D75G14"/>
    <s v="Westinghouse"/>
    <n v="1"/>
  </r>
  <r>
    <s v="0105"/>
    <x v="4"/>
    <n v="7500003705"/>
    <s v="Ladder System*Ladder Hoist Winch*Ladder Hoist Motor*Motor, Ladder Hoist Blower, 3 HP"/>
    <x v="68"/>
    <s v="Y"/>
    <n v="1"/>
    <s v="Motor, Ladder Hoist Blower, 3 HP"/>
    <s v="Ladder System*Ladder Hoist Winch*Ladder Hoist Motor*Motor, Ladder Hoist Blower, 3 HP"/>
    <n v="1"/>
    <s v="P5643165N-VL"/>
    <s v="RELIANCE"/>
    <n v="1"/>
  </r>
  <r>
    <s v="0105"/>
    <x v="4"/>
    <n v="7800000276"/>
    <s v="Potable Water*Desalinator*Mechanical Seal, 1&quot;, Desalinator"/>
    <x v="69"/>
    <s v="Y"/>
    <n v="2"/>
    <s v="Mechanical Seal, 1&quot;, Desalinator"/>
    <s v="Potable Water*Desalinator*Mechanical Seal, 1&quot;, Desalinator"/>
    <n v="4"/>
    <s v="5NC10"/>
    <s v="Grainger"/>
    <n v="1"/>
  </r>
  <r>
    <s v="0105"/>
    <x v="4"/>
    <n v="11500002546"/>
    <s v="Cutter Machinery*Cutter Gearbox*Shaft, Output (L.S.)*PACKING, OIL SEAL"/>
    <x v="66"/>
    <s v="Y"/>
    <n v="52"/>
    <s v="PACKING, OIL SEAL"/>
    <s v="Cutter Machinery*Cutter Gearbox*Shaft, Output (L.S.)*PACKING, OIL SEAL"/>
    <n v="112"/>
    <s v="C-1065"/>
    <s v="TRICO"/>
    <n v="1"/>
  </r>
  <r>
    <s v="0105"/>
    <x v="4"/>
    <n v="11500002584"/>
    <s v="Cutter Machinery*Cutter Gearbox*Shaft, HS Intermediate*Bearing, HS Intermediate Shaft*Bearing Locking Pins"/>
    <x v="66"/>
    <s v="Y"/>
    <n v="1"/>
    <s v="Bearing Locking Pins"/>
    <s v="Cutter Machinery*Cutter Gearbox*Shaft, HS Intermediate*Bearing, HS Intermediate Shaft*Bearing Locking Pins"/>
    <n v="1"/>
    <s v="B18217-05"/>
    <s v="HORSBOURGH &amp; SCOTT"/>
    <n v="1"/>
  </r>
  <r>
    <s v="0105"/>
    <x v="4"/>
    <n v="13200002251"/>
    <s v="Gland Seal*Gland Seal Pump Set ( LTX #1)*Gland Seal Pump Set (#1), Complete*Seal, Labyrinth (Fwd)"/>
    <x v="67"/>
    <s v="Y"/>
    <n v="1"/>
    <s v="Seal, Labyrinth (Fwd)"/>
    <s v="Gland Seal*Gland Seal Pump Set ( LTX #1)*Gland Seal Pump Set (#1), Complete*Seal, Labyrinth (Fwd)"/>
    <n v="1"/>
    <s v="LSE-1750-2875-1-1"/>
    <s v="Goulds"/>
    <n v="1"/>
  </r>
  <r>
    <s v="0105"/>
    <x v="4"/>
    <n v="13200002252"/>
    <s v="Gland Seal*Gland Seal Pump Set ( LTX #1)*Gland Seal Pump Set (#1), Complete*Seal, Labyrinth (Rear)"/>
    <x v="67"/>
    <s v="Y"/>
    <n v="1"/>
    <s v="Seal, Labyrinth (Rear)"/>
    <s v="Gland Seal*Gland Seal Pump Set ( LTX #1)*Gland Seal Pump Set (#1), Complete*Seal, Labyrinth (Rear)"/>
    <n v="1"/>
    <s v="LSE-1125-2000-1-1"/>
    <s v="Goulds"/>
    <n v="1"/>
  </r>
  <r>
    <s v="0105"/>
    <x v="4"/>
    <n v="13200002254"/>
    <s v="Gland Seal*Gland Seal Pump Set ( LTX #1)*Gland Seal Pump Set (#1), Complete*Shaft, Impeller*Sleeve, Shaft"/>
    <x v="67"/>
    <s v="Y"/>
    <n v="1"/>
    <s v="Sleeve, Shaft"/>
    <s v="Gland Seal*Gland Seal Pump Set ( LTX #1)*Gland Seal Pump Set (#1), Complete*Shaft, Impeller*Sleeve, Shaft"/>
    <n v="1"/>
    <s v="73705X-2229"/>
    <s v="Goulds"/>
    <n v="1"/>
  </r>
  <r>
    <s v="0105"/>
    <x v="4"/>
    <n v="13200002900"/>
    <s v="Gland Seal*Gland Seal Pump Set ( LTX #2)*PUMP, GOULDS 3196*Bearing, Motor End"/>
    <x v="67"/>
    <s v="Y"/>
    <n v="1"/>
    <s v="Bearing, Motor End"/>
    <s v="Gland Seal*Gland Seal Pump Set ( LTX #2)*PUMP, GOULDS 3196*Bearing, Motor End"/>
    <n v="2"/>
    <s v="112A"/>
    <s v="Goulds"/>
    <n v="1"/>
  </r>
  <r>
    <s v="0105"/>
    <x v="4"/>
    <n v="13200002901"/>
    <s v="Gland Seal*Gland Seal Pump Set ( LTX #2)*PUMP, GOULDS 3196*Bearing, Pump End"/>
    <x v="67"/>
    <s v="Y"/>
    <n v="1"/>
    <s v="Bearing, Pump End"/>
    <s v="Gland Seal*Gland Seal Pump Set ( LTX #2)*PUMP, GOULDS 3196*Bearing, Pump End"/>
    <n v="1"/>
    <s v="168A"/>
    <s v="Goulds"/>
    <n v="1"/>
  </r>
  <r>
    <s v="0105"/>
    <x v="4"/>
    <n v="13200002903"/>
    <s v="Gland Seal*Gland Seal Pump Set ( LTX #2)*PUMP, GOULDS 3196*Bearing Lock Nut"/>
    <x v="67"/>
    <s v="Y"/>
    <n v="1"/>
    <s v="Bearing Lock Nut"/>
    <s v="Gland Seal*Gland Seal Pump Set ( LTX #2)*PUMP, GOULDS 3196*Bearing Lock Nut"/>
    <n v="9"/>
    <s v="136"/>
    <s v="Goulds"/>
    <n v="1"/>
  </r>
  <r>
    <s v="0105"/>
    <x v="4"/>
    <n v="13200002908"/>
    <s v="Gland Seal*Gland Seal Pump Set ( LTX #2)*PUMP, GOULDS 3196*Seal, Oil Motor End"/>
    <x v="67"/>
    <s v="Y"/>
    <n v="1"/>
    <s v="Seal, Oil Motor End"/>
    <s v="Gland Seal*Gland Seal Pump Set ( LTX #2)*PUMP, GOULDS 3196*Seal, Oil Motor End"/>
    <n v="1"/>
    <s v="332A"/>
    <s v="Goulds"/>
    <n v="1"/>
  </r>
  <r>
    <s v="0105"/>
    <x v="4"/>
    <n v="13200002909"/>
    <s v="Gland Seal*Gland Seal Pump Set ( LTX #2)*PUMP, GOULDS 3196*Seal, Oil"/>
    <x v="67"/>
    <s v="Y"/>
    <n v="1"/>
    <s v="Seal, Oil"/>
    <s v="Gland Seal*Gland Seal Pump Set ( LTX #2)*PUMP, GOULDS 3196*Seal, Oil"/>
    <n v="1"/>
    <s v="333A"/>
    <s v="Goulds"/>
    <n v="1"/>
  </r>
  <r>
    <s v="0105"/>
    <x v="4"/>
    <n v="13200002911"/>
    <s v="Gland Seal*Gland Seal Pump Set ( LTX #2)*PUMP, GOULDS 3196*Sleeve, Shaft"/>
    <x v="67"/>
    <s v="Y"/>
    <n v="2"/>
    <s v="Sleeve, Shaft"/>
    <s v="Gland Seal*Gland Seal Pump Set ( LTX #2)*PUMP, GOULDS 3196*Sleeve, Shaft"/>
    <n v="3"/>
    <s v="73705X-2230"/>
    <s v="Goulds"/>
    <n v="1"/>
  </r>
  <r>
    <s v="0105"/>
    <x v="4"/>
    <n v="18000000045"/>
    <s v="Pump, Dredge*Dredge Pump Gearbox*Clutch (Port) (35CM500)*Clutch, 35CM500"/>
    <x v="63"/>
    <s v="Y"/>
    <n v="1"/>
    <s v="Clutch, 35CM500"/>
    <s v="Pump, Dredge*Dredge Pump Gearbox*Clutch (Port) (35CM500)*Clutch, 35CM500"/>
    <n v="1"/>
    <s v="35CM500"/>
    <s v="Eaton"/>
    <n v="2"/>
  </r>
  <r>
    <s v="0105"/>
    <x v="4"/>
    <n v="18000000046"/>
    <s v="Pump, Dredge*Dredge Pump Gearbox*Clutch (Port) (35CM500)*Seal, Rotary Air"/>
    <x v="63"/>
    <s v="Y"/>
    <n v="4"/>
    <s v="Seal, Rotary Air"/>
    <s v="Pump, Dredge*Dredge Pump Gearbox*Clutch (Port) (35CM500)*Seal, Rotary Air"/>
    <n v="5"/>
    <s v="1115-130-002"/>
    <s v="DEUBLIN COMPANY"/>
    <n v="2"/>
  </r>
  <r>
    <s v="0105"/>
    <x v="4"/>
    <n v="21200000065"/>
    <s v="HVAC*Vent, E/R Exhaust Blower (Main)*Motor, (7.5 HP)*Motor, E/R Exhaust Blower, 7.5 HP"/>
    <x v="38"/>
    <s v="Y"/>
    <n v="1"/>
    <s v="Motor, E/R Exhaust Blower, 7.5 HP"/>
    <s v="HVAC*Vent, E/R Exhaust Blower (Main)*Motor, (7.5 HP)*Motor, E/R Exhaust Blower, 7.5 HP"/>
    <n v="1"/>
    <m/>
    <m/>
    <n v="1"/>
  </r>
  <r>
    <s v="0105"/>
    <x v="4"/>
    <n v="27900000754"/>
    <s v="Cutter Machinery*Tailshaft*Bolt, Cutter Tailshaft"/>
    <x v="66"/>
    <s v="Y"/>
    <n v="10"/>
    <s v="Bolt, Cutter Tailshaft"/>
    <s v="Cutter Machinery*Tailshaft*Bolt, Cutter Tailshaft"/>
    <n v="10"/>
    <s v="105-02-10066"/>
    <s v="GLDD DWG"/>
    <n v="1"/>
  </r>
  <r>
    <s v="0105"/>
    <x v="4"/>
    <n v="32400000087"/>
    <s v="MG Set (Cutter/Swing)*Synchronous Motor (2000 HP) (1S87P476)*Spring, Brush Holder"/>
    <x v="72"/>
    <s v="Y"/>
    <n v="7"/>
    <s v="Spring, Brush Holder"/>
    <s v="MG Set (Cutter/Swing)*Synchronous Motor (2000 HP) (1S87P476)*Spring, Brush Holder"/>
    <n v="22"/>
    <s v="174A019H02"/>
    <s v="HELWIG CARBON"/>
    <n v="2"/>
  </r>
  <r>
    <s v="0105"/>
    <x v="4"/>
    <n v="32400000101"/>
    <s v="Ladder System*Drive, SCR (Ladder Hoist)*Fuse, 900 Amp"/>
    <x v="68"/>
    <s v="Y"/>
    <n v="6"/>
    <s v="Fuse, 900 Amp"/>
    <s v="Ladder System*Drive, SCR (Ladder Hoist)*Fuse, 900 Amp"/>
    <n v="36"/>
    <s v="A070URD33TTI0900"/>
    <s v="FUSECO"/>
    <n v="1"/>
  </r>
  <r>
    <s v="0105"/>
    <x v="4"/>
    <n v="32400000102"/>
    <s v="Ladder System*Drive, SCR (Ladder Hoist)*Indicator, Fuse"/>
    <x v="68"/>
    <s v="Y"/>
    <n v="6"/>
    <s v="Indicator, Fuse"/>
    <s v="Ladder System*Drive, SCR (Ladder Hoist)*Indicator, Fuse"/>
    <n v="12"/>
    <s v="AOSS"/>
    <s v="GOULD"/>
    <n v="1"/>
  </r>
  <r>
    <s v="0105"/>
    <x v="4"/>
    <n v="45000002183"/>
    <s v="Gland Seal*Gland Seal Pump Set ( LTX #1)*Gland Seal Pump Set (#1), Complete*Gasket, Casing"/>
    <x v="67"/>
    <s v="Y"/>
    <n v="2"/>
    <s v="Gasket, Casing"/>
    <s v="Gland Seal*Gland Seal Pump Set ( LTX #1)*Gland Seal Pump Set (#1), Complete*Gasket, Casing"/>
    <n v="14"/>
    <s v="Item "/>
    <s v="Goulds"/>
    <n v="1"/>
  </r>
  <r>
    <s v="0105"/>
    <x v="4"/>
    <n v="45000006703"/>
    <s v="Gland Seal*Gland Seal Pump Set ( LTX #1)*Gland Seal Pump Set (#1), Complete*Bearing, Thrust"/>
    <x v="67"/>
    <s v="Y"/>
    <n v="1"/>
    <s v="Bearing, Thrust"/>
    <s v="Gland Seal*Gland Seal Pump Set ( LTX #1)*Gland Seal Pump Set (#1), Complete*Bearing, Thrust"/>
    <n v="1"/>
    <s v="R8057 0 1029"/>
    <s v="Goulds"/>
    <n v="1"/>
  </r>
  <r>
    <s v="0105"/>
    <x v="4"/>
    <n v="45000006704"/>
    <s v="Gland Seal*Gland Seal Pump Set ( LTX #1)*Gland Seal Pump Set (#1), Complete*Bearing, Radial"/>
    <x v="67"/>
    <s v="Y"/>
    <n v="1"/>
    <s v="Bearing, Radial"/>
    <s v="Gland Seal*Gland Seal Pump Set ( LTX #1)*Gland Seal Pump Set (#1), Complete*Bearing, Radial"/>
    <n v="2"/>
    <s v="8050-31160"/>
    <s v="Goulds"/>
    <n v="1"/>
  </r>
  <r>
    <s v="0105"/>
    <x v="4"/>
    <n v="45000007087"/>
    <s v="Swing*Swing Winch*Coupling*Cover (T10)"/>
    <x v="65"/>
    <s v="Y"/>
    <n v="1"/>
    <s v="Cover (T10)"/>
    <s v="Swing*Swing Winch*Coupling*Cover (T10)"/>
    <n v="4"/>
    <m/>
    <m/>
    <n v="1"/>
  </r>
  <r>
    <s v="0105"/>
    <x v="4"/>
    <n v="45000007089"/>
    <s v="Swing*Swing Winch*Coupling*Grid"/>
    <x v="65"/>
    <s v="Y"/>
    <n v="1"/>
    <s v="Grid"/>
    <s v="Swing*Swing Winch*Coupling*Grid"/>
    <n v="2"/>
    <m/>
    <m/>
    <n v="1"/>
  </r>
  <r>
    <s v="0105"/>
    <x v="4"/>
    <n v="45000007090"/>
    <s v="Swing*Swing Winch*Coupling*Gasket (T10)"/>
    <x v="65"/>
    <s v="Y"/>
    <n v="1"/>
    <s v="Gasket (T10)"/>
    <s v="Swing*Swing Winch*Coupling*Gasket (T10)"/>
    <n v="3"/>
    <m/>
    <m/>
    <n v="1"/>
  </r>
  <r>
    <s v="0105"/>
    <x v="4"/>
    <n v="45000013421"/>
    <s v="Spud System*Spud Frame Structure*UPPER SHEAVE ASSEMBLY*Sheave, Spud Frame, 30-3/4&quot;"/>
    <x v="73"/>
    <s v="Y"/>
    <n v="2"/>
    <s v="Sheave, Spud Frame, 30-3/4&quot;"/>
    <s v="Spud System*Spud Frame Structure*UPPER SHEAVE ASSEMBLY*Sheave, Spud Frame, 30-3/4&quot;"/>
    <n v="2"/>
    <s v="105-07-21409R3"/>
    <s v="Gldd Dwg "/>
    <n v="1"/>
  </r>
  <r>
    <s v="0105"/>
    <x v="4"/>
    <n v="45000016664"/>
    <s v="Gland Seal*Gland Seal Pump Set ( LTX #1)*Gland Seal Pump Set (#1), Complete*Coupling, (1080T10)"/>
    <x v="67"/>
    <s v="Y"/>
    <n v="1"/>
    <s v="Coupling, (1080T10)"/>
    <s v="Gland Seal*Gland Seal Pump Set ( LTX #1)*Gland Seal Pump Set (#1), Complete*Coupling, (1080T10)"/>
    <n v="1"/>
    <s v="1080T10"/>
    <s v="Rexnord"/>
    <n v="1"/>
  </r>
  <r>
    <s v="0105"/>
    <x v="4"/>
    <n v="45000019304"/>
    <s v="Ladder System*Ladder Hoist Winch*Valve, 4-Way"/>
    <x v="68"/>
    <s v="Y"/>
    <n v="1"/>
    <s v="Valve, 4-Way"/>
    <s v="Ladder System*Ladder Hoist Winch*Valve, 4-Way"/>
    <n v="1"/>
    <s v="A-3766"/>
    <s v="MOBILE PULLEY"/>
    <n v="1"/>
  </r>
  <r>
    <s v="0105"/>
    <x v="4"/>
    <n v="45000019611"/>
    <s v="Ladder System*Drive, SCR (Ladder Hoist)*Processor, Micro Logix, Ml 1766-L32Bxb"/>
    <x v="68"/>
    <s v="Y"/>
    <n v="1"/>
    <s v="Processor, Micro Logix, Ml 1766-L32Bxb"/>
    <s v="Ladder System*Drive, SCR (Ladder Hoist)*Processor, Micro Logix, Ml 1766-L32Bxb"/>
    <n v="4"/>
    <s v="1766-L32BXB"/>
    <s v="ALLEN-BRADLEY"/>
    <n v="1"/>
  </r>
  <r>
    <s v="0105"/>
    <x v="4"/>
    <n v="45000019612"/>
    <s v="Ladder System*Drive, SCR (Ladder Hoist)*Relay, 700-Hk32A1-4, Slim Line"/>
    <x v="68"/>
    <s v="Y"/>
    <n v="2"/>
    <s v="Relay, 700-Hk32A1-4, Slim Line"/>
    <s v="Ladder System*Drive, SCR (Ladder Hoist)*Relay, 700-Hk32A1-4, Slim Line"/>
    <n v="8"/>
    <s v="700-HK32A1-4"/>
    <s v="ENGLEWOOD ELECTRICAL SUPPLY"/>
    <n v="1"/>
  </r>
  <r>
    <s v="0105"/>
    <x v="4"/>
    <n v="45000019613"/>
    <s v="Ladder System*Drive, SCR (Ladder Hoist)*Relay, 700-Hc Miniature"/>
    <x v="68"/>
    <s v="Y"/>
    <n v="2"/>
    <s v="Relay, 700-Hc Miniature"/>
    <s v="Ladder System*Drive, SCR (Ladder Hoist)*Relay, 700-Hc Miniature"/>
    <n v="4"/>
    <s v="700HC24Z24-4"/>
    <s v="ENGLEWOOD ELECTRICAL SUPPLY"/>
    <n v="1"/>
  </r>
  <r>
    <s v="0105"/>
    <x v="4"/>
    <n v="45000019614"/>
    <s v="Ladder System*Drive, SCR (Ladder Hoist)*Relay, Terminal Block"/>
    <x v="68"/>
    <s v="Y"/>
    <n v="2"/>
    <s v="Relay, Terminal Block"/>
    <s v="Ladder System*Drive, SCR (Ladder Hoist)*Relay, Terminal Block"/>
    <n v="4"/>
    <s v="700-HLS1U1"/>
    <s v="ENGLEWOOD ELECTRICAL SUPPLY"/>
    <n v="1"/>
  </r>
  <r>
    <s v="0105"/>
    <x v="4"/>
    <n v="45000019619"/>
    <s v="Ladder System*Drive, SCR (Ladder Hoist)*Relay, Vac Control"/>
    <x v="68"/>
    <s v="Y"/>
    <n v="2"/>
    <s v="Relay, Vac Control"/>
    <s v="Ladder System*Drive, SCR (Ladder Hoist)*Relay, Vac Control"/>
    <n v="4"/>
    <s v="700-PK400A1"/>
    <s v="ALLEN-BRADLEY"/>
    <n v="1"/>
  </r>
  <r>
    <s v="0105"/>
    <x v="4"/>
    <n v="45000019628"/>
    <s v="Ladder System*Drive, SCR (Ladder Hoist)*Module, Voltage Isolation, Afm Fdbk"/>
    <x v="68"/>
    <s v="Y"/>
    <n v="2"/>
    <s v="Module, Voltage Isolation, Afm Fdbk"/>
    <s v="Ladder System*Drive, SCR (Ladder Hoist)*Module, Voltage Isolation, Afm Fdbk"/>
    <n v="2"/>
    <s v="A22056"/>
    <s v="AVTRON"/>
    <n v="1"/>
  </r>
  <r>
    <s v="0105"/>
    <x v="4"/>
    <n v="45000019629"/>
    <s v="Ladder System*Drive, SCR (Ladder Hoist)*Module, Firing/ Snubber"/>
    <x v="68"/>
    <s v="Y"/>
    <n v="3"/>
    <s v="Module, Firing/ Snubber"/>
    <s v="Ladder System*Drive, SCR (Ladder Hoist)*Module, Firing/ Snubber"/>
    <n v="6"/>
    <s v="A22004"/>
    <s v="AVTRON"/>
    <n v="1"/>
  </r>
  <r>
    <s v="0105"/>
    <x v="4"/>
    <n v="45000019792"/>
    <s v="MG Set (Cutter/Swing)*Drive Cabinet (Cutter/ Swing)*Relay, 24 VDC, 4P"/>
    <x v="72"/>
    <s v="Y"/>
    <n v="1"/>
    <s v="Relay, 24 VDC, 4P"/>
    <s v="MG Set (Cutter/Swing)*Drive Cabinet (Cutter/ Swing)*Relay, 24 VDC, 4P"/>
    <n v="1"/>
    <s v="700DC-P200Z24"/>
    <s v="ENGLEWOOD ELECTRICAL SUPPLY"/>
    <n v="1"/>
  </r>
  <r>
    <s v="0105"/>
    <x v="4"/>
    <n v="45000019794"/>
    <s v="MG Set (Cutter/Swing)*Drive Cabinet (Cutter/ Swing)*Relay, 120 VAC, 700-P200A1"/>
    <x v="72"/>
    <s v="Y"/>
    <n v="1"/>
    <s v="Relay, 120 VAC, 700-P200A1"/>
    <s v="MG Set (Cutter/Swing)*Drive Cabinet (Cutter/ Swing)*Relay, 120 VAC, 700-P200A1"/>
    <n v="1"/>
    <s v="700P200A1"/>
    <s v="ENGLEWOOD ELECTRICAL SUPPLY"/>
    <n v="1"/>
  </r>
  <r>
    <s v="0105"/>
    <x v="4"/>
    <n v="45000019800"/>
    <s v="MG Set (Cutter/Swing)*Drive Cabinet (Cutter/ Swing)*Relay, 24VDC 4PDT"/>
    <x v="72"/>
    <s v="Y"/>
    <n v="1"/>
    <s v="Relay, 24VDC 4PDT"/>
    <s v="MG Set (Cutter/Swing)*Drive Cabinet (Cutter/ Swing)*Relay, 24VDC 4PDT"/>
    <n v="5"/>
    <s v="700HC24Z24-4"/>
    <s v="ENGLEWOOD ELECTRICAL SUPPLY"/>
    <n v="1"/>
  </r>
  <r>
    <s v="0105"/>
    <x v="4"/>
    <n v="45000019802"/>
    <s v="MG Set (Cutter/Swing)*Drive Cabinet (Cutter/ Swing)*Relay, 24VDC 4PDT"/>
    <x v="72"/>
    <s v="Y"/>
    <n v="1"/>
    <s v="Relay, 24VDC 4PDT"/>
    <s v="MG Set (Cutter/Swing)*Drive Cabinet (Cutter/ Swing)*Relay, 24VDC 4PDT"/>
    <n v="3"/>
    <s v="700-HKX27Z4-4"/>
    <s v="ENGLEWOOD ELECTRICAL SUPPLY"/>
    <n v="1"/>
  </r>
  <r>
    <s v="0105"/>
    <x v="4"/>
    <n v="45000019804"/>
    <s v="MG Set (Cutter/Swing)*Drive Cabinet (Cutter/ Swing)*Power Supply, 24 VDC"/>
    <x v="72"/>
    <s v="Y"/>
    <n v="1"/>
    <s v="Power Supply, 24 VDC"/>
    <s v="MG Set (Cutter/Swing)*Drive Cabinet (Cutter/ Swing)*Power Supply, 24 VDC"/>
    <n v="1"/>
    <s v="24EB10D60"/>
    <s v="ACOPIAN"/>
    <n v="1"/>
  </r>
  <r>
    <s v="0105"/>
    <x v="4"/>
    <n v="45000019810"/>
    <s v="MG Set (Cutter/Swing)*Drive Cabinet (Cutter/ Swing)*Fuse, SCR, 600V 60A"/>
    <x v="72"/>
    <s v="Y"/>
    <n v="10"/>
    <s v="Fuse, SCR, 600V 60A"/>
    <s v="MG Set (Cutter/Swing)*Drive Cabinet (Cutter/ Swing)*Fuse, SCR, 600V 60A"/>
    <n v="10"/>
    <s v="600V, 60A"/>
    <s v="FUSECO"/>
    <n v="1"/>
  </r>
  <r>
    <s v="0105"/>
    <x v="4"/>
    <n v="45000019813"/>
    <s v="MG Set (Cutter/Swing)*Drive Cabinet (Cutter/ Swing)*SCR, Main Field Hoist, 56 Amp"/>
    <x v="72"/>
    <s v="Y"/>
    <n v="3"/>
    <s v="SCR, Main Field Hoist, 56 Amp"/>
    <s v="MG Set (Cutter/Swing)*Drive Cabinet (Cutter/ Swing)*SCR, Main Field Hoist, 56 Amp"/>
    <n v="9"/>
    <s v="354886"/>
    <s v="AVTRON"/>
    <n v="1"/>
  </r>
  <r>
    <s v="0105"/>
    <x v="4"/>
    <n v="45000020190"/>
    <s v="MG Set (Cutter/Swing)*Soft Start, Synchronous Motor*Drive, Optic Hard Gate"/>
    <x v="72"/>
    <s v="Y"/>
    <n v="1"/>
    <s v="Drive, Optic Hard Gate"/>
    <s v="MG Set (Cutter/Swing)*Soft Start, Synchronous Motor*Drive, Optic Hard Gate"/>
    <n v="1"/>
    <s v="BIPC-300047-01"/>
    <s v="BENSHAW"/>
    <n v="1"/>
  </r>
  <r>
    <s v="0105"/>
    <x v="4"/>
    <n v="45000022817"/>
    <s v="Vessel Consumables*Filters*Filter, Oil (Spring Bearing)"/>
    <x v="78"/>
    <s v="Y"/>
    <n v="6"/>
    <s v="Filter, Oil (Spring Bearing)"/>
    <s v="Vessel Consumables*Filters*Filter, Oil (Spring Bearing)"/>
    <n v="12"/>
    <s v="HF6060"/>
    <s v="Fleet Guard"/>
    <n v="1"/>
  </r>
  <r>
    <s v="0105"/>
    <x v="4"/>
    <n v="45000024350"/>
    <s v="Electrical*Panels/Consoles*Levermans Console*Joystick Controller, Ladder Hoist"/>
    <x v="61"/>
    <s v="Y"/>
    <n v="1"/>
    <s v="Joystick Controller, Ladder Hoist"/>
    <s v="Electrical*Panels/Consoles*Levermans Console*Joystick Controller, Ladder Hoist"/>
    <n v="2"/>
    <s v="JSM9688"/>
    <s v="OEM CONTROLS"/>
    <n v="1"/>
  </r>
  <r>
    <s v="0105"/>
    <x v="4"/>
    <n v="45000024912"/>
    <s v="Production Instrumentation/Monitoring*Transducers (Parts)*Transmitter (-15 +40 PSIG)"/>
    <x v="75"/>
    <s v="Y"/>
    <n v="1"/>
    <s v="Transmitter (-15 +40 PSIG)"/>
    <s v="Production Instrumentation/Monitoring*Transducers (Parts)*Transmitter (-15 +40 PSIG)"/>
    <n v="2"/>
    <s v="1151GP6E22M3S1"/>
    <s v="ROSEMOUNT"/>
    <n v="1"/>
  </r>
  <r>
    <s v="0105"/>
    <x v="4"/>
    <n v="45000025177"/>
    <s v="Piping (Dredge)*D) Piping (Main Pump To Stern)*Universal Coupling*Female Part (Universal Coupling/ Lined)*Hydraulic Cylinder, Clamp Ring"/>
    <x v="80"/>
    <s v="Y"/>
    <n v="1"/>
    <s v="Hydraulic Cylinder, Clamp Ring"/>
    <s v="Piping (Dredge)*D) Piping (Main Pump To Stern)*Universal Coupling*Female Part (Universal Coupling/ Lined)*Hydraulic Cylinder, Clamp Ring"/>
    <n v="2"/>
    <s v="00010226"/>
    <s v="VOSTA"/>
    <n v="1"/>
  </r>
  <r>
    <s v="0105"/>
    <x v="4"/>
    <n v="45000025178"/>
    <s v="Piping (Dredge)*D) Piping (Main Pump To Stern)*Universal Coupling*Female Part (Universal Coupling/ Lined)*Hydraulic Cylinder, Locking Pin"/>
    <x v="80"/>
    <s v="Y"/>
    <n v="1"/>
    <s v="Hydraulic Cylinder, Locking Pin"/>
    <s v="Piping (Dredge)*D) Piping (Main Pump To Stern)*Universal Coupling*Female Part (Universal Coupling/ Lined)*Hydraulic Cylinder, Locking Pin"/>
    <n v="2"/>
    <s v="00010398"/>
    <s v="VOSTA"/>
    <n v="1"/>
  </r>
  <r>
    <s v="0105"/>
    <x v="4"/>
    <n v="45000026671"/>
    <s v="Ladder System*Ladder Hoist Winch*Cylinder, Brake 8&quot; X 8&quot;"/>
    <x v="68"/>
    <s v="Y"/>
    <n v="2"/>
    <s v="Cylinder, Brake 8&quot; X 8&quot;"/>
    <s v="Ladder System*Ladder Hoist Winch*Cylinder, Brake 8&quot; X 8&quot;"/>
    <n v="2"/>
    <s v="A-3770"/>
    <s v="MOBILE PULLEY"/>
    <n v="1"/>
  </r>
  <r>
    <s v="0105"/>
    <x v="4"/>
    <n v="45000026672"/>
    <s v="Ladder System*Ladder Hoist Winch*Clevis, Female Rod"/>
    <x v="68"/>
    <s v="Y"/>
    <n v="2"/>
    <s v="Clevis, Female Rod"/>
    <s v="Ladder System*Ladder Hoist Winch*Clevis, Female Rod"/>
    <n v="3"/>
    <s v="A-3770"/>
    <s v="MOBILE PULLEY"/>
    <n v="1"/>
  </r>
  <r>
    <s v="0105"/>
    <x v="4"/>
    <n v="45000028525"/>
    <s v="Pump, Ladder*Drive, Soft Start (Ladder Pump)*Disconnect Switch, 400 Amp"/>
    <x v="64"/>
    <s v="Y"/>
    <n v="1"/>
    <s v="Disconnect Switch, 400 Amp"/>
    <s v="Pump, Ladder*Drive, Soft Start (Ladder Pump)*Disconnect Switch, 400 Amp"/>
    <m/>
    <s v="DISCMV-400"/>
    <s v="BENSHAW"/>
    <n v="1"/>
  </r>
  <r>
    <s v="0105"/>
    <x v="4"/>
    <n v="45000029091"/>
    <s v="Pump, Dredge*Dredge Pump Gearbox*Seal, H/S Input Split Oil"/>
    <x v="63"/>
    <s v="Y"/>
    <n v="2"/>
    <s v="Seal, H/S Input Split Oil"/>
    <s v="Pump, Dredge*Dredge Pump Gearbox*Seal, H/S Input Split Oil"/>
    <n v="5"/>
    <s v="3581RUP"/>
    <s v="TRICO"/>
    <n v="1"/>
  </r>
  <r>
    <s v="0105"/>
    <x v="4"/>
    <n v="45000029112"/>
    <s v="Gland Seal*Gland Seal Pump Set ( LTX #1)*Gland Seal Pump Set (#1), Complete*Sleeve, Shaft"/>
    <x v="67"/>
    <s v="Y"/>
    <n v="1"/>
    <s v="Sleeve, Shaft"/>
    <s v="Gland Seal*Gland Seal Pump Set ( LTX #1)*Gland Seal Pump Set (#1), Complete*Sleeve, Shaft"/>
    <n v="2"/>
    <s v="92593-6956"/>
    <s v="Goulds"/>
    <n v="1"/>
  </r>
  <r>
    <s v="0105"/>
    <x v="4"/>
    <n v="45000029948"/>
    <s v="Cutter Machinery*Cutter Motor (Port)*Brush Holder, Single"/>
    <x v="66"/>
    <s v="Y"/>
    <n v="12"/>
    <s v="Brush Holder, Single"/>
    <s v="Cutter Machinery*Cutter Motor (Port)*Brush Holder, Single"/>
    <n v="12"/>
    <s v="10.101530.1.402"/>
    <s v="HELWIG CARBON"/>
    <n v="2"/>
  </r>
  <r>
    <s v="0105"/>
    <x v="4"/>
    <n v="45000031471"/>
    <s v="Ladder System*Drive, SCR (Ladder Hoist)*Interface Board, Bridge"/>
    <x v="68"/>
    <s v="Y"/>
    <n v="2"/>
    <s v="Interface Board, Bridge"/>
    <s v="Ladder System*Drive, SCR (Ladder Hoist)*Interface Board, Bridge"/>
    <n v="3"/>
    <s v="A19273-1"/>
    <s v="AVTRON"/>
    <n v="1"/>
  </r>
  <r>
    <s v="0105"/>
    <x v="4"/>
    <n v="46700000054"/>
    <s v="Pump, Ladder*Ladder Pump (Universal)*Liner, Suction Side (Moballoy)"/>
    <x v="64"/>
    <s v="Y"/>
    <n v="1"/>
    <s v="Liner, Suction Side (Moballoy)"/>
    <s v="Pump, Ladder*Ladder Pump (Universal)*Liner, Suction Side (Moballoy)"/>
    <n v="1"/>
    <s v="A-3604"/>
    <s v="SPI/MPMW"/>
    <n v="1"/>
  </r>
  <r>
    <s v="0105"/>
    <x v="4"/>
    <n v="60400001768"/>
    <s v="Hydraulic Systems*HPU (Anchor Winch)*Hydraulic Pump*Pump, Hydraulic, Anchor Winch"/>
    <x v="58"/>
    <s v="Y"/>
    <n v="1"/>
    <s v="Pump, Hydraulic, Anchor Winch"/>
    <s v="Hydraulic Systems*HPU (Anchor Winch)*Hydraulic Pump*Pump, Hydraulic, Anchor Winch"/>
    <n v="1"/>
    <s v="K3VL200"/>
    <s v="KAWASAKI"/>
    <n v="1"/>
  </r>
  <r>
    <s v="0105"/>
    <x v="4"/>
    <n v="60400001914"/>
    <s v="Hydraulic Systems*HPU (Anchor Winch)*Hydraulic Pump*Motor, (75 HP)*Motor, Anchor Winch HPU, 75 HP"/>
    <x v="58"/>
    <s v="Y"/>
    <n v="1"/>
    <s v="Motor, Anchor Winch HPU, 75 HP"/>
    <s v="Hydraulic Systems*HPU (Anchor Winch)*Hydraulic Pump*Motor, (75 HP)*Motor, Anchor Winch HPU, 75 HP"/>
    <n v="1"/>
    <m/>
    <m/>
    <n v="1"/>
  </r>
  <r>
    <s v="0105"/>
    <x v="4"/>
    <n v="60400002261"/>
    <s v="Cutter Machinery*Cutter Gearbox*Coupling (Cutter Motor To Gearbox)*Spacer, Disc Pack"/>
    <x v="66"/>
    <s v="Y"/>
    <n v="2"/>
    <s v="Spacer, Disc Pack"/>
    <s v="Cutter Machinery*Cutter Gearbox*Coupling (Cutter Motor To Gearbox)*Spacer, Disc Pack"/>
    <n v="2"/>
    <m/>
    <m/>
    <n v="1"/>
  </r>
  <r>
    <s v="0105"/>
    <x v="4"/>
    <n v="60400002262"/>
    <s v="Cutter Machinery*Cutter Gearbox*Coupling (Cutter Motor To Gearbox)*Spacer, Disc Pack, Hardware"/>
    <x v="66"/>
    <s v="Y"/>
    <n v="2"/>
    <s v="Spacer, Disc Pack, Hardware"/>
    <s v="Cutter Machinery*Cutter Gearbox*Coupling (Cutter Motor To Gearbox)*Spacer, Disc Pack, Hardware"/>
    <n v="2"/>
    <m/>
    <m/>
    <n v="1"/>
  </r>
  <r>
    <s v="0105"/>
    <x v="4"/>
    <n v="60400003063"/>
    <s v="Pump, Dredge*Dredge Pump*Wet End Parts*Liner, Suction Side"/>
    <x v="63"/>
    <s v="Y"/>
    <n v="1"/>
    <s v="Liner, Suction Side"/>
    <s v="Pump, Dredge*Dredge Pump*Wet End Parts*Liner, Suction Side"/>
    <n v="1"/>
    <s v="A-6738"/>
    <s v="SPI/MPMW"/>
    <n v="1"/>
  </r>
  <r>
    <s v="0105"/>
    <x v="4"/>
    <n v="60400003064"/>
    <s v="Pump, Dredge*Dredge Pump*Wet End Parts*Liner, Engine Side"/>
    <x v="63"/>
    <s v="Y"/>
    <n v="1"/>
    <s v="Liner, Engine Side"/>
    <s v="Pump, Dredge*Dredge Pump*Wet End Parts*Liner, Engine Side"/>
    <n v="0"/>
    <s v="A-6739"/>
    <s v="SPI/MPMW"/>
    <n v="1"/>
  </r>
  <r>
    <s v="0105"/>
    <x v="4"/>
    <n v="60400006136"/>
    <s v="Generators*Main Generator Set*Main Generator Engine (EMD 645)*PGA Acuator*PGA Actuator"/>
    <x v="4"/>
    <s v="Y"/>
    <n v="1"/>
    <s v="PGA Actuator"/>
    <s v="Generators*Main Generator Set*Main Generator Engine (EMD 645)*PGA Acuator*PGA Actuator"/>
    <n v="2"/>
    <s v="8250-983"/>
    <s v="Woodward"/>
    <n v="1"/>
  </r>
  <r>
    <s v="0105"/>
    <x v="4"/>
    <n v="60400006311"/>
    <s v="Fuel Oil Transfer*Fuel Oil Transfer Pump Set (#1)*Motor, (15 HP)*Motor, Fuel Oil Trannfer Pump, 15 HP"/>
    <x v="81"/>
    <s v="Y"/>
    <n v="1"/>
    <s v="Motor, Fuel Oil Trannfer Pump, 15 HP"/>
    <s v="Fuel Oil Transfer*Fuel Oil Transfer Pump Set (#1)*Motor, (15 HP)*Motor, Fuel Oil Trannfer Pump, 15 HP"/>
    <n v="1"/>
    <s v="R835006934MM"/>
    <s v="U.S. ELECTRIC"/>
    <n v="2"/>
  </r>
  <r>
    <s v="0105"/>
    <x v="4"/>
    <n v="62400002536"/>
    <s v="Pump, Dredge*Dredge Pump*Pump Shell, Inner (D/P)"/>
    <x v="63"/>
    <s v="Y"/>
    <n v="1"/>
    <s v="Pump Shell, Inner (D/P)"/>
    <s v="Pump, Dredge*Dredge Pump*Pump Shell, Inner (D/P)"/>
    <n v="0"/>
    <s v="1A-5603"/>
    <s v="SPI/MPMW"/>
    <n v="1"/>
  </r>
  <r>
    <s v="0105"/>
    <x v="4"/>
    <n v="62400003789"/>
    <s v="Compressed Air*Air Compressor Set (Low Air #1)*Motor, (30 HP)*Motor, Air Compressor, 30 HP"/>
    <x v="79"/>
    <s v="Y"/>
    <n v="1"/>
    <s v="Motor, Air Compressor, 30 HP"/>
    <s v="Compressed Air*Air Compressor Set (Low Air #1)*Motor, (30 HP)*Motor, Air Compressor, 30 HP"/>
    <n v="1"/>
    <m/>
    <m/>
    <n v="1"/>
  </r>
  <r>
    <s v="0105"/>
    <x v="4"/>
    <n v="62400004002"/>
    <s v="Pump, Dredge*Dredge Pump Engine (Port) (EMD 645)*Pre-Lube Pump*Pre-Lube Pump &amp; Motor"/>
    <x v="63"/>
    <s v="Y"/>
    <n v="1"/>
    <s v="Pre-Lube Pump &amp; Motor"/>
    <s v="Pump, Dredge*Dredge Pump Engine (Port) (EMD 645)*Pre-Lube Pump*Pre-Lube Pump &amp; Motor"/>
    <n v="1"/>
    <s v="A3DH-118"/>
    <s v="IMO PUMPS"/>
    <n v="1"/>
  </r>
  <r>
    <s v="0105"/>
    <x v="4"/>
    <n v="62400004003"/>
    <s v="Generators*Main Generator Set*Main Generator Engine (EMD 645)*Soak Back Pump*Soak Back Pump &amp; Motor"/>
    <x v="4"/>
    <s v="Y"/>
    <n v="1"/>
    <s v="Soak Back Pump &amp; Motor"/>
    <s v="Generators*Main Generator Set*Main Generator Engine (EMD 645)*Soak Back Pump*Soak Back Pump &amp; Motor"/>
    <n v="2"/>
    <s v="8455818"/>
    <s v="LINCOLN"/>
    <n v="3"/>
  </r>
  <r>
    <s v="0105"/>
    <x v="4"/>
    <n v="62400004698"/>
    <s v="Pump, Ladder*Drive, Soft Start (Ladder Pump)*Circuit Board"/>
    <x v="64"/>
    <s v="Y"/>
    <n v="1"/>
    <s v="Circuit Board"/>
    <s v="Pump, Ladder*Drive, Soft Start (Ladder Pump)*Circuit Board"/>
    <n v="3"/>
    <s v="BIPC-450100-01"/>
    <s v="BENSHAW"/>
    <n v="1"/>
  </r>
  <r>
    <s v="0105"/>
    <x v="4"/>
    <n v="66200009582"/>
    <s v="Cutter Machinery*Tailshaft*Sleeve, Hub Wear, Cutter Tailshaft"/>
    <x v="66"/>
    <s v="Y"/>
    <n v="2"/>
    <s v="Sleeve, Hub Wear, Cutter Tailshaft"/>
    <s v="Cutter Machinery*Tailshaft*Sleeve, Hub Wear, Cutter Tailshaft"/>
    <n v="2"/>
    <s v="101-02-10293 Rev 4"/>
    <s v="GLDD DWG"/>
    <n v="1"/>
  </r>
  <r>
    <s v="0105"/>
    <x v="4"/>
    <n v="66200011559"/>
    <s v="Vessel Consumables*Filters*Filter, Soak Back (Spin On)"/>
    <x v="78"/>
    <s v="Y"/>
    <n v="6"/>
    <s v="Filter, Soak Back (Spin On)"/>
    <s v="Vessel Consumables*Filters*Filter, Soak Back (Spin On)"/>
    <n v="10"/>
    <s v="TL-3FSO"/>
    <s v="Clark Filters"/>
    <n v="1"/>
  </r>
  <r>
    <s v="0105"/>
    <x v="4"/>
    <n v="66200020552"/>
    <s v="Vessel Consumables*Dredge Wires*Wire, Swing, 1-5/8&quot; x 1000' (NEW)"/>
    <x v="78"/>
    <s v="Y"/>
    <n v="2"/>
    <s v="Wire, Swing, 1-5/8&quot; x 1000' (NEW)"/>
    <s v="Vessel Consumables*Dredge Wires*Wire, Swing, 1-5/8&quot; x 1000' (NEW)"/>
    <n v="1"/>
    <m/>
    <m/>
    <n v="1"/>
  </r>
  <r>
    <s v="0110"/>
    <x v="5"/>
    <n v="7884"/>
    <s v="Crane/Hoists*Service Crane*Hydraulic Pump, Service Crane"/>
    <x v="70"/>
    <s v="Y"/>
    <n v="1"/>
    <s v="Hydraulic Pump, Service Crane"/>
    <s v="Crane/Hoists*Service Crane*Hydraulic Pump, Service Crane"/>
    <n v="1"/>
    <s v="P50A-178BE-AM25-43-1"/>
    <s v="COMMERCIAL SHEARING"/>
    <n v="1"/>
  </r>
  <r>
    <s v="0110"/>
    <x v="5"/>
    <n v="9511"/>
    <s v="Generators*Main Genset (Stbd)*Main Generator Engine (Stbd) (EMD 645)*UG Actuator*Actuator, UG"/>
    <x v="4"/>
    <s v="Y"/>
    <n v="1"/>
    <s v="Actuator, UG"/>
    <s v="Generators*Main Genset (Stbd)*Main Generator Engine (Stbd) (EMD 645)*UG Actuator*Actuator, UG"/>
    <n v="2"/>
    <s v="A8251-724"/>
    <s v="Woodward"/>
    <n v="2"/>
  </r>
  <r>
    <s v="0110"/>
    <x v="5"/>
    <n v="9584"/>
    <s v="Pump, Dredge (Port)*Dredge Pump (Port)*Hardware &amp; Gaskets*Washer, Flat 1 3/8&quot;"/>
    <x v="82"/>
    <s v="Y"/>
    <n v="8"/>
    <s v="Washer, Flat 1 3/8&quot;"/>
    <s v="Pump, Dredge (Port)*Dredge Pump (Port)*Hardware &amp; Gaskets*Washer, Flat 1 3/8&quot;"/>
    <n v="26"/>
    <s v="9707P-08"/>
    <s v="GIW"/>
    <n v="2"/>
  </r>
  <r>
    <s v="0110"/>
    <x v="5"/>
    <n v="10229"/>
    <s v="Pump, Dredge (Port)*Dredge Pump (Port)*Hardware &amp; Gaskets*Gasket, Impeller To Sleeve"/>
    <x v="82"/>
    <s v="Y"/>
    <n v="2"/>
    <s v="Gasket, Impeller To Sleeve"/>
    <s v="Pump, Dredge (Port)*Dredge Pump (Port)*Hardware &amp; Gaskets*Gasket, Impeller To Sleeve"/>
    <n v="0"/>
    <s v="0479P-25"/>
    <s v="GIW"/>
    <n v="2"/>
  </r>
  <r>
    <s v="0110"/>
    <x v="5"/>
    <n v="10672"/>
    <s v="Pump, Ladder*Ladder Pump Gearbox*SHAFT, OUTPUT (L/S)*SEAL, DUO CONE"/>
    <x v="64"/>
    <s v="Y"/>
    <n v="1"/>
    <s v="SEAL, DUO CONE"/>
    <s v="Pump, Ladder*Ladder Pump Gearbox*SHAFT, OUTPUT (L/S)*SEAL, DUO CONE"/>
    <n v="2"/>
    <s v="5M7294"/>
    <s v="Caterpillar"/>
    <n v="1"/>
  </r>
  <r>
    <s v="0110"/>
    <x v="5"/>
    <n v="10681"/>
    <s v="Cutter Machinery*Canister*Heat Exchanger (Port)*Heat Exchanger, Cutter Motors"/>
    <x v="66"/>
    <s v="Y"/>
    <n v="2"/>
    <s v="Heat Exchanger, Cutter Motors"/>
    <s v="Cutter Machinery*Canister*Heat Exchanger (Port)*Heat Exchanger, Cutter Motors"/>
    <n v="2"/>
    <s v="11056-003"/>
    <s v="O&amp;M MFG."/>
    <n v="2"/>
  </r>
  <r>
    <s v="0110"/>
    <x v="5"/>
    <n v="10724"/>
    <s v="Cutter Machinery*Drive, SCR (Cutter) (Port)*Fuse, Ladder Hoist SCR Drive"/>
    <x v="66"/>
    <s v="Y"/>
    <n v="12"/>
    <s v="Fuse, Ladder Hoist SCR Drive"/>
    <s v="Cutter Machinery*Drive, SCR (Cutter) (Port)*Fuse, Ladder Hoist SCR Drive"/>
    <n v="12"/>
    <s v="B300450"/>
    <s v="FERRAZ SHAWMUT"/>
    <n v="4"/>
  </r>
  <r>
    <s v="0110"/>
    <x v="5"/>
    <n v="10746"/>
    <s v="Cutter Machinery*Drive, SCR (Cutter) (Port)*Fuse, Cutter SCR Drive"/>
    <x v="66"/>
    <s v="Y"/>
    <n v="24"/>
    <s v="Fuse, Cutter SCR Drive"/>
    <s v="Cutter Machinery*Drive, SCR (Cutter) (Port)*Fuse, Cutter SCR Drive"/>
    <n v="41"/>
    <s v="A300449"/>
    <s v="FERRAZ SHAWMUT"/>
    <n v="4"/>
  </r>
  <r>
    <s v="0110"/>
    <x v="5"/>
    <n v="10747"/>
    <s v="Cutter Machinery*Drive, SCR (Cutter) (Port)*Fuse, Spud Hoist SCR Drive"/>
    <x v="66"/>
    <s v="Y"/>
    <n v="12"/>
    <s v="Fuse, Spud Hoist SCR Drive"/>
    <s v="Cutter Machinery*Drive, SCR (Cutter) (Port)*Fuse, Spud Hoist SCR Drive"/>
    <n v="39"/>
    <s v="D300015"/>
    <s v="FERRAZ SHAWMUT"/>
    <n v="4"/>
  </r>
  <r>
    <s v="0110"/>
    <x v="5"/>
    <n v="14263"/>
    <s v="Pump, Dredge (Port)*Dredge Pump Gearbox (Port)*Clutch (32VC1000)*Valve, Air Control, 120 VAC"/>
    <x v="82"/>
    <s v="Y"/>
    <n v="2"/>
    <s v="Valve, Air Control, 120 VAC"/>
    <s v="Pump, Dredge (Port)*Dredge Pump Gearbox (Port)*Clutch (32VC1000)*Valve, Air Control, 120 VAC"/>
    <n v="4"/>
    <s v="8316G064-120/VAC"/>
    <s v="STEINER ELECTRIC"/>
    <n v="2"/>
  </r>
  <r>
    <s v="0110"/>
    <x v="5"/>
    <n v="18986"/>
    <s v="Pump, Ladder*Shafting*Pump Bearing Assembly (L/P)*Seal, Cat Duo Cone"/>
    <x v="64"/>
    <s v="Y"/>
    <n v="2"/>
    <s v="Seal, Cat Duo Cone"/>
    <s v="Pump, Ladder*Shafting*Pump Bearing Assembly (L/P)*Seal, Cat Duo Cone"/>
    <n v="11"/>
    <s v="9G5321"/>
    <s v="CATERPLILAR"/>
    <n v="1"/>
  </r>
  <r>
    <s v="0110"/>
    <x v="5"/>
    <n v="19491"/>
    <s v="Swing*Drive, SCR (Swing) (Port)*Card,Current Limit"/>
    <x v="65"/>
    <s v="Y"/>
    <n v="1"/>
    <s v="Card,Current Limit"/>
    <s v="Swing*Drive, SCR (Swing) (Port)*Card,Current Limit"/>
    <n v="3"/>
    <s v="1701 REV-A"/>
    <s v="O.E.M."/>
    <n v="2"/>
  </r>
  <r>
    <s v="0110"/>
    <x v="5"/>
    <n v="19492"/>
    <s v="Swing*Drive, SCR (Swing) (Port)*Card,Current"/>
    <x v="65"/>
    <s v="Y"/>
    <n v="1"/>
    <s v="Card,Current"/>
    <s v="Swing*Drive, SCR (Swing) (Port)*Card,Current"/>
    <n v="1"/>
    <s v="5360"/>
    <s v="SABINA"/>
    <n v="2"/>
  </r>
  <r>
    <s v="0110"/>
    <x v="5"/>
    <n v="19714"/>
    <s v="Generators*Main Genset (Stbd)*Main Generator Engine (Stbd) (EMD 645)*Overhaul Kit (EMD - Engine ) 30000 Hrs*Injector (E7B- Eco Tip) Emd #40079000-Mp"/>
    <x v="4"/>
    <s v="Y"/>
    <n v="20"/>
    <s v="Injector (E7B- Eco Tip) Emd #40079000-Mp"/>
    <s v="Generators*Main Genset (Stbd)*Main Generator Engine (Stbd) (EMD 645)*Overhaul Kit (EMD - Engine ) 30000 Hrs*Injector (E7B- Eco Tip) Emd #40079000-Mp"/>
    <n v="44"/>
    <s v="40079000"/>
    <s v="EMD"/>
    <n v="4"/>
  </r>
  <r>
    <s v="0110"/>
    <x v="5"/>
    <n v="20139"/>
    <s v="Cutter Machinery*Drive, SCR (Cutter) (Port)*MOV, Cutter SCR Drive"/>
    <x v="66"/>
    <s v="Y"/>
    <n v="5"/>
    <s v="MOV, Cutter SCR Drive"/>
    <s v="Cutter Machinery*Drive, SCR (Cutter) (Port)*MOV, Cutter SCR Drive"/>
    <n v="10"/>
    <s v="V661BA60"/>
    <s v="G.E"/>
    <n v="4"/>
  </r>
  <r>
    <s v="0110"/>
    <x v="5"/>
    <n v="34416"/>
    <s v="Pump, Ladder*Ladder Pump Motor (Stbd)*Ladder Pump Motor, 1000 HP*Shim, Vibracon"/>
    <x v="64"/>
    <s v="Y"/>
    <n v="4"/>
    <s v="Shim, Vibracon"/>
    <s v="Pump, Ladder*Ladder Pump Motor (Stbd)*Ladder Pump Motor, 1000 HP*Shim, Vibracon"/>
    <n v="8"/>
    <s v="SM-24 SS"/>
    <s v="VIBRACON"/>
    <n v="2"/>
  </r>
  <r>
    <s v="0110"/>
    <x v="5"/>
    <n v="34988"/>
    <s v="Pump, Dredge (Port)*Dredge Pump Engine Port (EMD 645)*Engine Accessories*HEAT EXCHANGER*Gasket, Channel Plate"/>
    <x v="82"/>
    <s v="Y"/>
    <n v="70"/>
    <s v="Gasket, Channel Plate"/>
    <s v="Pump, Dredge (Port)*Dredge Pump Engine Port (EMD 645)*Engine Accessories*HEAT EXCHANGER*Gasket, Channel Plate"/>
    <n v="70"/>
    <s v="32330-1509-6"/>
    <s v="Alfa Laval"/>
    <n v="3"/>
  </r>
  <r>
    <s v="0110"/>
    <x v="5"/>
    <n v="36780"/>
    <s v="Pump, Ladder*Ladder Pump*Pump Shell (Iron)"/>
    <x v="64"/>
    <s v="Y"/>
    <n v="1"/>
    <s v="Pump Shell (Iron)"/>
    <s v="Pump, Ladder*Ladder Pump*Pump Shell (Iron)"/>
    <n v="0"/>
    <s v="4A-4157"/>
    <s v="SPI/MPMW"/>
    <n v="1"/>
  </r>
  <r>
    <s v="0110"/>
    <x v="5"/>
    <n v="39564"/>
    <s v="Vessel Consumables*Dredge Wires*Wire, Christmas Tree, 1-3/4&quot; X 1500'"/>
    <x v="78"/>
    <s v="Y"/>
    <n v="2"/>
    <s v="Wire, Christmas Tree, 1-3/4&quot; X 1500'"/>
    <s v="Vessel Consumables*Dredge Wires*Wire, Christmas Tree, 1-3/4&quot; X 1500'"/>
    <n v="5"/>
    <m/>
    <m/>
    <n v="1"/>
  </r>
  <r>
    <s v="0110"/>
    <x v="5"/>
    <n v="50044"/>
    <s v="Generators*Main Genset (Stbd)*Main Generator Engine (Stbd) (EMD 645)*UG Actuator*Actuator, UG*Kit, Magnetic Pick-Up"/>
    <x v="4"/>
    <s v="Y"/>
    <n v="2"/>
    <s v="Kit, Magnetic Pick-Up"/>
    <s v="Generators*Main Genset (Stbd)*Main Generator Engine (Stbd) (EMD 645)*UG Actuator*Actuator, UG*Kit, Magnetic Pick-Up"/>
    <n v="7"/>
    <s v="5430-929"/>
    <s v="Woodward"/>
    <n v="2"/>
  </r>
  <r>
    <s v="0110"/>
    <x v="5"/>
    <n v="57595"/>
    <s v="Ladder System*Ladder Hoist Winch*Brake , Disc*Calipers, Brake, 5021"/>
    <x v="68"/>
    <s v="Y"/>
    <n v="1"/>
    <s v="Calipers, Brake, 5021"/>
    <s v="Ladder System*Ladder Hoist Winch*Brake , Disc*Calipers, Brake, 5021"/>
    <n v="1"/>
    <s v="5021-S1250"/>
    <s v="KOBELT"/>
    <n v="1"/>
  </r>
  <r>
    <s v="0110"/>
    <x v="5"/>
    <n v="7500000194"/>
    <s v="Generators*Main Genset (Stbd)*Main Generator Engine (Stbd) (EMD 645)*Starting System*Valve, Air Start, Two Way*mrg-Solenoid, Used For Air Starters"/>
    <x v="4"/>
    <s v="Y"/>
    <n v="2"/>
    <s v="mrg-Solenoid, Used For Air Starters"/>
    <s v="Generators*Main Genset (Stbd)*Main Generator Engine (Stbd) (EMD 645)*Starting System*Valve, Air Start, Two Way*mrg-Solenoid, Used For Air Starters"/>
    <n v="2"/>
    <s v="712-000"/>
    <s v="SALEM"/>
    <n v="4"/>
  </r>
  <r>
    <s v="0110"/>
    <x v="5"/>
    <n v="7500005914"/>
    <s v="Pump, Dredge (Port)*Shafting*Pump Bearing Assembly (D/P) (Port)*Oil Circulating Pump*Oil Pump, Thrust Bearing, 2&quot;"/>
    <x v="82"/>
    <s v="Y"/>
    <n v="1"/>
    <s v="Oil Pump, Thrust Bearing, 2&quot;"/>
    <s v="Pump, Dredge (Port)*Shafting*Pump Bearing Assembly (D/P) (Port)*Oil Circulating Pump*Oil Pump, Thrust Bearing, 2&quot;"/>
    <n v="0"/>
    <s v="5 GA"/>
    <s v="WORTHINGTON"/>
    <n v="1"/>
  </r>
  <r>
    <s v="0110"/>
    <x v="5"/>
    <n v="7500005931"/>
    <s v="Pump, Ladder*Shafting*L/P Shaft (#1)*Bearing, L/P Shaft (#1)*Seal, Split"/>
    <x v="64"/>
    <s v="Y"/>
    <n v="4"/>
    <s v="Seal, Split"/>
    <s v="Pump, Ladder*Shafting*L/P Shaft (#1)*Bearing, L/P Shaft (#1)*Seal, Split"/>
    <n v="13"/>
    <s v="25003-3523"/>
    <s v="Garlock"/>
    <n v="3"/>
  </r>
  <r>
    <s v="0110"/>
    <x v="5"/>
    <n v="7500006164"/>
    <s v="Cutter Machinery*Thrust Bearing*Bushing, Brass"/>
    <x v="66"/>
    <s v="Y"/>
    <n v="1"/>
    <s v="Bushing, Brass"/>
    <s v="Cutter Machinery*Thrust Bearing*Bushing, Brass"/>
    <n v="2"/>
    <s v="B-5687"/>
    <s v="MPMW Dwg "/>
    <n v="1"/>
  </r>
  <r>
    <s v="0110"/>
    <x v="5"/>
    <n v="7500006169"/>
    <s v="Cutter Machinery*Thrust Bearing*Seal, Split Lip"/>
    <x v="66"/>
    <s v="Y"/>
    <n v="4"/>
    <s v="Seal, Split Lip"/>
    <s v="Cutter Machinery*Thrust Bearing*Seal, Split Lip"/>
    <n v="8"/>
    <s v="25003-3741"/>
    <s v="Garlock"/>
    <n v="1"/>
  </r>
  <r>
    <s v="0110"/>
    <x v="5"/>
    <n v="7500006376"/>
    <s v="Swing*Swing Sheave (Port)*Swing Sheave Assembly"/>
    <x v="65"/>
    <s v="Y"/>
    <n v="1"/>
    <s v="Swing Sheave Assembly"/>
    <s v="Swing*Swing Sheave (Port)*Swing Sheave Assembly"/>
    <n v="1"/>
    <s v="AA-45214"/>
    <s v="SPI/MPMW"/>
    <n v="2"/>
  </r>
  <r>
    <s v="0110"/>
    <x v="5"/>
    <n v="7500006391"/>
    <s v="Bilge/Ballast*Bilge Pumpset (#1) (Mp Bilge)*Motor, (7.5 Hp)*Motor, Bilge Pump, 7.5 HP"/>
    <x v="83"/>
    <s v="Y"/>
    <n v="1"/>
    <s v="Motor, Bilge Pump, 7.5 HP"/>
    <s v="Bilge/Ballast*Bilge Pumpset (#1) (Mp Bilge)*Motor, (7.5 Hp)*Motor, Bilge Pump, 7.5 HP"/>
    <n v="2"/>
    <m/>
    <m/>
    <n v="4"/>
  </r>
  <r>
    <s v="0110"/>
    <x v="5"/>
    <n v="7500006393"/>
    <s v="Fuel Oil Transfer*Fuel Oil Transfer Pump (#1)*Pump, F/O Transfer*Motor, 7.5 HP"/>
    <x v="81"/>
    <s v="Y"/>
    <n v="1"/>
    <s v="Motor, 7.5 HP"/>
    <s v="Fuel Oil Transfer*Fuel Oil Transfer Pump (#1)*Pump, F/O Transfer*Motor, 7.5 HP"/>
    <n v="0"/>
    <m/>
    <m/>
    <n v="2"/>
  </r>
  <r>
    <s v="0110"/>
    <x v="5"/>
    <n v="7500006395"/>
    <s v="Safety Firefighting*Fire Pump*Motor, 50 HP"/>
    <x v="84"/>
    <s v="Y"/>
    <n v="1"/>
    <s v="Motor, 50 HP"/>
    <s v="Safety Firefighting*Fire Pump*Motor, 50 HP"/>
    <n v="3"/>
    <m/>
    <m/>
    <n v="6"/>
  </r>
  <r>
    <s v="0110"/>
    <x v="5"/>
    <n v="7500006401"/>
    <s v="Raw Water*Service Water Pump (#1)*PUMP, SVC WATER**Motor, 150 HP"/>
    <x v="71"/>
    <s v="Y"/>
    <n v="1"/>
    <s v="*Motor, 150 HP"/>
    <s v="Raw Water*Service Water Pump (#1)*PUMP, SVC WATER**Motor, 150 HP"/>
    <n v="0"/>
    <s v="5K445BL208A"/>
    <s v="General Electric"/>
    <n v="2"/>
  </r>
  <r>
    <s v="0110"/>
    <x v="5"/>
    <n v="7500007078"/>
    <s v="Pump, Ladder*Ladder Pump*Sleeve, Shaft, L/P, NCB Coated"/>
    <x v="64"/>
    <s v="Y"/>
    <n v="1"/>
    <s v="Sleeve, Shaft, L/P, NCB Coated"/>
    <s v="Pump, Ladder*Ladder Pump*Sleeve, Shaft, L/P, NCB Coated"/>
    <n v="0"/>
    <s v="AB-5373"/>
    <s v="SPI/MPMW"/>
    <n v="1"/>
  </r>
  <r>
    <s v="0110"/>
    <x v="5"/>
    <n v="7500007079"/>
    <s v="Pump, Ladder*Ladder Pump*Stuffing Box (Split)*Ring, Water"/>
    <x v="64"/>
    <s v="Y"/>
    <n v="1"/>
    <s v="Ring, Water"/>
    <s v="Pump, Ladder*Ladder Pump*Stuffing Box (Split)*Ring, Water"/>
    <n v="0"/>
    <s v="D-1846"/>
    <s v="MPMW Dwg "/>
    <n v="1"/>
  </r>
  <r>
    <s v="0110"/>
    <x v="5"/>
    <n v="7800000282"/>
    <s v="Generators*Main Genset (Stbd)*Main Generator Engine (Stbd) (EMD 645)*Cylinder Power Assembly Parts*Valve, Cylinder Test, With Handle"/>
    <x v="4"/>
    <s v="Y"/>
    <n v="10"/>
    <s v="Valve, Cylinder Test, With Handle"/>
    <s v="Generators*Main Genset (Stbd)*Main Generator Engine (Stbd) (EMD 645)*Cylinder Power Assembly Parts*Valve, Cylinder Test, With Handle"/>
    <n v="11"/>
    <s v="40054495"/>
    <s v="EMD (MSI)"/>
    <n v="4"/>
  </r>
  <r>
    <s v="0110"/>
    <x v="5"/>
    <n v="8800000112"/>
    <s v="Cutter Machinery*Thrust Bearing*Ring, Lantern"/>
    <x v="66"/>
    <s v="Y"/>
    <n v="2"/>
    <s v="Ring, Lantern"/>
    <s v="Cutter Machinery*Thrust Bearing*Ring, Lantern"/>
    <n v="2"/>
    <s v="118-02-2371"/>
    <s v="GLDD DWG"/>
    <n v="1"/>
  </r>
  <r>
    <s v="0110"/>
    <x v="5"/>
    <n v="8800000441"/>
    <s v="Generators*Main Genset (Stbd)*Main Generator Engine (Stbd) (EMD 645)*Cylinder Power Assembly Parts*Line, Fuel Jumper-Line Assy"/>
    <x v="4"/>
    <s v="Y"/>
    <n v="10"/>
    <s v="Line, Fuel Jumper-Line Assy"/>
    <s v="Generators*Main Genset (Stbd)*Main Generator Engine (Stbd) (EMD 645)*Cylinder Power Assembly Parts*Line, Fuel Jumper-Line Assy"/>
    <n v="23"/>
    <s v="8160209"/>
    <s v="EMD (MSI)"/>
    <n v="4"/>
  </r>
  <r>
    <s v="0110"/>
    <x v="5"/>
    <n v="11500002899"/>
    <s v="Pump, Dredge (Port)*Dredge Pump (Port)*Pumpshell (HP) (TBC-84)"/>
    <x v="82"/>
    <s v="Y"/>
    <n v="1"/>
    <s v="Pumpshell (HP) (TBC-84)"/>
    <s v="Pump, Dredge (Port)*Dredge Pump (Port)*Pumpshell (HP) (TBC-84)"/>
    <n v="1"/>
    <s v="6392C"/>
    <s v="GIW"/>
    <n v="2"/>
  </r>
  <r>
    <s v="0110"/>
    <x v="5"/>
    <n v="11500002941"/>
    <s v="Pump, Dredge (Port)*Dredge Pump (Port)*Hardware &amp; Gaskets*Stud, Pump Casing, 1-3/8&quot; x 13-1/2&quot;"/>
    <x v="82"/>
    <s v="Y"/>
    <n v="8"/>
    <s v="Stud, Pump Casing, 1-3/8&quot; x 13-1/2&quot;"/>
    <s v="Pump, Dredge (Port)*Dredge Pump (Port)*Hardware &amp; Gaskets*Stud, Pump Casing, 1-3/8&quot; x 13-1/2&quot;"/>
    <n v="16"/>
    <s v="9700P-65"/>
    <s v="GIW"/>
    <n v="2"/>
  </r>
  <r>
    <s v="0110"/>
    <x v="5"/>
    <n v="11500002943"/>
    <s v="Pump, Dredge (Port)*Dredge Pump (Port)*Hardware &amp; Gaskets*Washer, Spring (BV)"/>
    <x v="82"/>
    <s v="Y"/>
    <n v="20"/>
    <s v="Washer, Spring (BV)"/>
    <s v="Pump, Dredge (Port)*Dredge Pump (Port)*Hardware &amp; Gaskets*Washer, Spring (BV)"/>
    <n v="110"/>
    <s v="9705P-14"/>
    <s v="GIW"/>
    <n v="2"/>
  </r>
  <r>
    <s v="0110"/>
    <x v="5"/>
    <n v="11500002944"/>
    <s v="Pump, Dredge (Port)*Dredge Pump (Port)*Hardware &amp; Gaskets*Nut, Casing Stud"/>
    <x v="82"/>
    <s v="Y"/>
    <n v="8"/>
    <s v="Nut, Casing Stud"/>
    <s v="Pump, Dredge (Port)*Dredge Pump (Port)*Hardware &amp; Gaskets*Nut, Casing Stud"/>
    <n v="16"/>
    <s v="9706P-08"/>
    <s v="GIW"/>
    <n v="2"/>
  </r>
  <r>
    <s v="0110"/>
    <x v="5"/>
    <n v="11500002946"/>
    <s v="Pump, Dredge (Port)*Dredge Pump (Port)*Hardware &amp; Gaskets*Washer, Tie Bolt, 2-3/4&quot;"/>
    <x v="82"/>
    <s v="Y"/>
    <n v="20"/>
    <s v="Washer, Tie Bolt, 2-3/4&quot;"/>
    <s v="Pump, Dredge (Port)*Dredge Pump (Port)*Hardware &amp; Gaskets*Washer, Tie Bolt, 2-3/4&quot;"/>
    <n v="40"/>
    <s v="9707P-22"/>
    <s v="GIW"/>
    <n v="2"/>
  </r>
  <r>
    <s v="0110"/>
    <x v="5"/>
    <n v="11500002947"/>
    <s v="Pump, Dredge (Port)*Dredge Pump (Port)*Hardware &amp; Gaskets*Nut, Tie Bolt, 2-3/4&quot;"/>
    <x v="82"/>
    <s v="Y"/>
    <n v="10"/>
    <s v="Nut, Tie Bolt, 2-3/4&quot;"/>
    <s v="Pump, Dredge (Port)*Dredge Pump (Port)*Hardware &amp; Gaskets*Nut, Tie Bolt, 2-3/4&quot;"/>
    <n v="40"/>
    <s v="9706P-13"/>
    <s v="GIW"/>
    <n v="2"/>
  </r>
  <r>
    <s v="0110"/>
    <x v="5"/>
    <n v="11500002969"/>
    <s v="Pump, Dredge (Port)*Shafting*Pump Bearing Assembly (D/P) (Port)*FLINGER"/>
    <x v="82"/>
    <s v="Y"/>
    <n v="1"/>
    <s v="FLINGER"/>
    <s v="Pump, Dredge (Port)*Shafting*Pump Bearing Assembly (D/P) (Port)*FLINGER"/>
    <n v="0"/>
    <s v="2624C"/>
    <s v="GIW"/>
    <n v="2"/>
  </r>
  <r>
    <s v="0110"/>
    <x v="5"/>
    <n v="12500000306"/>
    <s v="Ladder System*Ladder Hoist Winch*Ladder Hoist Drum*Brakes &amp; Controls*Air Cylinder, Brake"/>
    <x v="68"/>
    <s v="Y"/>
    <n v="1"/>
    <s v="Air Cylinder, Brake"/>
    <s v="Ladder System*Ladder Hoist Winch*Ladder Hoist Drum*Brakes &amp; Controls*Air Cylinder, Brake"/>
    <n v="0"/>
    <m/>
    <m/>
    <n v="1"/>
  </r>
  <r>
    <s v="0110"/>
    <x v="5"/>
    <n v="12500001387"/>
    <s v="Cutter Machinery*Tailshaft, Cutter*Cutless Bearing*Water Box, Cutless Bearing"/>
    <x v="66"/>
    <s v="Y"/>
    <n v="1"/>
    <s v="Water Box, Cutless Bearing"/>
    <s v="Cutter Machinery*Tailshaft, Cutter*Cutless Bearing*Water Box, Cutless Bearing"/>
    <n v="1"/>
    <s v="118-02-0084"/>
    <s v="Gldd Dwg "/>
    <n v="1"/>
  </r>
  <r>
    <s v="0110"/>
    <x v="5"/>
    <n v="13200002199"/>
    <s v="Ladder System*Ladder Hoist Winch*Ladder Hoist Motor (GE-752)*Motor, GE 752 (1000 HP)*Brush, Swing Motor"/>
    <x v="68"/>
    <s v="Y"/>
    <n v="16"/>
    <s v="Brush, Swing Motor"/>
    <s v="Ladder System*Ladder Hoist Winch*Ladder Hoist Motor (GE-752)*Motor, GE 752 (1000 HP)*Brush, Swing Motor"/>
    <n v="36"/>
    <s v="25-871531"/>
    <s v="HELWIG CARBON"/>
    <n v="1"/>
  </r>
  <r>
    <s v="0110"/>
    <x v="5"/>
    <n v="13200002629"/>
    <s v="Pump, Dredge (Port)*Dredge Pump Gearbox (Port)*Clutch (32VC1000)*Tube, Air Connection"/>
    <x v="82"/>
    <s v="Y"/>
    <n v="6"/>
    <s v="Tube, Air Connection"/>
    <s v="Pump, Dredge (Port)*Dredge Pump Gearbox (Port)*Clutch (32VC1000)*Tube, Air Connection"/>
    <n v="14"/>
    <s v="412178-05"/>
    <s v="BRAKE SUPPLY"/>
    <n v="2"/>
  </r>
  <r>
    <s v="0110"/>
    <x v="5"/>
    <n v="13200002637"/>
    <s v="Pump, Dredge (Port)*Dredge Pump Gearbox (Port)*Clutch (32VC1000)*Rotary Air Seal, 1&quot;"/>
    <x v="82"/>
    <s v="Y"/>
    <n v="2"/>
    <s v="Rotary Air Seal, 1&quot;"/>
    <s v="Pump, Dredge (Port)*Dredge Pump Gearbox (Port)*Clutch (32VC1000)*Rotary Air Seal, 1&quot;"/>
    <n v="2"/>
    <s v="145488AB"/>
    <s v="EATON AIRFLEX"/>
    <n v="2"/>
  </r>
  <r>
    <s v="0110"/>
    <x v="5"/>
    <n v="13200002638"/>
    <s v="Safety Firefighting*Fire Pump*PUMP, 3196 MTX &gt;&gt;*Coupling*Cover &amp; Grid Assembly"/>
    <x v="84"/>
    <s v="Y"/>
    <n v="1"/>
    <s v="Cover &amp; Grid Assembly"/>
    <s v="Safety Firefighting*Fire Pump*PUMP, 3196 MTX &gt;&gt;*Coupling*Cover &amp; Grid Assembly"/>
    <n v="1"/>
    <s v="0775803"/>
    <s v="Falk"/>
    <n v="6"/>
  </r>
  <r>
    <s v="0110"/>
    <x v="5"/>
    <n v="13200002639"/>
    <s v="Safety Firefighting*Fire Pump*PUMP, 3196 MTX &gt;&gt;*Coupling*Hub, Spacer"/>
    <x v="84"/>
    <s v="Y"/>
    <n v="1"/>
    <s v="Hub, Spacer"/>
    <s v="Safety Firefighting*Fire Pump*PUMP, 3196 MTX &gt;&gt;*Coupling*Hub, Spacer"/>
    <n v="1"/>
    <s v="0744093"/>
    <s v="Falk"/>
    <n v="6"/>
  </r>
  <r>
    <s v="0110"/>
    <x v="5"/>
    <n v="13200002640"/>
    <s v="Safety Firefighting*Fire Pump*PUMP, 3196 MTX &gt;&gt;*Coupling*Hub, Motor Side"/>
    <x v="84"/>
    <s v="Y"/>
    <n v="1"/>
    <s v="Hub, Motor Side"/>
    <s v="Safety Firefighting*Fire Pump*PUMP, 3196 MTX &gt;&gt;*Coupling*Hub, Motor Side"/>
    <n v="1"/>
    <s v="0251672"/>
    <s v="Falk"/>
    <n v="6"/>
  </r>
  <r>
    <s v="0110"/>
    <x v="5"/>
    <n v="13200002641"/>
    <s v="Safety Firefighting*Fire Pump*PUMP, 3196 MTX &gt;&gt;*Coupling*Hub, Pump Side"/>
    <x v="84"/>
    <s v="Y"/>
    <n v="1"/>
    <s v="Hub, Pump Side"/>
    <s v="Safety Firefighting*Fire Pump*PUMP, 3196 MTX &gt;&gt;*Coupling*Hub, Pump Side"/>
    <n v="0"/>
    <s v="0246654"/>
    <s v="Falk"/>
    <n v="6"/>
  </r>
  <r>
    <s v="0110"/>
    <x v="5"/>
    <n v="13200003385"/>
    <s v="Pump, Ladder*Ladder Pump*Stuffing Box (Split)"/>
    <x v="64"/>
    <s v="Y"/>
    <n v="1"/>
    <s v="Stuffing Box (Split)"/>
    <s v="Pump, Ladder*Ladder Pump*Stuffing Box (Split)"/>
    <n v="1"/>
    <s v="A-4914"/>
    <s v="SPI/MPMW"/>
    <n v="1"/>
  </r>
  <r>
    <s v="0110"/>
    <x v="5"/>
    <n v="13200003386"/>
    <s v="Pump, Ladder*Ladder Pump*Stuffing Box (Split)*PACKING GLAND, (SPLIT)"/>
    <x v="64"/>
    <s v="Y"/>
    <n v="1"/>
    <s v="PACKING GLAND, (SPLIT)"/>
    <s v="Pump, Ladder*Ladder Pump*Stuffing Box (Split)*PACKING GLAND, (SPLIT)"/>
    <n v="0"/>
    <s v="D-1847"/>
    <s v="MPMW Dwg "/>
    <n v="1"/>
  </r>
  <r>
    <s v="0110"/>
    <x v="5"/>
    <n v="13200003389"/>
    <s v="Pump, Ladder*Ladder Pump*Liner, Suction Throat"/>
    <x v="64"/>
    <s v="Y"/>
    <n v="1"/>
    <s v="Liner, Suction Throat"/>
    <s v="Pump, Ladder*Ladder Pump*Liner, Suction Throat"/>
    <n v="0"/>
    <s v="A2-4161"/>
    <s v="SPI/MPMW"/>
    <n v="1"/>
  </r>
  <r>
    <s v="0110"/>
    <x v="5"/>
    <n v="13200003390"/>
    <s v="Pump, Ladder*Ladder Pump*Suction Nose, impeller"/>
    <x v="64"/>
    <s v="Y"/>
    <n v="1"/>
    <s v="Suction Nose, impeller"/>
    <s v="Pump, Ladder*Ladder Pump*Suction Nose, impeller"/>
    <n v="0"/>
    <s v="C-1325"/>
    <s v="SPI/MPMW"/>
    <n v="1"/>
  </r>
  <r>
    <s v="0110"/>
    <x v="5"/>
    <n v="13200003422"/>
    <s v="Bilge/Ballast*Bilge Pumpset (#1) (Mp Bilge)*Pump (#1) (Mp Bilge)*Coupling*Coupling, Bilge Pump Set"/>
    <x v="83"/>
    <s v="Y"/>
    <n v="1"/>
    <s v="Coupling, Bilge Pump Set"/>
    <s v="Bilge/Ballast*Bilge Pumpset (#1) (Mp Bilge)*Pump (#1) (Mp Bilge)*Coupling*Coupling, Bilge Pump Set"/>
    <n v="2"/>
    <s v="1A409"/>
    <s v="Grainger"/>
    <n v="4"/>
  </r>
  <r>
    <s v="0110"/>
    <x v="5"/>
    <n v="14500002209"/>
    <s v="Pump, Dredge (Port)*Dredge Pump (Port)*Stuffing Box (D/P)*Lantern Ring, Gathane (Split)"/>
    <x v="82"/>
    <s v="Y"/>
    <n v="2"/>
    <s v="Lantern Ring, Gathane (Split)"/>
    <s v="Pump, Dredge (Port)*Dredge Pump (Port)*Stuffing Box (D/P)*Lantern Ring, Gathane (Split)"/>
    <n v="4"/>
    <s v="618-0365A-00-03GAT"/>
    <s v="GIW"/>
    <n v="2"/>
  </r>
  <r>
    <s v="0110"/>
    <x v="5"/>
    <n v="14500002333"/>
    <s v="Pump, Dredge (Port)*Dredge Pump (Port)*Stuffing Box (D/P)*Stuffing Box, Complete (11.5&quot;)"/>
    <x v="82"/>
    <s v="Y"/>
    <n v="1"/>
    <s v="Stuffing Box, Complete (11.5&quot;)"/>
    <s v="Pump, Dredge (Port)*Dredge Pump (Port)*Stuffing Box (D/P)*Stuffing Box, Complete (11.5&quot;)"/>
    <n v="1"/>
    <s v="6560C-00-0P40C"/>
    <s v="GIW"/>
    <n v="2"/>
  </r>
  <r>
    <s v="0110"/>
    <x v="5"/>
    <n v="26400000017"/>
    <s v="Pump, Ladder*Ladder Pump*Seal, Lip"/>
    <x v="64"/>
    <s v="Y"/>
    <n v="1"/>
    <s v="Seal, Lip"/>
    <s v="Pump, Ladder*Ladder Pump*Seal, Lip"/>
    <n v="0"/>
    <s v="B-4832"/>
    <s v="MPMW Dwg "/>
    <n v="1"/>
  </r>
  <r>
    <s v="0110"/>
    <x v="5"/>
    <n v="26400000023"/>
    <s v="Pump, Ladder*Ladder Pump*Retaining Ring, Lip Seal"/>
    <x v="64"/>
    <s v="Y"/>
    <n v="1"/>
    <s v="Retaining Ring, Lip Seal"/>
    <s v="Pump, Ladder*Ladder Pump*Retaining Ring, Lip Seal"/>
    <n v="1"/>
    <s v="B4825"/>
    <s v="MPMW Dwg "/>
    <n v="1"/>
  </r>
  <r>
    <s v="0110"/>
    <x v="5"/>
    <n v="26400000172"/>
    <s v="Cutter Machinery*Cutter Motor (GE 567) (Stbd)*Brush Holder, Cutter Motor"/>
    <x v="66"/>
    <s v="Y"/>
    <n v="36"/>
    <s v="Brush Holder, Cutter Motor"/>
    <s v="Cutter Machinery*Cutter Motor (GE 567) (Stbd)*Brush Holder, Cutter Motor"/>
    <n v="123"/>
    <s v="10.751225.1.704"/>
    <s v="HELWIG"/>
    <n v="2"/>
  </r>
  <r>
    <s v="0110"/>
    <x v="5"/>
    <n v="26400000173"/>
    <s v="Cutter Machinery*Cutter Motor (GE 567) (Stbd)*Brush Spring, Cutter Motor"/>
    <x v="66"/>
    <s v="Y"/>
    <n v="36"/>
    <s v="Brush Spring, Cutter Motor"/>
    <s v="Cutter Machinery*Cutter Motor (GE 567) (Stbd)*Brush Spring, Cutter Motor"/>
    <n v="247"/>
    <s v="00.607550.6.01"/>
    <s v="HELWIG"/>
    <n v="2"/>
  </r>
  <r>
    <s v="0110"/>
    <x v="5"/>
    <n v="26400000201"/>
    <s v="Cutter Machinery*Thrust Bearing*Spring, Cutter Thrust Bearing"/>
    <x v="66"/>
    <s v="Y"/>
    <n v="8"/>
    <s v="Spring, Cutter Thrust Bearing"/>
    <s v="Cutter Machinery*Thrust Bearing*Spring, Cutter Thrust Bearing"/>
    <n v="30"/>
    <s v="9-2006-21"/>
    <s v="DANLY"/>
    <n v="1"/>
  </r>
  <r>
    <s v="0110"/>
    <x v="5"/>
    <n v="26400000334"/>
    <s v="Cutter Machinery*Drive, SCR (Cutter) (Port)*Fuse, Cutter SCR Drive"/>
    <x v="66"/>
    <s v="Y"/>
    <n v="24"/>
    <s v="Fuse, Cutter SCR Drive"/>
    <s v="Cutter Machinery*Drive, SCR (Cutter) (Port)*Fuse, Cutter SCR Drive"/>
    <n v="27"/>
    <s v="TRS60R"/>
    <s v="GOULD"/>
    <n v="4"/>
  </r>
  <r>
    <s v="0110"/>
    <x v="5"/>
    <n v="26400000351"/>
    <s v="Cutter Machinery*Drive, SCR (Cutter) (Port)*MOV, Cutter SCR Drive"/>
    <x v="66"/>
    <s v="Y"/>
    <n v="2"/>
    <s v="MOV, Cutter SCR Drive"/>
    <s v="Cutter Machinery*Drive, SCR (Cutter) (Port)*MOV, Cutter SCR Drive"/>
    <n v="2"/>
    <s v="V751BA60-L6"/>
    <s v="G.E"/>
    <n v="4"/>
  </r>
  <r>
    <s v="0110"/>
    <x v="5"/>
    <n v="26400000392"/>
    <s v="Vessel Consumables*Dredge Wires*Wire, Spud, 1-3/4&quot; x 495'"/>
    <x v="78"/>
    <s v="Y"/>
    <n v="1"/>
    <s v="Wire, Spud, 1-3/4&quot; x 495'"/>
    <s v="Vessel Consumables*Dredge Wires*Wire, Spud, 1-3/4&quot; x 495'"/>
    <n v="2"/>
    <m/>
    <m/>
    <n v="1"/>
  </r>
  <r>
    <s v="0110"/>
    <x v="5"/>
    <n v="27900000187"/>
    <s v="Safety Firefighting*Fire Pump*PUMP, 3196 MTX &gt;&gt;*Mechanical Seal (FP)"/>
    <x v="84"/>
    <s v="Y"/>
    <n v="1"/>
    <s v="Mechanical Seal (FP)"/>
    <s v="Safety Firefighting*Fire Pump*PUMP, 3196 MTX &gt;&gt;*Mechanical Seal (FP)"/>
    <n v="1"/>
    <s v="ITEM "/>
    <s v="Goulds"/>
    <n v="6"/>
  </r>
  <r>
    <s v="0110"/>
    <x v="5"/>
    <n v="27900001909"/>
    <s v="Safety Firefighting*Fire Pump*PUMP, 3196 MTX &gt;&gt;*Seal, Mechanical Pump 3 &amp; 4"/>
    <x v="84"/>
    <s v="Y"/>
    <n v="1"/>
    <s v="Seal, Mechanical Pump 3 &amp; 4"/>
    <s v="Safety Firefighting*Fire Pump*PUMP, 3196 MTX &gt;&gt;*Seal, Mechanical Pump 3 &amp; 4"/>
    <n v="1"/>
    <s v="JC5611Q"/>
    <s v="JOHN CRANE"/>
    <n v="6"/>
  </r>
  <r>
    <s v="0110"/>
    <x v="5"/>
    <n v="32400000267"/>
    <s v="Pump, Dredge (Port)*Dredge Pump Engine Port (EMD 645)*Governor*Governor"/>
    <x v="82"/>
    <s v="Y"/>
    <n v="1"/>
    <s v="Governor"/>
    <s v="Pump, Dredge (Port)*Dredge Pump Engine Port (EMD 645)*Governor*Governor"/>
    <n v="1"/>
    <s v="8251-425"/>
    <s v="Woodward"/>
    <n v="2"/>
  </r>
  <r>
    <s v="0110"/>
    <x v="5"/>
    <n v="32400000269"/>
    <s v="Pump, Dredge (Port)*Dredge Pump Engine Port (EMD 645)*Governor*Control, Speed (2301A)"/>
    <x v="82"/>
    <s v="Y"/>
    <n v="1"/>
    <s v="Control, Speed (2301A)"/>
    <s v="Pump, Dredge (Port)*Dredge Pump Engine Port (EMD 645)*Governor*Control, Speed (2301A)"/>
    <n v="1"/>
    <s v="9905-144"/>
    <s v="Woodward"/>
    <n v="2"/>
  </r>
  <r>
    <s v="0110"/>
    <x v="5"/>
    <n v="32400000284"/>
    <s v="Pump, Ladder*Ladder Pump Gearbox*Coupling, Port (Falk 130T10)*Cover Set/Kit"/>
    <x v="64"/>
    <s v="Y"/>
    <n v="1"/>
    <s v="Cover Set/Kit"/>
    <s v="Pump, Ladder*Ladder Pump Gearbox*Coupling, Port (Falk 130T10)*Cover Set/Kit"/>
    <n v="3"/>
    <s v="130T10"/>
    <s v="Falk"/>
    <n v="2"/>
  </r>
  <r>
    <s v="0110"/>
    <x v="5"/>
    <n v="32400000285"/>
    <s v="Pump, Ladder*Ladder Pump Gearbox*Coupling, Port (Falk 130T10)*Grid Set"/>
    <x v="64"/>
    <s v="Y"/>
    <n v="1"/>
    <s v="Grid Set"/>
    <s v="Pump, Ladder*Ladder Pump Gearbox*Coupling, Port (Falk 130T10)*Grid Set"/>
    <n v="2"/>
    <s v="1130T10"/>
    <s v="Falk"/>
    <n v="2"/>
  </r>
  <r>
    <s v="0110"/>
    <x v="5"/>
    <n v="32400000287"/>
    <s v="Cutter Machinery*Thrust Bearing*Seal, Labyrinth"/>
    <x v="66"/>
    <s v="Y"/>
    <n v="2"/>
    <s v="Seal, Labyrinth"/>
    <s v="Cutter Machinery*Thrust Bearing*Seal, Labyrinth"/>
    <n v="4"/>
    <s v="YSKD-1799-S02"/>
    <s v="SMALLEY"/>
    <n v="1"/>
  </r>
  <r>
    <s v="0110"/>
    <x v="5"/>
    <n v="35600000097"/>
    <s v="Cutter Machinery*Cutter Motor (GE 567) (Stbd)*Stud, Brush Holder , Cutter Motor"/>
    <x v="66"/>
    <s v="Y"/>
    <n v="8"/>
    <s v="Stud, Brush Holder , Cutter Motor"/>
    <s v="Cutter Machinery*Cutter Motor (GE 567) (Stbd)*Stud, Brush Holder , Cutter Motor"/>
    <n v="12"/>
    <s v="W45069/1"/>
    <s v="GULF ELECTROQUIP INC."/>
    <n v="2"/>
  </r>
  <r>
    <s v="0110"/>
    <x v="5"/>
    <n v="45000010616"/>
    <s v="Ladder System*Ladder Hoist Winch*Ladder Hoist Drum*Brakes &amp; Controls*Brake Band"/>
    <x v="68"/>
    <s v="Y"/>
    <n v="1"/>
    <s v="Brake Band"/>
    <s v="Ladder System*Ladder Hoist Winch*Ladder Hoist Drum*Brakes &amp; Controls*Brake Band"/>
    <n v="1"/>
    <s v="110-06-435"/>
    <s v="Gldd Dwg "/>
    <n v="1"/>
  </r>
  <r>
    <s v="0110"/>
    <x v="5"/>
    <n v="45000014388"/>
    <s v="Electrical*Automation*Plc, Allen Bradley*Power Supply, 120 VAC"/>
    <x v="61"/>
    <s v="Y"/>
    <n v="1"/>
    <s v="Power Supply, 120 VAC"/>
    <s v="Electrical*Automation*Plc, Allen Bradley*Power Supply, 120 VAC"/>
    <n v="4"/>
    <s v="1756-PA72"/>
    <s v="Allen-Bradley"/>
    <n v="1"/>
  </r>
  <r>
    <s v="0110"/>
    <x v="5"/>
    <n v="45000014389"/>
    <s v="Electrical*Automation*Plc, Allen Bradley*Module, Ethernet"/>
    <x v="61"/>
    <s v="Y"/>
    <n v="1"/>
    <s v="Module, Ethernet"/>
    <s v="Electrical*Automation*Plc, Allen Bradley*Module, Ethernet"/>
    <n v="2"/>
    <s v="1756-ENBT"/>
    <s v="Allen-Bradley"/>
    <n v="1"/>
  </r>
  <r>
    <s v="0110"/>
    <x v="5"/>
    <n v="45000014390"/>
    <s v="Electrical*Automation*Plc, Allen Bradley*Ethernet Module, Flex I/O"/>
    <x v="61"/>
    <s v="Y"/>
    <n v="1"/>
    <s v="Ethernet Module, Flex I/O"/>
    <s v="Electrical*Automation*Plc, Allen Bradley*Ethernet Module, Flex I/O"/>
    <n v="1"/>
    <s v="1794-AENT"/>
    <s v="Allen-Bradley"/>
    <n v="1"/>
  </r>
  <r>
    <s v="0110"/>
    <x v="5"/>
    <n v="45000014391"/>
    <s v="Electrical*Automation*Plc, Allen Bradley*Input Module, 8 Point Analog"/>
    <x v="61"/>
    <s v="Y"/>
    <n v="1"/>
    <s v="Input Module, 8 Point Analog"/>
    <s v="Electrical*Automation*Plc, Allen Bradley*Input Module, 8 Point Analog"/>
    <n v="1"/>
    <s v="1794-IE8"/>
    <s v="Allen-Bradley"/>
    <n v="1"/>
  </r>
  <r>
    <s v="0110"/>
    <x v="5"/>
    <n v="45000015239"/>
    <s v="Pump, Ladder*Ladder Pump*Stuffing Box (Split)*Ring, Lantern"/>
    <x v="64"/>
    <s v="Y"/>
    <n v="3"/>
    <s v="Ring, Lantern"/>
    <s v="Pump, Ladder*Ladder Pump*Stuffing Box (Split)*Ring, Lantern"/>
    <n v="7"/>
    <s v="260002-010"/>
    <s v="JOHNSON RUBBER CO."/>
    <n v="1"/>
  </r>
  <r>
    <s v="0110"/>
    <x v="5"/>
    <n v="45000015523"/>
    <s v="Safety Firefighting*Fire Pump*PUMP, 3196 MTX &gt;&gt;*Coupling*Hub, Spacer Short"/>
    <x v="84"/>
    <s v="Y"/>
    <n v="1"/>
    <s v="Hub, Spacer Short"/>
    <s v="Safety Firefighting*Fire Pump*PUMP, 3196 MTX &gt;&gt;*Coupling*Hub, Spacer Short"/>
    <n v="0"/>
    <s v="0744089"/>
    <s v="Falk"/>
    <n v="6"/>
  </r>
  <r>
    <s v="0110"/>
    <x v="5"/>
    <n v="45000017509"/>
    <s v="Cutter Machinery*Cutter Motor (GE 567) (Stbd)*Vibracon Shim, Cutter Motor"/>
    <x v="66"/>
    <s v="Y"/>
    <n v="4"/>
    <s v="Vibracon Shim, Cutter Motor"/>
    <s v="Cutter Machinery*Cutter Motor (GE 567) (Stbd)*Vibracon Shim, Cutter Motor"/>
    <n v="8"/>
    <s v="SM30SS"/>
    <s v="MACHINE SUPPORT USA"/>
    <n v="2"/>
  </r>
  <r>
    <s v="0110"/>
    <x v="5"/>
    <n v="45000018060"/>
    <s v="Electrical*Automation*Plc, Allen Bradley*Output Module, Relay"/>
    <x v="61"/>
    <s v="Y"/>
    <n v="1"/>
    <s v="Output Module, Relay"/>
    <s v="Electrical*Automation*Plc, Allen Bradley*Output Module, Relay"/>
    <n v="1"/>
    <s v="1794-OW8"/>
    <s v="Allen-Bradley"/>
    <n v="1"/>
  </r>
  <r>
    <s v="0110"/>
    <x v="5"/>
    <n v="45000018061"/>
    <s v="Electrical*Automation*Plc, Allen Bradley*Input Module, 24 VDC Digital"/>
    <x v="61"/>
    <s v="Y"/>
    <n v="1"/>
    <s v="Input Module, 24 VDC Digital"/>
    <s v="Electrical*Automation*Plc, Allen Bradley*Input Module, 24 VDC Digital"/>
    <n v="1"/>
    <s v="1794-IB8"/>
    <s v="Allen-Bradley"/>
    <n v="1"/>
  </r>
  <r>
    <s v="0110"/>
    <x v="5"/>
    <n v="45000018230"/>
    <s v="Electrical*Automation*Plc, Allen Bradley*Output Module, 4 Channel Configurable"/>
    <x v="61"/>
    <s v="Y"/>
    <n v="1"/>
    <s v="Output Module, 4 Channel Configurable"/>
    <s v="Electrical*Automation*Plc, Allen Bradley*Output Module, 4 Channel Configurable"/>
    <n v="1"/>
    <s v="1794-OE4"/>
    <s v="Allen-Bradley"/>
    <n v="1"/>
  </r>
  <r>
    <s v="0110"/>
    <x v="5"/>
    <n v="45000019251"/>
    <s v="Electrical*Automation*Plc, Allen Bradley*Power Supply, 24V"/>
    <x v="61"/>
    <s v="Y"/>
    <n v="1"/>
    <s v="Power Supply, 24V"/>
    <s v="Electrical*Automation*Plc, Allen Bradley*Power Supply, 24V"/>
    <n v="3"/>
    <s v="1756-PB72"/>
    <s v="Allen-Bradley"/>
    <n v="1"/>
  </r>
  <r>
    <s v="0110"/>
    <x v="5"/>
    <n v="45000019396"/>
    <s v="Cutterheads*Cutter Screens, Rock Rings, Wear Plates*Burn Out Ring, 52D Cutter"/>
    <x v="47"/>
    <s v="Y"/>
    <n v="2"/>
    <s v="Burn Out Ring, 52D Cutter"/>
    <s v="Cutterheads*Cutter Screens, Rock Rings, Wear Plates*Burn Out Ring, 52D Cutter"/>
    <n v="4"/>
    <s v="110-02-12688"/>
    <s v="Gldd Dwg "/>
    <n v="1"/>
  </r>
  <r>
    <s v="0110"/>
    <x v="5"/>
    <n v="45000021378"/>
    <s v="Raw Water*R/W Cooling Pump Set (Aux. Gen.)*PUMP SET (COMPLETE)"/>
    <x v="71"/>
    <s v="Y"/>
    <n v="1"/>
    <s v="PUMP SET (COMPLETE)"/>
    <s v="Raw Water*R/W Cooling Pump Set (Aux. Gen.)*PUMP SET (COMPLETE)"/>
    <n v="0"/>
    <m/>
    <m/>
    <n v="1"/>
  </r>
  <r>
    <s v="0110"/>
    <x v="5"/>
    <n v="45000022611"/>
    <s v="Electrical*Automation*Plc, Allen Bradley*CL1756 - IA16 Input Module"/>
    <x v="61"/>
    <s v="Y"/>
    <n v="2"/>
    <s v="CL1756 - IA16 Input Module"/>
    <s v="Electrical*Automation*Plc, Allen Bradley*CL1756 - IA16 Input Module"/>
    <n v="0"/>
    <s v="1756-IA16"/>
    <s v="ALLEN-BRADLEY"/>
    <n v="1"/>
  </r>
  <r>
    <s v="0110"/>
    <x v="5"/>
    <n v="45000022695"/>
    <s v="Electrical*Automation*Plc, Allen Bradley*CL1756 - ENBT Bridge Module"/>
    <x v="61"/>
    <s v="Y"/>
    <n v="3"/>
    <s v="CL1756 - ENBT Bridge Module"/>
    <s v="Electrical*Automation*Plc, Allen Bradley*CL1756 - ENBT Bridge Module"/>
    <n v="3"/>
    <s v="1756-ENBT"/>
    <s v="ALLEN-BRADLEY"/>
    <n v="1"/>
  </r>
  <r>
    <s v="0110"/>
    <x v="5"/>
    <n v="45000027392"/>
    <s v="Ladder System*Ladder Hoist Winch*Ladder Hoist Motor (GE-752)*Holder, Brush, Normal - GE752"/>
    <x v="68"/>
    <s v="Y"/>
    <n v="2"/>
    <s v="Holder, Brush, Normal - GE752"/>
    <s v="Ladder System*Ladder Hoist Winch*Ladder Hoist Motor (GE-752)*Holder, Brush, Normal - GE752"/>
    <n v="10"/>
    <s v="255500"/>
    <s v="GULF ELECTROQUIP INC."/>
    <n v="1"/>
  </r>
  <r>
    <s v="0110"/>
    <x v="5"/>
    <n v="45000029896"/>
    <s v="Pump, Dredge (Port)*Dredge Pump (Port)*Stuffing Box (D/P)*Bolt, Securing"/>
    <x v="82"/>
    <s v="Y"/>
    <n v="22"/>
    <s v="Bolt, Securing"/>
    <s v="Pump, Dredge (Port)*Dredge Pump (Port)*Stuffing Box (D/P)*Bolt, Securing"/>
    <n v="22"/>
    <s v="9703P-24"/>
    <s v="GIW"/>
    <n v="2"/>
  </r>
  <r>
    <s v="0110"/>
    <x v="5"/>
    <n v="45000031566"/>
    <s v="Electrical*Automation*Plc, Allen Bradley*Output Module, 12 Channel Configurable"/>
    <x v="61"/>
    <s v="Y"/>
    <n v="1"/>
    <s v="Output Module, 12 Channel Configurable"/>
    <s v="Electrical*Automation*Plc, Allen Bradley*Output Module, 12 Channel Configurable"/>
    <n v="1"/>
    <s v="1794-OE12"/>
    <s v="Allen-Bradley"/>
    <n v="1"/>
  </r>
  <r>
    <s v="0110"/>
    <x v="5"/>
    <n v="45100002978"/>
    <s v="Compressed Air*Air Compressor Set (#3)*Air Comp Motor (#3)*Motor, Air Compressor, 20 HP"/>
    <x v="79"/>
    <s v="Y"/>
    <n v="1"/>
    <s v="Motor, Air Compressor, 20 HP"/>
    <s v="Compressed Air*Air Compressor Set (#3)*Air Comp Motor (#3)*Motor, Air Compressor, 20 HP"/>
    <n v="1"/>
    <s v="."/>
    <s v="RELIANCE"/>
    <n v="1"/>
  </r>
  <r>
    <s v="0110"/>
    <x v="5"/>
    <n v="45100003251"/>
    <s v="Vessel Consumables*Fuses*Switch Board Fuses,2400V*Cutter Fuse 24R"/>
    <x v="78"/>
    <s v="Y"/>
    <n v="6"/>
    <s v="Cutter Fuse 24R"/>
    <s v="Vessel Consumables*Fuses*Switch Board Fuses,2400V*Cutter Fuse 24R"/>
    <n v="9"/>
    <s v="9F60MCB824 /  EJ-2DD"/>
    <s v="G.E."/>
    <n v="1"/>
  </r>
  <r>
    <s v="0110"/>
    <x v="5"/>
    <n v="49400000275"/>
    <s v="Spud System*Spud Hoist Winch*Clutch Assembly*Clutch Cyl"/>
    <x v="73"/>
    <s v="Y"/>
    <n v="1"/>
    <s v="Clutch Cyl"/>
    <s v="Spud System*Spud Hoist Winch*Clutch Assembly*Clutch Cyl"/>
    <n v="2"/>
    <s v="B-2690 LINE 13"/>
    <s v="MOBILE PULLEY &amp; MACHINE"/>
    <n v="1"/>
  </r>
  <r>
    <s v="0110"/>
    <x v="5"/>
    <n v="49400000292"/>
    <s v="Spud System*Spud Hoist Winch*Clutch Assembly*CLEVIS, SPRING ROD"/>
    <x v="73"/>
    <s v="Y"/>
    <n v="1"/>
    <s v="CLEVIS, SPRING ROD"/>
    <s v="Spud System*Spud Hoist Winch*Clutch Assembly*CLEVIS, SPRING ROD"/>
    <n v="0"/>
    <s v="B-3493"/>
    <s v="MOBILE PULLEY &amp; MACHINE"/>
    <n v="1"/>
  </r>
  <r>
    <s v="0110"/>
    <x v="5"/>
    <n v="49400000309"/>
    <s v="Spud System*Spud Hoist Winch*Clutch Assembly*CYLINDER ROD CLEVIS"/>
    <x v="73"/>
    <s v="Y"/>
    <n v="1"/>
    <s v="CYLINDER ROD CLEVIS"/>
    <s v="Spud System*Spud Hoist Winch*Clutch Assembly*CYLINDER ROD CLEVIS"/>
    <n v="0"/>
    <s v="B-3660"/>
    <s v="MOBILE PULLEY &amp; MACHINE"/>
    <n v="1"/>
  </r>
  <r>
    <s v="0110"/>
    <x v="5"/>
    <n v="49400000358"/>
    <s v="Pump, Dredge (Port)*Dredge Pump Gearbox (Port)*Oil Pump, Tuthill"/>
    <x v="82"/>
    <s v="Y"/>
    <n v="1"/>
    <s v="Oil Pump, Tuthill"/>
    <s v="Pump, Dredge (Port)*Dredge Pump Gearbox (Port)*Oil Pump, Tuthill"/>
    <n v="3"/>
    <s v="BM31188"/>
    <s v="LUFKIN"/>
    <n v="2"/>
  </r>
  <r>
    <s v="0110"/>
    <x v="5"/>
    <n v="49400000390"/>
    <s v="Ladder System*Drive, SCR (Ladder Hoist)*Motor, Blower - SCR Drive*Motor 2 HP, Volts - 575"/>
    <x v="68"/>
    <s v="Y"/>
    <n v="1"/>
    <s v="Motor 2 HP, Volts - 575"/>
    <s v="Ladder System*Drive, SCR (Ladder Hoist)*Motor, Blower - SCR Drive*Motor 2 HP, Volts - 575"/>
    <n v="1"/>
    <s v="B0024FLF20K"/>
    <s v="TOSHIBA"/>
    <n v="1"/>
  </r>
  <r>
    <s v="0110"/>
    <x v="5"/>
    <n v="49400000395"/>
    <s v="Vessel Consumables*Fuses*Cutter Drive Fuses*Fuse 700VAC , 100A"/>
    <x v="78"/>
    <s v="Y"/>
    <n v="12"/>
    <s v="Fuse 700VAC , 100A"/>
    <s v="Vessel Consumables*Fuses*Cutter Drive Fuses*Fuse 700VAC , 100A"/>
    <n v="12"/>
    <s v="A070UD30KI100"/>
    <s v="FERRAZ SHAWMUT"/>
    <n v="1"/>
  </r>
  <r>
    <s v="0110"/>
    <x v="5"/>
    <n v="54000000582"/>
    <s v="Cutter Machinery*Cutter Gearbox*Mechanical Seal, Cutter Gearbox*Mechanical Seal, High Speed Shaft*Mechanical Seal, High Speed Shaft"/>
    <x v="66"/>
    <s v="Y"/>
    <n v="1"/>
    <s v="Mechanical Seal, High Speed Shaft"/>
    <s v="Cutter Machinery*Cutter Gearbox*Mechanical Seal, Cutter Gearbox*Mechanical Seal, High Speed Shaft*Mechanical Seal, High Speed Shaft"/>
    <n v="2"/>
    <s v="8-1V0"/>
    <s v="JOHN CRANE"/>
    <n v="1"/>
  </r>
  <r>
    <s v="0110"/>
    <x v="5"/>
    <n v="54000000755"/>
    <s v="Spud System*Spud Hoist Winch*Clutch Assembly*Band, Brake"/>
    <x v="73"/>
    <s v="Y"/>
    <n v="1"/>
    <s v="Band, Brake"/>
    <s v="Spud System*Spud Hoist Winch*Clutch Assembly*Band, Brake"/>
    <n v="1"/>
    <s v="A-2023"/>
    <s v="MOBILE PULLEY &amp; MACHINE"/>
    <n v="1"/>
  </r>
  <r>
    <s v="0110"/>
    <x v="5"/>
    <n v="54000000773"/>
    <s v="Spud System*Spud Hoist Winch*Clutch Assembly*Band,Clutch"/>
    <x v="73"/>
    <s v="Y"/>
    <n v="1"/>
    <s v="Band,Clutch"/>
    <s v="Spud System*Spud Hoist Winch*Clutch Assembly*Band,Clutch"/>
    <n v="0"/>
    <s v="A-2016"/>
    <s v="MOBILE PULLEY &amp; MACHINE"/>
    <n v="1"/>
  </r>
  <r>
    <s v="0110"/>
    <x v="5"/>
    <n v="56300000058"/>
    <s v="Raw Water*R/W Cooling Pump Set (Aux. Gen.)*Pump, 3196 Mtx*Coupling*Hub Pump Side"/>
    <x v="71"/>
    <s v="Y"/>
    <n v="1"/>
    <s v="Hub Pump Side"/>
    <s v="Raw Water*R/W Cooling Pump Set (Aux. Gen.)*Pump, 3196 Mtx*Coupling*Hub Pump Side"/>
    <n v="0"/>
    <s v="259167"/>
    <s v="Falk"/>
    <n v="1"/>
  </r>
  <r>
    <s v="0110"/>
    <x v="5"/>
    <n v="56300000060"/>
    <s v="Raw Water*R/W Cooling Pump Set (Aux. Gen.)*Pump, 3196 Mtx*Coupling*Hub Motor Side 1020T31"/>
    <x v="71"/>
    <s v="Y"/>
    <n v="1"/>
    <s v="Hub Motor Side 1020T31"/>
    <s v="Raw Water*R/W Cooling Pump Set (Aux. Gen.)*Pump, 3196 Mtx*Coupling*Hub Motor Side 1020T31"/>
    <n v="0"/>
    <s v="1110670"/>
    <s v="Falk"/>
    <n v="1"/>
  </r>
  <r>
    <s v="0110"/>
    <x v="5"/>
    <n v="56300000065"/>
    <s v="Generators*Main Genset (Stbd)*Main Generator Engine (Stbd) (EMD 645)*Pre-Lube Pump*Pump Assembly, Pre-Lube"/>
    <x v="4"/>
    <s v="Y"/>
    <n v="1"/>
    <s v="Pump Assembly, Pre-Lube"/>
    <s v="Generators*Main Genset (Stbd)*Main Generator Engine (Stbd) (EMD 645)*Pre-Lube Pump*Pump Assembly, Pre-Lube"/>
    <n v="1"/>
    <m/>
    <m/>
    <n v="1"/>
  </r>
  <r>
    <s v="0110"/>
    <x v="5"/>
    <n v="56300000086"/>
    <s v="Pump, Dredge (Port)*Dredge Pump Engine Port (EMD 645)*Prelube Pump*Coupling*Spider, L095"/>
    <x v="82"/>
    <s v="Y"/>
    <n v="1"/>
    <s v="Spider, L095"/>
    <s v="Pump, Dredge (Port)*Dredge Pump Engine Port (EMD 645)*Prelube Pump*Coupling*Spider, L095"/>
    <n v="5"/>
    <s v="L095"/>
    <s v="LOVE JOY"/>
    <n v="1"/>
  </r>
  <r>
    <s v="0110"/>
    <x v="5"/>
    <n v="56300000091"/>
    <s v="Fuel Oil Transfer*Fuel Oil Transfer Pump (#1)*COUPLING*Spider, L100"/>
    <x v="81"/>
    <s v="Y"/>
    <n v="1"/>
    <s v="Spider, L100"/>
    <s v="Fuel Oil Transfer*Fuel Oil Transfer Pump (#1)*COUPLING*Spider, L100"/>
    <n v="7"/>
    <s v="L100"/>
    <s v="Lovejoy"/>
    <n v="2"/>
  </r>
  <r>
    <s v="0110"/>
    <x v="5"/>
    <n v="56300000098"/>
    <s v="Potable Water*Desalinator, Stbd*Motor, (7.5 Hp)*Motor, 7.5 HP"/>
    <x v="69"/>
    <s v="Y"/>
    <n v="1"/>
    <s v="Motor, 7.5 HP"/>
    <s v="Potable Water*Desalinator, Stbd*Motor, (7.5 Hp)*Motor, 7.5 HP"/>
    <n v="1"/>
    <m/>
    <m/>
    <n v="2"/>
  </r>
  <r>
    <s v="0110"/>
    <x v="5"/>
    <n v="56300000363"/>
    <s v="Raw Water*Service Water Pump (#1)*PUMP, SVC WATER*Coupling Assembly &gt;&gt;*Hub, Motor Side 1090T10C, 3.34 Bore"/>
    <x v="71"/>
    <s v="Y"/>
    <n v="1"/>
    <s v="Hub, Motor Side 1090T10C, 3.34 Bore"/>
    <s v="Raw Water*Service Water Pump (#1)*PUMP, SVC WATER*Coupling Assembly &gt;&gt;*Hub, Motor Side 1090T10C, 3.34 Bore"/>
    <n v="0"/>
    <m/>
    <m/>
    <n v="2"/>
  </r>
  <r>
    <s v="0110"/>
    <x v="5"/>
    <n v="56300000364"/>
    <s v="Raw Water*Service Water Pump (#1)*PUMP, SVC WATER*Coupling Assembly &gt;&gt;*Hub, Pump Side 1090T10C, 1.350 Bore"/>
    <x v="71"/>
    <s v="Y"/>
    <n v="1"/>
    <s v="Hub, Pump Side 1090T10C, 1.350 Bore"/>
    <s v="Raw Water*Service Water Pump (#1)*PUMP, SVC WATER*Coupling Assembly &gt;&gt;*Hub, Pump Side 1090T10C, 1.350 Bore"/>
    <n v="0"/>
    <m/>
    <m/>
    <n v="2"/>
  </r>
  <r>
    <s v="0110"/>
    <x v="5"/>
    <n v="57200000659"/>
    <s v="Vessel Consumables*Fuses*Ladder Hoist Fuses*Fuse, B300450, 700V/ 900A"/>
    <x v="78"/>
    <s v="Y"/>
    <n v="12"/>
    <s v="Fuse, B300450, 700V/ 900A"/>
    <s v="Vessel Consumables*Fuses*Ladder Hoist Fuses*Fuse, B300450, 700V/ 900A"/>
    <n v="45"/>
    <s v="B300450"/>
    <s v="FERRAZ SHAWMUT"/>
    <n v="1"/>
  </r>
  <r>
    <s v="0110"/>
    <x v="5"/>
    <n v="57200001024"/>
    <s v="Raw Water*(R/W) Cooling Pump Set (M/E)*R/W Cooling Pump M/E*Mechanical Seal"/>
    <x v="71"/>
    <s v="Y"/>
    <n v="1"/>
    <s v="Mechanical Seal"/>
    <s v="Raw Water*(R/W) Cooling Pump Set (M/E)*R/W Cooling Pump M/E*Mechanical Seal"/>
    <n v="3"/>
    <s v="80302"/>
    <s v="Goulds"/>
    <n v="2"/>
  </r>
  <r>
    <s v="0110"/>
    <x v="5"/>
    <n v="57200001562"/>
    <s v="Cutter Machinery*Cutter Gearbox*Coupling, Motor Side*COVER, STEELFLEX (1160T35)"/>
    <x v="66"/>
    <s v="Y"/>
    <n v="1"/>
    <s v="COVER, STEELFLEX (1160T35)"/>
    <s v="Cutter Machinery*Cutter Gearbox*Coupling, Motor Side*COVER, STEELFLEX (1160T35)"/>
    <n v="1"/>
    <m/>
    <m/>
    <n v="1"/>
  </r>
  <r>
    <s v="0110"/>
    <x v="5"/>
    <n v="57200001565"/>
    <s v="Cutter Machinery*Cutter Gearbox*Coupling, Motor Side*GRID, STEELFLEX (1160T35)"/>
    <x v="66"/>
    <s v="Y"/>
    <n v="2"/>
    <s v="GRID, STEELFLEX (1160T35)"/>
    <s v="Cutter Machinery*Cutter Gearbox*Coupling, Motor Side*GRID, STEELFLEX (1160T35)"/>
    <n v="2"/>
    <m/>
    <m/>
    <n v="1"/>
  </r>
  <r>
    <s v="0110"/>
    <x v="5"/>
    <n v="57200001568"/>
    <s v="Cutter Machinery*Cutter Gearbox*Coupling, Motor Side*GASKET, STEELFLEX (1160T35)"/>
    <x v="66"/>
    <s v="Y"/>
    <n v="2"/>
    <s v="GASKET, STEELFLEX (1160T35)"/>
    <s v="Cutter Machinery*Cutter Gearbox*Coupling, Motor Side*GASKET, STEELFLEX (1160T35)"/>
    <n v="2"/>
    <m/>
    <m/>
    <n v="1"/>
  </r>
  <r>
    <s v="0110"/>
    <x v="5"/>
    <n v="57200001597"/>
    <s v="Cutter Machinery*Canister*Gasket, Cutter Motor Enclosure Cover"/>
    <x v="66"/>
    <s v="Y"/>
    <n v="2"/>
    <s v="Gasket, Cutter Motor Enclosure Cover"/>
    <s v="Cutter Machinery*Canister*Gasket, Cutter Motor Enclosure Cover"/>
    <n v="0"/>
    <m/>
    <m/>
    <n v="1"/>
  </r>
  <r>
    <s v="0110"/>
    <x v="5"/>
    <n v="57200002373"/>
    <s v="Generators*Main Genset (Stbd)*Main Generator Engine (Stbd) (EMD 645)*UNDER REVIEW*m-Relay, Generator Management"/>
    <x v="4"/>
    <s v="Y"/>
    <n v="1"/>
    <s v="m-Relay, Generator Management"/>
    <s v="Generators*Main Genset (Stbd)*Main Generator Engine (Stbd) (EMD 645)*UNDER REVIEW*m-Relay, Generator Management"/>
    <n v="2"/>
    <s v="489-P5-LO-A20"/>
    <s v="General Electric"/>
    <n v="4"/>
  </r>
  <r>
    <s v="0110"/>
    <x v="5"/>
    <n v="57300000001"/>
    <s v="Cutter Machinery*Cutter Gearbox*Housing, Cutter Gearbox*Superbolt #H1216-04129, Special 3&quot;- 4"/>
    <x v="66"/>
    <s v="Y"/>
    <n v="4"/>
    <s v="Superbolt #H1216-04129, Special 3&quot;- 4"/>
    <s v="Cutter Machinery*Cutter Gearbox*Housing, Cutter Gearbox*Superbolt #H1216-04129, Special 3&quot;- 4"/>
    <n v="9"/>
    <s v="H1216-04129"/>
    <s v="SUPERBOLT"/>
    <n v="1"/>
  </r>
  <r>
    <s v="0110"/>
    <x v="5"/>
    <n v="57300000003"/>
    <s v="Cutter Machinery*Cutter Gearbox*Housing, Cutter Gearbox*Superbolt, Special 2 1/2&quot;- 4 TPI"/>
    <x v="66"/>
    <s v="Y"/>
    <n v="4"/>
    <s v="Superbolt, Special 2 1/2&quot;- 4 TPI"/>
    <s v="Cutter Machinery*Cutter Gearbox*Housing, Cutter Gearbox*Superbolt, Special 2 1/2&quot;- 4 TPI"/>
    <n v="12"/>
    <s v="DARU04603-001 / ITEM "/>
    <s v="HORSBURGH &amp; SCOTT CO."/>
    <n v="1"/>
  </r>
  <r>
    <s v="0110"/>
    <x v="5"/>
    <n v="57300000007"/>
    <s v="Cutter Machinery*Cutter Gearbox*Housing, Cutter Gearbox*Superbolt # H1218-06138 Special 1 1/2&quot;-6"/>
    <x v="66"/>
    <s v="Y"/>
    <n v="4"/>
    <s v="Superbolt # H1218-06138 Special 1 1/2&quot;-6"/>
    <s v="Cutter Machinery*Cutter Gearbox*Housing, Cutter Gearbox*Superbolt # H1218-06138 Special 1 1/2&quot;-6"/>
    <n v="4"/>
    <s v="H1218-06138"/>
    <s v="SUPERBOLT"/>
    <n v="1"/>
  </r>
  <r>
    <s v="0110"/>
    <x v="5"/>
    <n v="61900000299"/>
    <s v="Hull/Structure*Hull Hinge Connection*Plate, End"/>
    <x v="85"/>
    <s v="Y"/>
    <n v="2"/>
    <s v="Plate, End"/>
    <s v="Hull/Structure*Hull Hinge Connection*Plate, End"/>
    <n v="0"/>
    <s v="110-01-20846, ITEM"/>
    <s v="GLD&amp;D DRAWING NO."/>
    <n v="1"/>
  </r>
  <r>
    <s v="0110"/>
    <x v="5"/>
    <n v="61900000301"/>
    <s v="Hull/Structure*Hull Hinge Connection*Sleeve"/>
    <x v="85"/>
    <s v="Y"/>
    <n v="2"/>
    <s v="Sleeve"/>
    <s v="Hull/Structure*Hull Hinge Connection*Sleeve"/>
    <n v="0"/>
    <s v="110-01-20846, ITEM"/>
    <s v="GLD&amp;D DRAWING NO."/>
    <n v="1"/>
  </r>
  <r>
    <s v="0110"/>
    <x v="5"/>
    <n v="62400006054"/>
    <s v="Spud System*Spud Hoist Winch*Motor, Spud Hoist*Disc Brake*Disc Brake Assembly*Brake Caliper,Kobelt"/>
    <x v="73"/>
    <s v="Y"/>
    <n v="1"/>
    <s v="Brake Caliper,Kobelt"/>
    <s v="Spud System*Spud Hoist Winch*Motor, Spud Hoist*Disc Brake*Disc Brake Assembly*Brake Caliper,Kobelt"/>
    <n v="2"/>
    <s v="5021-S"/>
    <s v="KOBELT"/>
    <n v="1"/>
  </r>
  <r>
    <s v="0110"/>
    <x v="5"/>
    <n v="65500000060"/>
    <s v="Cutter Machinery*Cutter Gearbox*Housing, Cutter Gearbox*Superbolt #MT-200-4.5/W 2.500-4 TPI"/>
    <x v="66"/>
    <s v="Y"/>
    <n v="4"/>
    <s v="Superbolt #MT-200-4.5/W 2.500-4 TPI"/>
    <s v="Cutter Machinery*Cutter Gearbox*Housing, Cutter Gearbox*Superbolt #MT-200-4.5/W 2.500-4 TPI"/>
    <n v="8"/>
    <s v="MT-200-4.5/W"/>
    <s v="SUPERBOLT"/>
    <n v="1"/>
  </r>
  <r>
    <s v="0110"/>
    <x v="5"/>
    <n v="65700000174"/>
    <s v="Cutter Machinery*Canister*Blower Motor , Cutter Motor 25 HP"/>
    <x v="66"/>
    <s v="Y"/>
    <n v="1"/>
    <s v="Blower Motor , Cutter Motor 25 HP"/>
    <s v="Cutter Machinery*Canister*Blower Motor , Cutter Motor 25 HP"/>
    <n v="1"/>
    <m/>
    <m/>
    <n v="1"/>
  </r>
  <r>
    <s v="0110"/>
    <x v="5"/>
    <n v="66200007666"/>
    <s v="Hydraulic Systems*HPU (IHC Suction Relief Valve)*Motor, (3 HP)*Motor, 3 HP"/>
    <x v="58"/>
    <s v="Y"/>
    <n v="1"/>
    <s v="Motor, 3 HP"/>
    <s v="Hydraulic Systems*HPU (IHC Suction Relief Valve)*Motor, (3 HP)*Motor, 3 HP"/>
    <n v="1"/>
    <s v="T3S2ACR"/>
    <s v="US Motors"/>
    <n v="1"/>
  </r>
  <r>
    <s v="0110"/>
    <x v="5"/>
    <n v="66200011009"/>
    <s v="Cutter Machinery*Tailshaft, Cutter*Sleeve, Hub Wear"/>
    <x v="66"/>
    <s v="Y"/>
    <n v="1"/>
    <s v="Sleeve, Hub Wear"/>
    <s v="Cutter Machinery*Tailshaft, Cutter*Sleeve, Hub Wear"/>
    <n v="4"/>
    <s v="118/110-02-30983"/>
    <s v="Gldd Dwg "/>
    <n v="1"/>
  </r>
  <r>
    <s v="0110"/>
    <x v="5"/>
    <n v="66200015134"/>
    <s v="Raw Water*(R/W) Cooling Pump Set (G/E)*Motor, (40 HP)*Motor, 40 HP"/>
    <x v="71"/>
    <s v="Y"/>
    <n v="1"/>
    <s v="Motor, 40 HP"/>
    <s v="Raw Water*(R/W) Cooling Pump Set (G/E)*Motor, (40 HP)*Motor, 40 HP"/>
    <n v="0"/>
    <m/>
    <m/>
    <n v="2"/>
  </r>
  <r>
    <s v="0110"/>
    <x v="5"/>
    <n v="66300000820"/>
    <s v="Raw Water*(R/W) Cooling Pump Set (G/E)*Motor, (40 HP)*Coupling"/>
    <x v="71"/>
    <s v="Y"/>
    <n v="1"/>
    <s v="Coupling"/>
    <s v="Raw Water*(R/W) Cooling Pump Set (G/E)*Motor, (40 HP)*Coupling"/>
    <n v="0"/>
    <m/>
    <m/>
    <n v="2"/>
  </r>
  <r>
    <s v="0118"/>
    <x v="6"/>
    <n v="8658"/>
    <s v="Cutter Machinery*Cutter Gearbox*Shaft, Output (L.S.)*Packing Gland, Output Shaft"/>
    <x v="66"/>
    <s v="Y"/>
    <n v="1"/>
    <s v="Packing Gland, Output Shaft"/>
    <s v="Cutter Machinery*Cutter Gearbox*Shaft, Output (L.S.)*Packing Gland, Output Shaft"/>
    <n v="2"/>
    <s v="CH-10272"/>
    <s v="PRAGER"/>
    <n v="1"/>
  </r>
  <r>
    <s v="0118"/>
    <x v="6"/>
    <n v="9159"/>
    <s v="Pump, Ladder*Ladder Pump Gearbox*Heat Exchager (Oil)*Heat Exchanger, L/P Gearbox"/>
    <x v="64"/>
    <s v="Y"/>
    <n v="1"/>
    <s v="Heat Exchanger, L/P Gearbox"/>
    <s v="Pump, Ladder*Ladder Pump Gearbox*Heat Exchager (Oil)*Heat Exchanger, L/P Gearbox"/>
    <n v="1"/>
    <s v="AB-1202-B6-TP-CNT-BZ-0605"/>
    <s v="AMERICAN INDUSRIAL"/>
    <n v="1"/>
  </r>
  <r>
    <s v="0118"/>
    <x v="6"/>
    <n v="9178"/>
    <s v="Cutter Machinery*Canister, Cutter Motors*Canister, Cutter Motor*Gasket, Cannister Door, 1/2&quot;"/>
    <x v="66"/>
    <s v="Y"/>
    <n v="1"/>
    <s v="Gasket, Cannister Door, 1/2&quot;"/>
    <s v="Cutter Machinery*Canister, Cutter Motors*Canister, Cutter Motor*Gasket, Cannister Door, 1/2&quot;"/>
    <n v="5"/>
    <m/>
    <m/>
    <n v="1"/>
  </r>
  <r>
    <s v="0118"/>
    <x v="6"/>
    <n v="10044"/>
    <s v="Raw Water*M/E Raw Water Pump Set (Aft)*Motor, 60 HP, M/E Raw Water Pump Set (Aft)*Motor, M/E Raw Water Pump, 60 HP"/>
    <x v="71"/>
    <s v="Y"/>
    <n v="1"/>
    <s v="Motor, M/E Raw Water Pump, 60 HP"/>
    <s v="Raw Water*M/E Raw Water Pump Set (Aft)*Motor, 60 HP, M/E Raw Water Pump Set (Aft)*Motor, M/E Raw Water Pump, 60 HP"/>
    <n v="1"/>
    <s v="M4314T"/>
    <s v="Baldor"/>
    <n v="4"/>
  </r>
  <r>
    <s v="0118"/>
    <x v="6"/>
    <n v="10604"/>
    <s v="Electrical*Transducers &amp; Gauges*Transducer, Fuel Pressure"/>
    <x v="61"/>
    <s v="Y"/>
    <n v="1"/>
    <s v="Transducer, Fuel Pressure"/>
    <s v="Electrical*Transducers &amp; Gauges*Transducer, Fuel Pressure"/>
    <n v="1"/>
    <s v="0-30PSI"/>
    <s v="LESMAN INSTRUMENTS"/>
    <n v="1"/>
  </r>
  <r>
    <s v="0118"/>
    <x v="6"/>
    <n v="12419"/>
    <s v="Electrical*Transducers &amp; Gauges*Probe, Oil Temperature"/>
    <x v="61"/>
    <s v="Y"/>
    <n v="2"/>
    <s v="Probe, Oil Temperature"/>
    <s v="Electrical*Transducers &amp; Gauges*Probe, Oil Temperature"/>
    <n v="4"/>
    <s v="R1T185L483"/>
    <s v="LESMAN INSTRUMENTS"/>
    <n v="1"/>
  </r>
  <r>
    <s v="0118"/>
    <x v="6"/>
    <n v="35978"/>
    <s v="Spud System*Spud (#1)*Spud, 42&quot; Diameter  X 95' Long*Holding Pin, Spud"/>
    <x v="73"/>
    <s v="Y"/>
    <n v="1"/>
    <s v="Holding Pin, Spud"/>
    <s v="Spud System*Spud (#1)*Spud, 42&quot; Diameter  X 95' Long*Holding Pin, Spud"/>
    <n v="2"/>
    <m/>
    <m/>
    <n v="2"/>
  </r>
  <r>
    <s v="0118"/>
    <x v="6"/>
    <n v="40070"/>
    <s v="Potable Water*Desalinator (Fwd)*Raw Water Pump*Pump, Raw Water*MOTOR, 10HP*Sleeve, Coupling Flange"/>
    <x v="69"/>
    <s v="Y"/>
    <n v="1"/>
    <s v="Sleeve, Coupling Flange"/>
    <s v="Potable Water*Desalinator (Fwd)*Raw Water Pump*Pump, Raw Water*MOTOR, 10HP*Sleeve, Coupling Flange"/>
    <n v="0"/>
    <s v="1L813"/>
    <s v="Grainger"/>
    <n v="2"/>
  </r>
  <r>
    <s v="0118"/>
    <x v="6"/>
    <n v="40078"/>
    <s v="Electrical*Transducers &amp; Gauges*Magnetic Pickup, Actuator Control"/>
    <x v="61"/>
    <s v="Y"/>
    <n v="1"/>
    <s v="Magnetic Pickup, Actuator Control"/>
    <s v="Electrical*Transducers &amp; Gauges*Magnetic Pickup, Actuator Control"/>
    <n v="8"/>
    <s v="3030AN"/>
    <s v="HONEYWELL"/>
    <n v="1"/>
  </r>
  <r>
    <s v="0118"/>
    <x v="6"/>
    <n v="40176"/>
    <s v="Electrical*Transducers &amp; Gauges*Bilge Level Alarm Control"/>
    <x v="61"/>
    <s v="Y"/>
    <n v="1"/>
    <s v="Bilge Level Alarm Control"/>
    <s v="Electrical*Transducers &amp; Gauges*Bilge Level Alarm Control"/>
    <n v="2"/>
    <s v="15-70-0193"/>
    <s v="MURPHY"/>
    <n v="1"/>
  </r>
  <r>
    <s v="0118"/>
    <x v="6"/>
    <n v="47776"/>
    <s v="Generators*Main Genset (Stbd)*Main Generator Engine (Stbd)*Heat Exchanger*Gasket, Heat Exchanger"/>
    <x v="4"/>
    <s v="Y"/>
    <n v="25"/>
    <s v="Gasket, Heat Exchanger"/>
    <s v="Generators*Main Genset (Stbd)*Main Generator Engine (Stbd)*Heat Exchanger*Gasket, Heat Exchanger"/>
    <n v="45"/>
    <s v="3233015096"/>
    <s v="Alfa Laval"/>
    <n v="1"/>
  </r>
  <r>
    <s v="0118"/>
    <x v="6"/>
    <n v="51230"/>
    <s v="Ladder System*Ladder Hoist Winch*Disc Brake*Brake Disc, High Energy"/>
    <x v="68"/>
    <s v="Y"/>
    <n v="1"/>
    <s v="Brake Disc, High Energy"/>
    <s v="Ladder System*Ladder Hoist Winch*Disc Brake*Brake Disc, High Energy"/>
    <n v="1"/>
    <s v="2-4-30"/>
    <s v="KOBELT"/>
    <n v="1"/>
  </r>
  <r>
    <s v="0118"/>
    <x v="6"/>
    <n v="51589"/>
    <s v="Ladder System*Ladder Hoist Winch*Clevis, Female Rod"/>
    <x v="68"/>
    <s v="Y"/>
    <n v="1"/>
    <s v="Clevis, Female Rod"/>
    <s v="Ladder System*Ladder Hoist Winch*Clevis, Female Rod"/>
    <n v="3"/>
    <s v="A-4245"/>
    <s v="MPMW/SPI"/>
    <n v="1"/>
  </r>
  <r>
    <s v="0118"/>
    <x v="6"/>
    <n v="51590"/>
    <s v="Ladder System*Ladder Hoist Winch*Leaf Spring, Ladder Hoist Winch"/>
    <x v="68"/>
    <s v="Y"/>
    <n v="1"/>
    <s v="Leaf Spring, Ladder Hoist Winch"/>
    <s v="Ladder System*Ladder Hoist Winch*Leaf Spring, Ladder Hoist Winch"/>
    <n v="2"/>
    <s v="B-3468"/>
    <s v="MPMW/SPI"/>
    <n v="1"/>
  </r>
  <r>
    <s v="0118"/>
    <x v="6"/>
    <n v="51820"/>
    <s v="Potable Water*Desalinator (Fwd)*Raw Water Pump*Pump, Raw Water*Coupling Hub, Motor Side"/>
    <x v="69"/>
    <s v="Y"/>
    <n v="1"/>
    <s v="Coupling Hub, Motor Side"/>
    <s v="Potable Water*Desalinator (Fwd)*Raw Water Pump*Pump, Raw Water*Coupling Hub, Motor Side"/>
    <n v="1"/>
    <s v="1050T35"/>
    <s v="Falk"/>
    <n v="2"/>
  </r>
  <r>
    <s v="0118"/>
    <x v="6"/>
    <n v="51821"/>
    <s v="Potable Water*Desalinator (Fwd)*Raw Water Pump*Pump, Raw Water*Coupling Hub, Pump Side"/>
    <x v="69"/>
    <s v="Y"/>
    <n v="1"/>
    <s v="Coupling Hub, Pump Side"/>
    <s v="Potable Water*Desalinator (Fwd)*Raw Water Pump*Pump, Raw Water*Coupling Hub, Pump Side"/>
    <n v="2"/>
    <s v="1050T35"/>
    <s v="Falk"/>
    <n v="2"/>
  </r>
  <r>
    <s v="0118"/>
    <x v="6"/>
    <n v="51849"/>
    <s v="Cutter Machinery*Cutter Gearbox*Oil Supply Pump Set (Cutter Gearbox)*Oil Supply Pump*Oil Pump, Cutter Gearbox L/O Supply"/>
    <x v="66"/>
    <s v="Y"/>
    <n v="1"/>
    <s v="Oil Pump, Cutter Gearbox L/O Supply"/>
    <s v="Cutter Machinery*Cutter Gearbox*Oil Supply Pump Set (Cutter Gearbox)*Oil Supply Pump*Oil Pump, Cutter Gearbox L/O Supply"/>
    <n v="1"/>
    <s v="3201/112"/>
    <s v="IMO PUMP"/>
    <n v="1"/>
  </r>
  <r>
    <s v="0118"/>
    <x v="6"/>
    <n v="51850"/>
    <s v="Cutter Machinery*Cutter Gearbox*Oil Supply Pump Set (Cutter Gearbox)*Motor (2 HP)*Motor, 2 HP, Cutter Gear L/O Supply"/>
    <x v="66"/>
    <s v="Y"/>
    <n v="1"/>
    <s v="Motor, 2 HP, Cutter Gear L/O Supply"/>
    <s v="Cutter Machinery*Cutter Gearbox*Oil Supply Pump Set (Cutter Gearbox)*Motor (2 HP)*Motor, 2 HP, Cutter Gear L/O Supply"/>
    <n v="1"/>
    <s v="1EBE5"/>
    <s v="Grainger"/>
    <n v="1"/>
  </r>
  <r>
    <s v="0118"/>
    <x v="6"/>
    <n v="52312"/>
    <s v="Cutter Machinery*Drive, SCR (Cutter) (Port)*Fuse, SCR"/>
    <x v="66"/>
    <s v="Y"/>
    <n v="18"/>
    <s v="Fuse, SCR"/>
    <s v="Cutter Machinery*Drive, SCR (Cutter) (Port)*Fuse, SCR"/>
    <n v="46"/>
    <s v="T1013903"/>
    <s v="Mersen"/>
    <n v="2"/>
  </r>
  <r>
    <s v="0118"/>
    <x v="6"/>
    <n v="52680"/>
    <s v="Cutter Machinery*Drive, SCR (Cutter) (Port)*AVTRON ADVANTAGE 32 SYS*CONTROL BOARD ASSEMBLY*Bridge Interface Module Assembly"/>
    <x v="66"/>
    <s v="Y"/>
    <n v="2"/>
    <s v="Bridge Interface Module Assembly"/>
    <s v="Cutter Machinery*Drive, SCR (Cutter) (Port)*AVTRON ADVANTAGE 32 SYS*CONTROL BOARD ASSEMBLY*Bridge Interface Module Assembly"/>
    <n v="2"/>
    <s v="A19273-1 REV-L"/>
    <s v="AVTRON"/>
    <n v="2"/>
  </r>
  <r>
    <s v="0118"/>
    <x v="6"/>
    <n v="52903"/>
    <s v="Swing*Drive, SCR (Swing) (Port)*Firing-Snubber Assembly, SCR"/>
    <x v="65"/>
    <s v="Y"/>
    <n v="6"/>
    <s v="Firing-Snubber Assembly, SCR"/>
    <s v="Swing*Drive, SCR (Swing) (Port)*Firing-Snubber Assembly, SCR"/>
    <n v="9"/>
    <s v="A19364 REV-C"/>
    <s v="AVTRON MFG INC"/>
    <n v="2"/>
  </r>
  <r>
    <s v="0118"/>
    <x v="6"/>
    <n v="55033"/>
    <s v="Pump, Ladder*Ladder Pump (Universal)*Stuffing Box (L/P)*Sleeve, Shaft"/>
    <x v="64"/>
    <s v="Y"/>
    <n v="1"/>
    <s v="Sleeve, Shaft"/>
    <s v="Pump, Ladder*Ladder Pump (Universal)*Stuffing Box (L/P)*Sleeve, Shaft"/>
    <n v="1"/>
    <s v="B-6282"/>
    <s v="SPI/MPMW"/>
    <n v="1"/>
  </r>
  <r>
    <s v="0118"/>
    <x v="6"/>
    <n v="55176"/>
    <s v="Potable Water*Desalinator (Fwd)*Raw Water Pump*Pump, Raw Water*Cover And Grid Assembly"/>
    <x v="69"/>
    <s v="Y"/>
    <n v="1"/>
    <s v="Cover And Grid Assembly"/>
    <s v="Potable Water*Desalinator (Fwd)*Raw Water Pump*Pump, Raw Water*Cover And Grid Assembly"/>
    <n v="2"/>
    <s v="1050T10"/>
    <s v="Falk"/>
    <n v="2"/>
  </r>
  <r>
    <s v="0118"/>
    <x v="6"/>
    <n v="56814"/>
    <s v="Swing*Drive, SCR (Swing) (Port)*Analog Converter Module, SCR"/>
    <x v="65"/>
    <s v="Y"/>
    <n v="1"/>
    <s v="Analog Converter Module, SCR"/>
    <s v="Swing*Drive, SCR (Swing) (Port)*Analog Converter Module, SCR"/>
    <n v="0"/>
    <s v="K663"/>
    <s v="AVTRON MFG INC"/>
    <n v="2"/>
  </r>
  <r>
    <s v="0118"/>
    <x v="6"/>
    <n v="6800000598"/>
    <s v="Pump, Dredge*Shafting*Bearing Oil Tank (# 03) (Spring Brg)*Oil Supply Pump Set (#3)*Pump, Oil Supply, Set #3*PUMP, VIKING"/>
    <x v="63"/>
    <s v="Y"/>
    <n v="1"/>
    <s v="PUMP, VIKING"/>
    <s v="Pump, Dredge*Shafting*Bearing Oil Tank (# 03) (Spring Brg)*Oil Supply Pump Set (#3)*Pump, Oil Supply, Set #3*PUMP, VIKING"/>
    <n v="3"/>
    <s v="GG-4195"/>
    <s v="VIKING MARINE SOUTH, INC."/>
    <n v="1"/>
  </r>
  <r>
    <s v="0118"/>
    <x v="6"/>
    <n v="6800000618"/>
    <s v="Pump, Dredge*Lube Oil Supply Pump Set (M/P Gearbox)*Pump, Viking*Oil Supply Pump, D/P Gearbox"/>
    <x v="63"/>
    <s v="Y"/>
    <n v="1"/>
    <s v="Oil Supply Pump, D/P Gearbox"/>
    <s v="Pump, Dredge*Lube Oil Supply Pump Set (M/P Gearbox)*Pump, Viking*Oil Supply Pump, D/P Gearbox"/>
    <n v="2"/>
    <s v="L4124B"/>
    <s v="VIKING MARINE SOUTH, INC."/>
    <n v="1"/>
  </r>
  <r>
    <s v="0118"/>
    <x v="6"/>
    <n v="6800000675"/>
    <s v="Pump, Dredge*Dredge Pump*Door, Suction Side, Dredge Pump"/>
    <x v="63"/>
    <s v="Y"/>
    <n v="1"/>
    <s v="Door, Suction Side, Dredge Pump"/>
    <s v="Pump, Dredge*Dredge Pump*Door, Suction Side, Dredge Pump"/>
    <n v="1"/>
    <s v="A-4925"/>
    <s v="SPI/MPMW"/>
    <n v="1"/>
  </r>
  <r>
    <s v="0118"/>
    <x v="6"/>
    <n v="6800000676"/>
    <s v="Pump, Dredge*Dredge Pump*Liner, Peripheral (Inner Shell)"/>
    <x v="63"/>
    <s v="Y"/>
    <n v="1"/>
    <s v="Liner, Peripheral (Inner Shell)"/>
    <s v="Pump, Dredge*Dredge Pump*Liner, Peripheral (Inner Shell)"/>
    <n v="1"/>
    <s v="A-4923"/>
    <s v="SPI/MPMW"/>
    <n v="1"/>
  </r>
  <r>
    <s v="0118"/>
    <x v="6"/>
    <n v="6800000683"/>
    <s v="Pump, Dredge*Dredge Pump*Stuffing Box (D/P)*Stuffing Box Housing (Split)"/>
    <x v="63"/>
    <s v="Y"/>
    <n v="1"/>
    <s v="Stuffing Box Housing (Split)"/>
    <s v="Pump, Dredge*Dredge Pump*Stuffing Box (D/P)*Stuffing Box Housing (Split)"/>
    <n v="1"/>
    <s v="2A-1692"/>
    <s v="MPMW Dwg "/>
    <n v="1"/>
  </r>
  <r>
    <s v="0118"/>
    <x v="6"/>
    <n v="6800000685"/>
    <s v="Pump, Dredge*Dredge Pump*Stuffing Box (D/P)*Shaft Sleeve"/>
    <x v="63"/>
    <s v="Y"/>
    <n v="1"/>
    <s v="Shaft Sleeve"/>
    <s v="Pump, Dredge*Dredge Pump*Stuffing Box (D/P)*Shaft Sleeve"/>
    <n v="1"/>
    <s v="BB-5384"/>
    <s v="MPMW Dwg "/>
    <n v="1"/>
  </r>
  <r>
    <s v="0118"/>
    <x v="6"/>
    <n v="6800000686"/>
    <s v="Pump, Dredge*Dredge Pump*Stuffing Box (D/P)*Ring, Lantern (Gathane)"/>
    <x v="63"/>
    <s v="Y"/>
    <n v="1"/>
    <s v="Ring, Lantern (Gathane)"/>
    <s v="Pump, Dredge*Dredge Pump*Stuffing Box (D/P)*Ring, Lantern (Gathane)"/>
    <n v="2"/>
    <s v="D-1854"/>
    <s v="MPMW Dwg "/>
    <n v="1"/>
  </r>
  <r>
    <s v="0118"/>
    <x v="6"/>
    <n v="6800000694"/>
    <s v="Pump, Dredge*Dredge Pump*Stuffing Box (D/P)*Packing Gland, Split"/>
    <x v="63"/>
    <s v="Y"/>
    <n v="1"/>
    <s v="Packing Gland, Split"/>
    <s v="Pump, Dredge*Dredge Pump*Stuffing Box (D/P)*Packing Gland, Split"/>
    <n v="1"/>
    <s v="D-846"/>
    <s v="MPMW Dwg "/>
    <n v="1"/>
  </r>
  <r>
    <s v="0118"/>
    <x v="6"/>
    <n v="6900000019"/>
    <s v="Cutter Machinery*Cutter Motor (Port)*Shim, Vibracon"/>
    <x v="66"/>
    <s v="Y"/>
    <n v="6"/>
    <s v="Shim, Vibracon"/>
    <s v="Cutter Machinery*Cutter Motor (Port)*Shim, Vibracon"/>
    <n v="14"/>
    <s v="SM36CS"/>
    <s v="MACHINE SUPPORT USA"/>
    <n v="2"/>
  </r>
  <r>
    <s v="0118"/>
    <x v="6"/>
    <n v="7500000478"/>
    <s v="Pump, Ladder*Ladder Pump Gearbox*Oil Supply Pump Set*Motor, (5 HP) (L/P) Gearbox Oil Supply*Motor, 5 HP"/>
    <x v="64"/>
    <s v="Y"/>
    <n v="1"/>
    <s v="Motor, 5 HP"/>
    <s v="Pump, Ladder*Ladder Pump Gearbox*Oil Supply Pump Set*Motor, (5 HP) (L/P) Gearbox Oil Supply*Motor, 5 HP"/>
    <n v="1"/>
    <s v="2MXU8"/>
    <s v="Grainger"/>
    <n v="1"/>
  </r>
  <r>
    <s v="0118"/>
    <x v="6"/>
    <n v="7500000522"/>
    <s v="Ladder System*Ladder Hoist Winch*Air Cylinder, Ladder Hoist Brake"/>
    <x v="68"/>
    <s v="Y"/>
    <n v="1"/>
    <s v="Air Cylinder, Ladder Hoist Brake"/>
    <s v="Ladder System*Ladder Hoist Winch*Air Cylinder, Ladder Hoist Brake"/>
    <n v="1"/>
    <s v="ITEM 137"/>
    <s v="MPMW/SPI"/>
    <n v="1"/>
  </r>
  <r>
    <s v="0118"/>
    <x v="6"/>
    <n v="7500000523"/>
    <s v="Ladder System*Ladder Hoist Winch*Compression Spring, Brake"/>
    <x v="68"/>
    <s v="Y"/>
    <n v="1"/>
    <s v="Compression Spring, Brake"/>
    <s v="Ladder System*Ladder Hoist Winch*Compression Spring, Brake"/>
    <n v="1"/>
    <s v="CB-2091"/>
    <s v="MPMW/SPI"/>
    <n v="1"/>
  </r>
  <r>
    <s v="0118"/>
    <x v="6"/>
    <n v="7500000525"/>
    <s v="Ladder System*Ladder Hoist Winch*Eye Bolt, Ladder Hoist Brake Band"/>
    <x v="68"/>
    <s v="Y"/>
    <n v="1"/>
    <s v="Eye Bolt, Ladder Hoist Brake Band"/>
    <s v="Ladder System*Ladder Hoist Winch*Eye Bolt, Ladder Hoist Brake Band"/>
    <n v="2"/>
    <s v="B-5489"/>
    <s v="MPMW/SPI"/>
    <n v="1"/>
  </r>
  <r>
    <s v="0118"/>
    <x v="6"/>
    <n v="7500000531"/>
    <s v="Ladder System*Ladder Hoist Winch*Disc Brake*Brake Caliper Assembly, Ladder Hoist"/>
    <x v="68"/>
    <s v="Y"/>
    <n v="1"/>
    <s v="Brake Caliper Assembly, Ladder Hoist"/>
    <s v="Ladder System*Ladder Hoist Winch*Disc Brake*Brake Caliper Assembly, Ladder Hoist"/>
    <n v="3"/>
    <s v="5021-SA"/>
    <s v="KOBELT"/>
    <n v="1"/>
  </r>
  <r>
    <s v="0118"/>
    <x v="6"/>
    <n v="7500000561"/>
    <s v="Ladder System*Ladder Hoist Winch*Brake Band Assembly, Ladder Hoist"/>
    <x v="68"/>
    <s v="Y"/>
    <n v="1"/>
    <s v="Brake Band Assembly, Ladder Hoist"/>
    <s v="Ladder System*Ladder Hoist Winch*Brake Band Assembly, Ladder Hoist"/>
    <n v="1"/>
    <s v="A-5175"/>
    <s v="MPMW/SPI"/>
    <n v="1"/>
  </r>
  <r>
    <s v="0118"/>
    <x v="6"/>
    <n v="7500006158"/>
    <s v="Cutter Machinery*Thrust Bearing (Cutter)*Coupling (Gearbox to Thrust Shaft)*Stud, Thrust Shaft Coupling"/>
    <x v="66"/>
    <s v="Y"/>
    <n v="6"/>
    <s v="Stud, Thrust Shaft Coupling"/>
    <s v="Cutter Machinery*Thrust Bearing (Cutter)*Coupling (Gearbox to Thrust Shaft)*Stud, Thrust Shaft Coupling"/>
    <n v="10"/>
    <s v="110-02-1002"/>
    <s v="GLDD DWG"/>
    <n v="1"/>
  </r>
  <r>
    <s v="0118"/>
    <x v="6"/>
    <n v="7500006169"/>
    <s v="Cutter Machinery*Thrust Bearing (Cutter)*Seal, Split Lip"/>
    <x v="66"/>
    <s v="Y"/>
    <n v="2"/>
    <s v="Seal, Split Lip"/>
    <s v="Cutter Machinery*Thrust Bearing (Cutter)*Seal, Split Lip"/>
    <n v="2"/>
    <s v="25003-3741"/>
    <s v="Garlock"/>
    <n v="1"/>
  </r>
  <r>
    <s v="0118"/>
    <x v="6"/>
    <n v="7500006180"/>
    <s v="Pump, Ladder*Shafting*Line Shaft (L/P) (Long Shaft)*Radial Bearing (Fwd)*Bearing Insert"/>
    <x v="64"/>
    <s v="Y"/>
    <n v="4"/>
    <s v="Bearing Insert"/>
    <s v="Pump, Ladder*Shafting*Line Shaft (L/P) (Long Shaft)*Radial Bearing (Fwd)*Bearing Insert"/>
    <n v="4"/>
    <s v="118-02-0279 (R3)"/>
    <s v="Gldd Dwg "/>
    <n v="2"/>
  </r>
  <r>
    <s v="0118"/>
    <x v="6"/>
    <n v="7500006186"/>
    <s v="Pump, Ladder*Shafting*Line Shaft (L/P) (Long Shaft)*Radial Bearing (Fwd)*Shim Kit"/>
    <x v="64"/>
    <s v="Y"/>
    <n v="4"/>
    <s v="Shim Kit"/>
    <s v="Pump, Ladder*Shafting*Line Shaft (L/P) (Long Shaft)*Radial Bearing (Fwd)*Shim Kit"/>
    <n v="16"/>
    <s v="3A-220"/>
    <s v="MPMW/ SP"/>
    <n v="2"/>
  </r>
  <r>
    <s v="0118"/>
    <x v="6"/>
    <n v="7500006226"/>
    <s v="Pump, Ladder*Ladder Pump (Universal)*Washer, Copper, Impeller"/>
    <x v="64"/>
    <s v="Y"/>
    <n v="2"/>
    <s v="Washer, Copper, Impeller"/>
    <s v="Pump, Ladder*Ladder Pump (Universal)*Washer, Copper, Impeller"/>
    <n v="4"/>
    <s v="B-6281"/>
    <s v="SPI/MPMW"/>
    <n v="1"/>
  </r>
  <r>
    <s v="0118"/>
    <x v="6"/>
    <n v="7500006274"/>
    <s v="Ladder System*Cutter Service Platform*Cutter Service Platform Winch*Winch, Tulsa 70*Motor, 15 HP, Platform Winch"/>
    <x v="68"/>
    <s v="Y"/>
    <n v="1"/>
    <s v="Motor, 15 HP, Platform Winch"/>
    <s v="Ladder System*Cutter Service Platform*Cutter Service Platform Winch*Winch, Tulsa 70*Motor, 15 HP, Platform Winch"/>
    <n v="1"/>
    <s v="OFV168H4-K8"/>
    <s v="SEW EURODRIVE"/>
    <n v="1"/>
  </r>
  <r>
    <s v="0118"/>
    <x v="6"/>
    <n v="7500006310"/>
    <s v="Potable Water*Potable Water Pump (Port)*Potable Water Pump"/>
    <x v="69"/>
    <s v="Y"/>
    <n v="1"/>
    <s v="Potable Water Pump"/>
    <s v="Potable Water*Potable Water Pump (Port)*Potable Water Pump"/>
    <n v="2"/>
    <s v="ES9M"/>
    <s v="Burks Turbine"/>
    <n v="2"/>
  </r>
  <r>
    <s v="0118"/>
    <x v="6"/>
    <n v="7500006318"/>
    <s v="Pump, Dredge*Lube Oil Supply Pump Set (M/P Gearbox)*Pump, Viking*Oil Supply Pump, D/P Gearbox*Motor, D/P Gearbox Oil Supply Pump"/>
    <x v="63"/>
    <s v="Y"/>
    <n v="1"/>
    <s v="Motor, D/P Gearbox Oil Supply Pump"/>
    <s v="Pump, Dredge*Lube Oil Supply Pump Set (M/P Gearbox)*Pump, Viking*Oil Supply Pump, D/P Gearbox*Motor, D/P Gearbox Oil Supply Pump"/>
    <n v="1"/>
    <s v="213TTFC4026"/>
    <s v="MARATHON"/>
    <n v="1"/>
  </r>
  <r>
    <s v="0118"/>
    <x v="6"/>
    <n v="7500006325"/>
    <s v="Raw Water*Ladder Water Supply Pump Set*Motor, 125 HP, Ladder Water Supply Pump Set*Motor, Ladder Water Supply, 125 HP"/>
    <x v="71"/>
    <s v="Y"/>
    <n v="1"/>
    <s v="Motor, Ladder Water Supply, 125 HP"/>
    <s v="Raw Water*Ladder Water Supply Pump Set*Motor, 125 HP, Ladder Water Supply Pump Set*Motor, Ladder Water Supply, 125 HP"/>
    <n v="1"/>
    <s v="G-350931-02"/>
    <s v="CENTURY"/>
    <n v="1"/>
  </r>
  <r>
    <s v="0118"/>
    <x v="6"/>
    <n v="7500007070"/>
    <s v="Pump, Dredge*Dredge Pump*Washer, Copper, Impeller, 1/8&quot;"/>
    <x v="63"/>
    <s v="Y"/>
    <n v="2"/>
    <s v="Washer, Copper, Impeller, 1/8&quot;"/>
    <s v="Pump, Dredge*Dredge Pump*Washer, Copper, Impeller, 1/8&quot;"/>
    <n v="3"/>
    <s v="B-5387"/>
    <s v="SPI/MPMW"/>
    <n v="1"/>
  </r>
  <r>
    <s v="0118"/>
    <x v="6"/>
    <n v="8800000092"/>
    <s v="Pump, Dredge*Dredge Pump*Liner, Engine Side"/>
    <x v="63"/>
    <s v="Y"/>
    <n v="1"/>
    <s v="Liner, Engine Side"/>
    <s v="Pump, Dredge*Dredge Pump*Liner, Engine Side"/>
    <n v="1"/>
    <s v="A-4960"/>
    <s v="SPI/MPMW"/>
    <n v="1"/>
  </r>
  <r>
    <s v="0118"/>
    <x v="6"/>
    <n v="8800000105"/>
    <s v="Cutter Machinery*Canister, Cutter Motors*Sump Pump, Cutter Motor Canister"/>
    <x v="66"/>
    <s v="Y"/>
    <n v="1"/>
    <s v="Sump Pump, Cutter Motor Canister"/>
    <s v="Cutter Machinery*Canister, Cutter Motors*Sump Pump, Cutter Motor Canister"/>
    <n v="1"/>
    <s v="HSUL 2 X 2-8"/>
    <s v="Goulds"/>
    <n v="1"/>
  </r>
  <r>
    <s v="0118"/>
    <x v="6"/>
    <n v="8800000381"/>
    <s v="Pump, Ladder*Shafting*Line Shaft (L/P) (Long Shaft)*Coupling (Gearbox End)*Coupling Hub, L/P Shaft"/>
    <x v="64"/>
    <s v="Y"/>
    <n v="1"/>
    <s v="Coupling Hub, L/P Shaft"/>
    <s v="Pump, Ladder*Shafting*Line Shaft (L/P) (Long Shaft)*Coupling (Gearbox End)*Coupling Hub, L/P Shaft"/>
    <n v="1"/>
    <s v="1060GV52-RSB"/>
    <s v="Rexnord"/>
    <n v="1"/>
  </r>
  <r>
    <s v="0118"/>
    <x v="6"/>
    <n v="8800000408"/>
    <s v="Pump, Dredge*Dredge Pump Engine Stbd (EMD 645)*Clutch (Stbd) (33VC650)*Element, Dual, 33VC650 Clutch"/>
    <x v="63"/>
    <s v="Y"/>
    <n v="1"/>
    <s v="Element, Dual, 33VC650 Clutch"/>
    <s v="Pump, Dredge*Dredge Pump Engine Stbd (EMD 645)*Clutch (Stbd) (33VC650)*Element, Dual, 33VC650 Clutch"/>
    <n v="2"/>
    <s v="33VC650 (Gummi)"/>
    <s v="MSI"/>
    <n v="2"/>
  </r>
  <r>
    <s v="0118"/>
    <x v="6"/>
    <n v="8800000409"/>
    <s v="Pump, Dredge*Dredge Pump Engine Stbd (EMD 645)*Clutch (Stbd) (33VC650)*Drum, Clutch (33VC650)"/>
    <x v="63"/>
    <s v="Y"/>
    <n v="1"/>
    <s v="Drum, Clutch (33VC650)"/>
    <s v="Pump, Dredge*Dredge Pump Engine Stbd (EMD 645)*Clutch (Stbd) (33VC650)*Drum, Clutch (33VC650)"/>
    <n v="1"/>
    <s v="410022"/>
    <s v="EATON AIRFLEX"/>
    <n v="2"/>
  </r>
  <r>
    <s v="0118"/>
    <x v="6"/>
    <n v="8800000437"/>
    <s v="Pump, Ladder*Shafting*Line Shaft (L/P) (Long Shaft)*Coupling (Gearbox End)*Centering Component Kit, Coupling"/>
    <x v="64"/>
    <s v="Y"/>
    <n v="1"/>
    <s v="Centering Component Kit, Coupling"/>
    <s v="Pump, Ladder*Shafting*Line Shaft (L/P) (Long Shaft)*Coupling (Gearbox End)*Centering Component Kit, Coupling"/>
    <n v="2"/>
    <s v="1060GV52"/>
    <s v="Falk"/>
    <n v="1"/>
  </r>
  <r>
    <s v="0118"/>
    <x v="6"/>
    <n v="8900000002"/>
    <s v="Vessel Consumables*Dredge Wires*Swing Wire, 2-1/4&quot; X 1400'"/>
    <x v="78"/>
    <s v="Y"/>
    <n v="2"/>
    <s v="Swing Wire, 2-1/4&quot; X 1400'"/>
    <s v="Vessel Consumables*Dredge Wires*Swing Wire, 2-1/4&quot; X 1400'"/>
    <n v="3"/>
    <s v="2-1/4&quot; X 1400'"/>
    <s v="SOUTHWEST WIRE ROPE"/>
    <n v="1"/>
  </r>
  <r>
    <s v="0118"/>
    <x v="6"/>
    <n v="8900000004"/>
    <s v="Vessel Consumables*Dredge Wires*Stern Wire, 1-3/4&quot; X 1500'"/>
    <x v="78"/>
    <s v="Y"/>
    <n v="3"/>
    <s v="Stern Wire, 1-3/4&quot; X 1500'"/>
    <s v="Vessel Consumables*Dredge Wires*Stern Wire, 1-3/4&quot; X 1500'"/>
    <n v="5"/>
    <s v="1-3/4&quot; X 1500'"/>
    <s v="SOUTHWEST WIRE ROPE"/>
    <n v="1"/>
  </r>
  <r>
    <s v="0118"/>
    <x v="6"/>
    <n v="8900000006"/>
    <s v="Vessel Consumables*Dredge Wires*Ladder Wire, 1-1/2&quot; x 3200' (87' Dig)"/>
    <x v="78"/>
    <s v="Y"/>
    <n v="1"/>
    <s v="Ladder Wire, 1-1/2&quot; x 3200' (87' Dig)"/>
    <s v="Vessel Consumables*Dredge Wires*Ladder Wire, 1-1/2&quot; x 3200' (87' Dig)"/>
    <n v="1"/>
    <s v="1-1/2&quot; X 3200'"/>
    <s v="SOUTHWEST WIRE ROPE"/>
    <n v="1"/>
  </r>
  <r>
    <s v="0118"/>
    <x v="6"/>
    <n v="8900000159"/>
    <s v="Compressed Air*Air Compressor Set (Aft)*Compressor, Air Compressor Set (Aft)*DISCHARGE VALVE"/>
    <x v="79"/>
    <s v="Y"/>
    <n v="1"/>
    <s v="DISCHARGE VALVE"/>
    <s v="Compressed Air*Air Compressor Set (Aft)*Compressor, Air Compressor Set (Aft)*DISCHARGE VALVE"/>
    <n v="0"/>
    <s v="6670X01"/>
    <s v="NATIONAL PUMP AND COMPRESSOR"/>
    <n v="2"/>
  </r>
  <r>
    <s v="0118"/>
    <x v="6"/>
    <n v="9700000017"/>
    <s v="Cutter Machinery*Cutter Gearbox*Coupling (Cutter Motor to Gearbox) (Port)*Grid, Steelflex,1160T35"/>
    <x v="66"/>
    <s v="Y"/>
    <n v="1"/>
    <s v="Grid, Steelflex,1160T35"/>
    <s v="Cutter Machinery*Cutter Gearbox*Coupling (Cutter Motor to Gearbox) (Port)*Grid, Steelflex,1160T35"/>
    <n v="1"/>
    <s v="1160T35"/>
    <s v="Falk"/>
    <n v="2"/>
  </r>
  <r>
    <s v="0118"/>
    <x v="6"/>
    <n v="9700000019"/>
    <s v="Cutter Machinery*Cutter Gearbox*Coupling (Cutter Motor to Gearbox) (Port)*Cover, Steelflex (1160T35)"/>
    <x v="66"/>
    <s v="Y"/>
    <n v="1"/>
    <s v="Cover, Steelflex (1160T35)"/>
    <s v="Cutter Machinery*Cutter Gearbox*Coupling (Cutter Motor to Gearbox) (Port)*Cover, Steelflex (1160T35)"/>
    <n v="2"/>
    <s v="cover 1160T10"/>
    <s v="Falk"/>
    <n v="2"/>
  </r>
  <r>
    <s v="0118"/>
    <x v="6"/>
    <n v="9700000021"/>
    <s v="Cutter Machinery*Cutter Gearbox*Coupling (Cutter Motor to Gearbox) (Port)*Gasket, Steelflex (1160T35)"/>
    <x v="66"/>
    <s v="Y"/>
    <n v="2"/>
    <s v="Gasket, Steelflex (1160T35)"/>
    <s v="Cutter Machinery*Cutter Gearbox*Coupling (Cutter Motor to Gearbox) (Port)*Gasket, Steelflex (1160T35)"/>
    <n v="22"/>
    <s v="10038750"/>
    <s v="Rexnord"/>
    <n v="2"/>
  </r>
  <r>
    <s v="0118"/>
    <x v="6"/>
    <n v="12500001387"/>
    <s v="Cutter Machinery*Tailshaft*Cutless Bearing*Water Box, Cutless Bearing"/>
    <x v="66"/>
    <s v="Y"/>
    <n v="1"/>
    <s v="Water Box, Cutless Bearing"/>
    <s v="Cutter Machinery*Tailshaft*Cutless Bearing*Water Box, Cutless Bearing"/>
    <n v="1"/>
    <s v="118-02-0084"/>
    <s v="Gldd Dwg "/>
    <n v="1"/>
  </r>
  <r>
    <s v="0118"/>
    <x v="6"/>
    <n v="13200000845"/>
    <s v="Pump, Ladder*Ladder Pump Gearbox*Oil Supply Pump Set*Oil Supply Pump*Oil Supply Pump, L/P Gearbox"/>
    <x v="64"/>
    <s v="Y"/>
    <n v="1"/>
    <s v="Oil Supply Pump, L/P Gearbox"/>
    <s v="Pump, Ladder*Ladder Pump Gearbox*Oil Supply Pump Set*Oil Supply Pump*Oil Supply Pump, L/P Gearbox"/>
    <n v="1"/>
    <s v="HL4195"/>
    <s v="VIKING MARINE SOUTH, INC."/>
    <n v="1"/>
  </r>
  <r>
    <s v="0118"/>
    <x v="6"/>
    <n v="13200001003"/>
    <s v="Pump, Dredge*Dredge Pump Engine Port (EMD 645)*Starting System*Air Starter, Left Hand Engine"/>
    <x v="63"/>
    <s v="Y"/>
    <n v="1"/>
    <s v="Air Starter, Left Hand Engine"/>
    <s v="Pump, Dredge*Dredge Pump Engine Port (EMD 645)*Starting System*Air Starter, Left Hand Engine"/>
    <n v="3"/>
    <s v="IR 150BMPD88R54-020-MP"/>
    <s v="DIESEL PARTS SALES &amp; SERVICE, INC."/>
    <n v="4"/>
  </r>
  <r>
    <s v="0118"/>
    <x v="6"/>
    <n v="13200001164"/>
    <s v="Cutter Machinery*Tailshaft*Radial Bearing*Bearing Insert (2 Piece Set)"/>
    <x v="66"/>
    <s v="Y"/>
    <n v="2"/>
    <s v="Bearing Insert (2 Piece Set)"/>
    <s v="Cutter Machinery*Tailshaft*Radial Bearing*Bearing Insert (2 Piece Set)"/>
    <n v="4"/>
    <s v="118-02-2508- R2"/>
    <s v="GLDD DRWG."/>
    <n v="1"/>
  </r>
  <r>
    <s v="0118"/>
    <x v="6"/>
    <n v="13200002199"/>
    <s v="Ladder System*Ladder Hoist Winch*Ladder Hoist Motor*Motor, GE 752 (1000 HP)*Brush, Swing Motor"/>
    <x v="68"/>
    <s v="Y"/>
    <n v="12"/>
    <s v="Brush, Swing Motor"/>
    <s v="Ladder System*Ladder Hoist Winch*Ladder Hoist Motor*Motor, GE 752 (1000 HP)*Brush, Swing Motor"/>
    <n v="36"/>
    <s v="25-871531"/>
    <s v="HELWIG CARBON"/>
    <n v="3"/>
  </r>
  <r>
    <s v="0118"/>
    <x v="6"/>
    <n v="13200002223"/>
    <s v="Pump, Dredge*Lube Oil Supply Pump Set (M/P Gearbox)*Pump, Viking*Oil Supply Pump, D/P Gearbox*Gear Reducer, Oil Supply Pump"/>
    <x v="63"/>
    <s v="Y"/>
    <n v="1"/>
    <s v="Gear Reducer, Oil Supply Pump"/>
    <s v="Pump, Dredge*Lube Oil Supply Pump Set (M/P Gearbox)*Pump, Viking*Oil Supply Pump, D/P Gearbox*Gear Reducer, Oil Supply Pump"/>
    <n v="2"/>
    <s v="3-551-003-419-00"/>
    <s v="VIKING MARINE SOUTH, INC."/>
    <n v="1"/>
  </r>
  <r>
    <s v="0118"/>
    <x v="6"/>
    <n v="13200002548"/>
    <s v="Pump, Ladder*Ladder Pump Gearbox*Oil Seal, HS Shaft, L/P Gearbox"/>
    <x v="64"/>
    <s v="Y"/>
    <n v="1"/>
    <s v="Oil Seal, HS Shaft, L/P Gearbox"/>
    <s v="Pump, Ladder*Ladder Pump Gearbox*Oil Seal, HS Shaft, L/P Gearbox"/>
    <n v="1"/>
    <s v="E9020660"/>
    <s v="LUFKIN"/>
    <n v="1"/>
  </r>
  <r>
    <s v="0118"/>
    <x v="6"/>
    <n v="13200002549"/>
    <s v="Pump, Ladder*Ladder Pump Gearbox*Oil Seal, LS Shaft, L/P Gearbox"/>
    <x v="64"/>
    <s v="Y"/>
    <n v="1"/>
    <s v="Oil Seal, LS Shaft, L/P Gearbox"/>
    <s v="Pump, Ladder*Ladder Pump Gearbox*Oil Seal, LS Shaft, L/P Gearbox"/>
    <n v="2"/>
    <s v="E7075990"/>
    <s v="LUFKIN"/>
    <n v="1"/>
  </r>
  <r>
    <s v="0118"/>
    <x v="6"/>
    <n v="13200002952"/>
    <s v="Generators*Main Genset (Stbd)*Main Generator Engine (Stbd)*Heat Exchanger*Plate, Titanium, Heat Exchanger"/>
    <x v="4"/>
    <s v="Y"/>
    <n v="6"/>
    <s v="Plate, Titanium, Heat Exchanger"/>
    <s v="Generators*Main Genset (Stbd)*Main Generator Engine (Stbd)*Heat Exchanger*Plate, Titanium, Heat Exchanger"/>
    <n v="6"/>
    <s v="367241-4003"/>
    <s v="Alfa Laval"/>
    <n v="1"/>
  </r>
  <r>
    <s v="0118"/>
    <x v="6"/>
    <n v="13200003401"/>
    <s v="Vessel Consumables*Brushes (Electric)*Brush, Swing/Ladder Hoist Motor"/>
    <x v="78"/>
    <s v="Y"/>
    <n v="12"/>
    <s v="Brush, Swing/Ladder Hoist Motor"/>
    <s v="Vessel Consumables*Brushes (Electric)*Brush, Swing/Ladder Hoist Motor"/>
    <n v="140"/>
    <s v="10-752291"/>
    <s v="HELWIG"/>
    <n v="1"/>
  </r>
  <r>
    <s v="0118"/>
    <x v="6"/>
    <n v="13200003655"/>
    <s v="Electrical*Transducers &amp; Gauges*Transducer, Fuel Pressure"/>
    <x v="61"/>
    <s v="Y"/>
    <n v="1"/>
    <s v="Transducer, Fuel Pressure"/>
    <s v="Electrical*Transducers &amp; Gauges*Transducer, Fuel Pressure"/>
    <n v="10"/>
    <s v="3475AFG"/>
    <s v="VIATRAN"/>
    <n v="1"/>
  </r>
  <r>
    <s v="0118"/>
    <x v="6"/>
    <n v="13200003678"/>
    <s v="Swing*Drive, SCR (Swing) (Port)*Fuse, Swing SCR Drive"/>
    <x v="65"/>
    <s v="Y"/>
    <n v="6"/>
    <s v="Fuse, Swing SCR Drive"/>
    <s v="Swing*Drive, SCR (Swing) (Port)*Fuse, Swing SCR Drive"/>
    <n v="13"/>
    <s v="170M4666"/>
    <s v="Bussmann"/>
    <n v="2"/>
  </r>
  <r>
    <s v="0118"/>
    <x v="6"/>
    <n v="14500000415"/>
    <s v="Generators*Main Genset (Port)*Main Generator Engine (Port)*Lube Oil Pressure Pump (LP2)*Lube Oil Pressure Pump (20-645)"/>
    <x v="4"/>
    <s v="Y"/>
    <n v="1"/>
    <s v="Lube Oil Pressure Pump (20-645)"/>
    <s v="Generators*Main Genset (Port)*Main Generator Engine (Port)*Lube Oil Pressure Pump (LP2)*Lube Oil Pressure Pump (20-645)"/>
    <n v="1"/>
    <s v="9330013"/>
    <s v="EMD (MSI)"/>
    <n v="4"/>
  </r>
  <r>
    <s v="0118"/>
    <x v="6"/>
    <n v="14500000426"/>
    <s v="Generators*Main Genset (Port)*Main Generator Engine (Port)*Lube Oil Scavenging Pump (SP2)*Lube Oil Scavenging Pump (20-645)"/>
    <x v="4"/>
    <s v="Y"/>
    <n v="1"/>
    <s v="Lube Oil Scavenging Pump (20-645)"/>
    <s v="Generators*Main Genset (Port)*Main Generator Engine (Port)*Lube Oil Scavenging Pump (SP2)*Lube Oil Scavenging Pump (20-645)"/>
    <n v="1"/>
    <s v="8417074"/>
    <s v="EMD (MSI)"/>
    <n v="4"/>
  </r>
  <r>
    <s v="0118"/>
    <x v="6"/>
    <n v="18000000010"/>
    <s v="Cutter Machinery*Tailshaft*Cutless Bearing*Barrel End Piece, Cutless Bearing"/>
    <x v="66"/>
    <s v="Y"/>
    <n v="1"/>
    <s v="Barrel End Piece, Cutless Bearing"/>
    <s v="Cutter Machinery*Tailshaft*Cutless Bearing*Barrel End Piece, Cutless Bearing"/>
    <n v="1"/>
    <s v="104-02-0201"/>
    <s v="GLDD DRWG."/>
    <n v="1"/>
  </r>
  <r>
    <s v="0118"/>
    <x v="6"/>
    <n v="18000000012"/>
    <s v="Cutter Machinery*Tailshaft*Cutless Bearing*Water Box, Cutless Bearing*Seal, Cutless Bearing Water Box"/>
    <x v="66"/>
    <s v="Y"/>
    <n v="3"/>
    <s v="Seal, Cutless Bearing Water Box"/>
    <s v="Cutter Machinery*Tailshaft*Cutless Bearing*Water Box, Cutless Bearing*Seal, Cutless Bearing Water Box"/>
    <n v="4"/>
    <m/>
    <m/>
    <n v="1"/>
  </r>
  <r>
    <s v="0118"/>
    <x v="6"/>
    <n v="27900000144"/>
    <s v="Pump, Dredge*Shafting*Thrust Shaft*Thrust Bearing (FF Type) (#6)*Shim, Thrust Bearing .040&quot;"/>
    <x v="63"/>
    <s v="Y"/>
    <n v="1"/>
    <s v="Shim, Thrust Bearing .040&quot;"/>
    <s v="Pump, Dredge*Shafting*Thrust Shaft*Thrust Bearing (FF Type) (#6)*Shim, Thrust Bearing .040&quot;"/>
    <n v="3"/>
    <m/>
    <m/>
    <n v="1"/>
  </r>
  <r>
    <s v="0118"/>
    <x v="6"/>
    <n v="27900000145"/>
    <s v="Pump, Dredge*Shafting*Thrust Shaft*Thrust Bearing (FF Type) (#6)*Shim, Thrust Bearing .030&quot;"/>
    <x v="63"/>
    <s v="Y"/>
    <n v="1"/>
    <s v="Shim, Thrust Bearing .030&quot;"/>
    <s v="Pump, Dredge*Shafting*Thrust Shaft*Thrust Bearing (FF Type) (#6)*Shim, Thrust Bearing .030&quot;"/>
    <n v="1"/>
    <m/>
    <m/>
    <n v="1"/>
  </r>
  <r>
    <s v="0118"/>
    <x v="6"/>
    <n v="27900000146"/>
    <s v="Pump, Dredge*Shafting*Thrust Shaft*Thrust Bearing (FF Type) (#6)*Shim, Thrust Bearing, .020&quot;"/>
    <x v="63"/>
    <s v="Y"/>
    <n v="1"/>
    <s v="Shim, Thrust Bearing, .020&quot;"/>
    <s v="Pump, Dredge*Shafting*Thrust Shaft*Thrust Bearing (FF Type) (#6)*Shim, Thrust Bearing, .020&quot;"/>
    <n v="5"/>
    <m/>
    <m/>
    <n v="1"/>
  </r>
  <r>
    <s v="0118"/>
    <x v="6"/>
    <n v="27900000148"/>
    <s v="Pump, Dredge*Shafting*Thrust Shaft*Thrust Bearing (FF Type) (#6)*Shim, Thrust Bearing, .005&quot;"/>
    <x v="63"/>
    <s v="Y"/>
    <n v="3"/>
    <s v="Shim, Thrust Bearing, .005&quot;"/>
    <s v="Pump, Dredge*Shafting*Thrust Shaft*Thrust Bearing (FF Type) (#6)*Shim, Thrust Bearing, .005&quot;"/>
    <n v="3"/>
    <m/>
    <m/>
    <n v="1"/>
  </r>
  <r>
    <s v="0118"/>
    <x v="6"/>
    <n v="27900000763"/>
    <s v="Ladder System*Ladder*Ladder Head Section*Rope Guard, Ladder Head Section"/>
    <x v="68"/>
    <s v="Y"/>
    <n v="1"/>
    <s v="Rope Guard, Ladder Head Section"/>
    <s v="Ladder System*Ladder*Ladder Head Section*Rope Guard, Ladder Head Section"/>
    <n v="0"/>
    <s v="110-02-12688"/>
    <s v="Gldd Dwg "/>
    <n v="1"/>
  </r>
  <r>
    <s v="0118"/>
    <x v="6"/>
    <n v="32400000287"/>
    <s v="Cutter Machinery*Thrust Bearing (Cutter)*Seal, Labyrinth"/>
    <x v="66"/>
    <s v="Y"/>
    <n v="2"/>
    <s v="Seal, Labyrinth"/>
    <s v="Cutter Machinery*Thrust Bearing (Cutter)*Seal, Labyrinth"/>
    <n v="2"/>
    <s v="YSKD-1799-S02"/>
    <s v="SMALLEY"/>
    <n v="1"/>
  </r>
  <r>
    <s v="0118"/>
    <x v="6"/>
    <n v="45000001324"/>
    <s v="Pump, Ladder*Ladder Pump (Universal)*Liner, Engine Side"/>
    <x v="64"/>
    <s v="Y"/>
    <n v="1"/>
    <s v="Liner, Engine Side"/>
    <s v="Pump, Ladder*Ladder Pump (Universal)*Liner, Engine Side"/>
    <n v="0"/>
    <s v="SK-4760"/>
    <s v="MPMW/SPI"/>
    <n v="1"/>
  </r>
  <r>
    <s v="0118"/>
    <x v="6"/>
    <n v="45000003056"/>
    <s v="Ladder System*Ladder Hoist Winch*Disc Brake*Actuator, Spring Applied Pot, Disc Brake"/>
    <x v="68"/>
    <s v="Y"/>
    <n v="1"/>
    <s v="Actuator, Spring Applied Pot, Disc Brake"/>
    <s v="Ladder System*Ladder Hoist Winch*Disc Brake*Actuator, Spring Applied Pot, Disc Brake"/>
    <n v="2"/>
    <s v="6212"/>
    <s v="KOBELT"/>
    <n v="1"/>
  </r>
  <r>
    <s v="0118"/>
    <x v="6"/>
    <n v="45000004464"/>
    <s v="Generators*Service Genset*Service Generator Engine (Cat 3512)*SVC GEN ENGINE*Magnetic Pickup, Overspeed"/>
    <x v="4"/>
    <s v="Y"/>
    <n v="1"/>
    <s v="Magnetic Pickup, Overspeed"/>
    <s v="Generators*Service Genset*Service Generator Engine (Cat 3512)*SVC GEN ENGINE*Magnetic Pickup, Overspeed"/>
    <n v="1"/>
    <s v="5N-9292"/>
    <s v="Caterpillar"/>
    <n v="1"/>
  </r>
  <r>
    <s v="0118"/>
    <x v="6"/>
    <n v="45000010638"/>
    <s v="Potable Water*Potable Water Pump (Port)*Hub, Coupling"/>
    <x v="69"/>
    <s v="Y"/>
    <n v="1"/>
    <s v="Hub, Coupling"/>
    <s v="Potable Water*Potable Water Pump (Port)*Hub, Coupling"/>
    <n v="1"/>
    <s v="6X073"/>
    <s v="Grainger"/>
    <n v="2"/>
  </r>
  <r>
    <s v="0118"/>
    <x v="6"/>
    <n v="45000010639"/>
    <s v="Potable Water*Potable Water Pump (Port)*Spider Insert, Coupling"/>
    <x v="69"/>
    <s v="Y"/>
    <n v="1"/>
    <s v="Spider Insert, Coupling"/>
    <s v="Potable Water*Potable Water Pump (Port)*Spider Insert, Coupling"/>
    <n v="1"/>
    <s v="1A925"/>
    <s v="Grainger"/>
    <n v="2"/>
  </r>
  <r>
    <s v="0118"/>
    <x v="6"/>
    <n v="45000012313"/>
    <s v="Electrical*Transducers &amp; Gauges*Magnetic Pickup, Actuator Control*Cable, Magnetic Pickup"/>
    <x v="61"/>
    <s v="Y"/>
    <n v="1"/>
    <s v="Cable, Magnetic Pickup"/>
    <s v="Electrical*Transducers &amp; Gauges*Magnetic Pickup, Actuator Control*Cable, Magnetic Pickup"/>
    <n v="2"/>
    <s v="Cable 3030"/>
    <s v="SHIMPO"/>
    <n v="1"/>
  </r>
  <r>
    <s v="0118"/>
    <x v="6"/>
    <n v="45000014503"/>
    <s v="Pump, Ladder*Ladder Pump (Universal)*Impeller, 60&quot; 3-Vane"/>
    <x v="64"/>
    <s v="Y"/>
    <n v="1"/>
    <s v="Impeller, 60&quot; 3-Vane"/>
    <s v="Pump, Ladder*Ladder Pump (Universal)*Impeller, 60&quot; 3-Vane"/>
    <n v="0"/>
    <s v="13A-3611"/>
    <s v="SPI/MPMW"/>
    <n v="1"/>
  </r>
  <r>
    <s v="0118"/>
    <x v="6"/>
    <n v="45000015868"/>
    <s v="Pump, Dredge*Shafting*Drive Line (EMD)*Bearing Shell, Upper"/>
    <x v="63"/>
    <s v="Y"/>
    <n v="1"/>
    <s v="Bearing Shell, Upper"/>
    <s v="Pump, Dredge*Shafting*Drive Line (EMD)*Bearing Shell, Upper"/>
    <n v="1"/>
    <s v="3316436"/>
    <s v="EMD"/>
    <n v="1"/>
  </r>
  <r>
    <s v="0118"/>
    <x v="6"/>
    <n v="45000015869"/>
    <s v="Pump, Dredge*Shafting*Drive Line (EMD)*Bearing Shell, Lower"/>
    <x v="63"/>
    <s v="Y"/>
    <n v="1"/>
    <s v="Bearing Shell, Lower"/>
    <s v="Pump, Dredge*Shafting*Drive Line (EMD)*Bearing Shell, Lower"/>
    <n v="1"/>
    <s v="3316437"/>
    <s v="EMD"/>
    <n v="1"/>
  </r>
  <r>
    <s v="0118"/>
    <x v="6"/>
    <n v="45000021609"/>
    <s v="Ladder System*Ladder*Un-Manned Safety Line*Hand Winch, Unmanned Safety Line"/>
    <x v="68"/>
    <s v="Y"/>
    <n v="1"/>
    <s v="Hand Winch, Unmanned Safety Line"/>
    <s v="Ladder System*Ladder*Un-Manned Safety Line*Hand Winch, Unmanned Safety Line"/>
    <n v="0"/>
    <s v="LM6W-SBH"/>
    <s v="WINTECH"/>
    <n v="1"/>
  </r>
  <r>
    <s v="0118"/>
    <x v="6"/>
    <n v="45000021612"/>
    <s v="Ladder System*Ladder*Un-Manned Safety Line*Snatch Block, Unmanned Safety Line"/>
    <x v="68"/>
    <s v="Y"/>
    <n v="1"/>
    <s v="Snatch Block, Unmanned Safety Line"/>
    <s v="Ladder System*Ladder*Un-Manned Safety Line*Snatch Block, Unmanned Safety Line"/>
    <n v="0"/>
    <s v="109091"/>
    <s v="CROSBY"/>
    <n v="1"/>
  </r>
  <r>
    <s v="0118"/>
    <x v="6"/>
    <n v="45000022565"/>
    <s v="Swing*Swing Sheave (Port)*Swing Sheave Assembly, 250K (125T)"/>
    <x v="65"/>
    <s v="Y"/>
    <n v="1"/>
    <s v="Swing Sheave Assembly, 250K (125T)"/>
    <s v="Swing*Swing Sheave (Port)*Swing Sheave Assembly, 250K (125T)"/>
    <n v="1"/>
    <s v="118-02-15187"/>
    <s v="GLDD DWG"/>
    <n v="1"/>
  </r>
  <r>
    <s v="0118"/>
    <x v="6"/>
    <n v="45000024796"/>
    <s v="Compressed Air*Air Compressor Set (Aft)*Motor, 25 HP, Air Compressor Set (Aft)*Motor, Air Compressor, 25 HP"/>
    <x v="79"/>
    <s v="Y"/>
    <n v="1"/>
    <s v="Motor, Air Compressor, 25 HP"/>
    <s v="Compressed Air*Air Compressor Set (Aft)*Motor, 25 HP, Air Compressor Set (Aft)*Motor, Air Compressor, 25 HP"/>
    <n v="1"/>
    <s v="14103T"/>
    <s v="Baldor"/>
    <n v="1"/>
  </r>
  <r>
    <s v="0118"/>
    <x v="6"/>
    <n v="45000024808"/>
    <s v="Gland Seal*Gland Seal Pump Set (#1)*Motor, 100 HP, Gland Seal Pump Set #1*Motor, Gland Seal Pump, 100 HP"/>
    <x v="67"/>
    <s v="Y"/>
    <n v="1"/>
    <s v="Motor, Gland Seal Pump, 100 HP"/>
    <s v="Gland Seal*Gland Seal Pump Set (#1)*Motor, 100 HP, Gland Seal Pump Set #1*Motor, Gland Seal Pump, 100 HP"/>
    <n v="2"/>
    <s v="5KE4055FL115B"/>
    <s v="General Electric"/>
    <n v="1"/>
  </r>
  <r>
    <s v="0118"/>
    <x v="6"/>
    <n v="45000024840"/>
    <s v="Lube Oil Transfer*Lube Oil Transfer Pump Set*Motor, 15 HP, Lube Oil Transfer Pump Set*Motor, 15 HP, Lube Oil Transfer Pump"/>
    <x v="86"/>
    <s v="Y"/>
    <n v="1"/>
    <s v="Motor, 15 HP, Lube Oil Transfer Pump"/>
    <s v="Lube Oil Transfer*Lube Oil Transfer Pump Set*Motor, 15 HP, Lube Oil Transfer Pump Set*Motor, 15 HP, Lube Oil Transfer Pump"/>
    <n v="2"/>
    <s v="M2333T"/>
    <s v="Baldor"/>
    <n v="1"/>
  </r>
  <r>
    <s v="0118"/>
    <x v="6"/>
    <n v="45000024849"/>
    <s v="Generators*Main Genset (Port)*Main Generator Engine (Port)*Prelube/ Soakback Pump Set*Prelube Pump Set"/>
    <x v="4"/>
    <s v="Y"/>
    <n v="1"/>
    <s v="Prelube Pump Set"/>
    <s v="Generators*Main Genset (Port)*Main Generator Engine (Port)*Prelube/ Soakback Pump Set*Prelube Pump Set"/>
    <n v="1"/>
    <s v="G4195"/>
    <s v="VIKING PUMP"/>
    <n v="2"/>
  </r>
  <r>
    <s v="0118"/>
    <x v="6"/>
    <n v="45000024869"/>
    <s v="Swing*Swing Winch (Port)*Disc Brake*Disc Brake, Swing Winch"/>
    <x v="65"/>
    <s v="Y"/>
    <n v="1"/>
    <s v="Disc Brake, Swing Winch"/>
    <s v="Swing*Swing Winch (Port)*Disc Brake*Disc Brake, Swing Winch"/>
    <n v="1"/>
    <s v="118-06-21121"/>
    <s v="Gldd Dwg "/>
    <n v="2"/>
  </r>
  <r>
    <s v="0118"/>
    <x v="6"/>
    <n v="45000025182"/>
    <s v="Pump, Dredge*Dredge Pump*Impeller, 94&quot; X 89&quot; (4-Vane) (Diverter)"/>
    <x v="63"/>
    <s v="Y"/>
    <n v="1"/>
    <s v="Impeller, 94&quot; X 89&quot; (4-Vane) (Diverter)"/>
    <s v="Pump, Dredge*Dredge Pump*Impeller, 94&quot; X 89&quot; (4-Vane) (Diverter)"/>
    <n v="1"/>
    <s v="A-5756"/>
    <s v="SPI/MPMW"/>
    <n v="1"/>
  </r>
  <r>
    <s v="0118"/>
    <x v="6"/>
    <n v="45000025214"/>
    <s v="Raw Water*Cat Seawater Pump Set (Stbd)*Motor, 15 HP, Seawater Pump Set (Stbd)*Motor, Seawater Pump, 15 HP"/>
    <x v="71"/>
    <s v="Y"/>
    <n v="1"/>
    <s v="Motor, Seawater Pump, 15 HP"/>
    <s v="Raw Water*Cat Seawater Pump Set (Stbd)*Motor, 15 HP, Seawater Pump Set (Stbd)*Motor, Seawater Pump, 15 HP"/>
    <n v="2"/>
    <s v="MT513T"/>
    <s v="Baldor"/>
    <n v="2"/>
  </r>
  <r>
    <s v="0118"/>
    <x v="6"/>
    <n v="45000025388"/>
    <s v="Pump, Dredge*Dredge Pump*Liner, Suction Side (Diverter)"/>
    <x v="63"/>
    <s v="Y"/>
    <n v="1"/>
    <s v="Liner, Suction Side (Diverter)"/>
    <s v="Pump, Dredge*Dredge Pump*Liner, Suction Side (Diverter)"/>
    <n v="1"/>
    <s v="1A-5757"/>
    <s v="SPI/MPMW"/>
    <n v="1"/>
  </r>
  <r>
    <s v="0118"/>
    <x v="6"/>
    <n v="45000025400"/>
    <s v="Electrical*RTD's &amp; Thermocouples*Module, 6 RTD Input"/>
    <x v="61"/>
    <s v="Y"/>
    <n v="1"/>
    <s v="Module, 6 RTD Input"/>
    <s v="Electrical*RTD's &amp; Thermocouples*Module, 6 RTD Input"/>
    <n v="1"/>
    <s v="MMTCP6RTD"/>
    <s v="Procon Electronics Inc."/>
    <n v="1"/>
  </r>
  <r>
    <s v="0118"/>
    <x v="6"/>
    <n v="45000026518"/>
    <s v="Generators*Main Genset (Stbd)*Main Generator Engine (Stbd)*UG Actuator*Plug, Actuator, 3-Contact"/>
    <x v="4"/>
    <s v="Y"/>
    <n v="1"/>
    <s v="Plug, Actuator, 3-Contact"/>
    <s v="Generators*Main Genset (Stbd)*Main Generator Engine (Stbd)*UG Actuator*Plug, Actuator, 3-Contact"/>
    <n v="2"/>
    <s v="203911"/>
    <s v="EMD (MSI)"/>
    <n v="4"/>
  </r>
  <r>
    <s v="0118"/>
    <x v="6"/>
    <n v="45000027091"/>
    <s v="Ladder System*Ladder Hoist Winch*Disc Brake*Brake Shoe,Ladder Hoist Disc Brake"/>
    <x v="68"/>
    <s v="Y"/>
    <n v="2"/>
    <s v="Brake Shoe,Ladder Hoist Disc Brake"/>
    <s v="Ladder System*Ladder Hoist Winch*Disc Brake*Brake Shoe,Ladder Hoist Disc Brake"/>
    <n v="4"/>
    <s v="5021-0005"/>
    <s v="KOBELT"/>
    <n v="1"/>
  </r>
  <r>
    <s v="0118"/>
    <x v="6"/>
    <n v="45000027098"/>
    <s v="Ladder System*Ladder Hoist Winch*Disc Brake*Brake Shoe Pin, Ladder Hoist Disc Brake"/>
    <x v="68"/>
    <s v="Y"/>
    <n v="2"/>
    <s v="Brake Shoe Pin, Ladder Hoist Disc Brake"/>
    <s v="Ladder System*Ladder Hoist Winch*Disc Brake*Brake Shoe Pin, Ladder Hoist Disc Brake"/>
    <n v="2"/>
    <s v="5021-0021"/>
    <s v="KOBELT"/>
    <n v="1"/>
  </r>
  <r>
    <s v="0118"/>
    <x v="6"/>
    <n v="45000027392"/>
    <s v="Ladder System*Ladder Hoist Winch*Ladder Hoist Motor*Holder, Brush, Normal - GE752"/>
    <x v="68"/>
    <s v="Y"/>
    <n v="1"/>
    <s v="Holder, Brush, Normal - GE752"/>
    <s v="Ladder System*Ladder Hoist Winch*Ladder Hoist Motor*Holder, Brush, Normal - GE752"/>
    <n v="2"/>
    <s v="255500"/>
    <s v="GULF ELECTROQUIP INC."/>
    <n v="3"/>
  </r>
  <r>
    <s v="0118"/>
    <x v="6"/>
    <n v="45000027880"/>
    <s v="Swing*Swing Winch (Port)*Encoder, Speed Transducer, Swing Winch"/>
    <x v="65"/>
    <s v="Y"/>
    <n v="1"/>
    <s v="Encoder, Speed Transducer, Swing Winch"/>
    <s v="Swing*Swing Winch (Port)*Encoder, Speed Transducer, Swing Winch"/>
    <n v="1"/>
    <s v="HS35M-SX-8-G-P-U-0-G-A-00"/>
    <s v="AVTRON"/>
    <n v="2"/>
  </r>
  <r>
    <s v="0118"/>
    <x v="6"/>
    <n v="45000029845"/>
    <s v="HVAC*A/C Unit, Avtron Room (Port)*Blower Motor, 1/2 HP, Avtron AC Unit"/>
    <x v="38"/>
    <s v="Y"/>
    <n v="1"/>
    <s v="Blower Motor, 1/2 HP, Avtron AC Unit"/>
    <s v="HVAC*A/C Unit, Avtron Room (Port)*Blower Motor, 1/2 HP, Avtron AC Unit"/>
    <n v="1"/>
    <s v="7126-2448"/>
    <s v="FASCO"/>
    <n v="2"/>
  </r>
  <r>
    <s v="0118"/>
    <x v="6"/>
    <n v="45000029846"/>
    <s v="HVAC*A/C (#1) - Lever Room (Main)*Capacitor, Lever Room AC Unit"/>
    <x v="38"/>
    <s v="Y"/>
    <n v="1"/>
    <s v="Capacitor, Lever Room AC Unit"/>
    <s v="HVAC*A/C (#1) - Lever Room (Main)*Capacitor, Lever Room AC Unit"/>
    <n v="4"/>
    <s v="2MDY7"/>
    <s v="Grainger"/>
    <n v="5"/>
  </r>
  <r>
    <s v="0118"/>
    <x v="6"/>
    <n v="45000030475"/>
    <s v="Ladder System*Ladder Hoist Winch*Ladder Hoist Gearbox*Coupling (Falk 1130T10)*Seal &amp; Gasket Kit, Falk 1130T10 Coupling"/>
    <x v="68"/>
    <s v="Y"/>
    <n v="1"/>
    <s v="Seal &amp; Gasket Kit, Falk 1130T10 Coupling"/>
    <s v="Ladder System*Ladder Hoist Winch*Ladder Hoist Gearbox*Coupling (Falk 1130T10)*Seal &amp; Gasket Kit, Falk 1130T10 Coupling"/>
    <n v="2"/>
    <s v="0707192"/>
    <s v="Falk"/>
    <n v="1"/>
  </r>
  <r>
    <s v="0118"/>
    <x v="6"/>
    <n v="45000030476"/>
    <s v="Ladder System*Ladder Hoist Winch*Ladder Hoist Gearbox*Coupling (Falk 1130T10)*Grid, Falk 1130T10 Coupling"/>
    <x v="68"/>
    <s v="Y"/>
    <n v="1"/>
    <s v="Grid, Falk 1130T10 Coupling"/>
    <s v="Ladder System*Ladder Hoist Winch*Ladder Hoist Gearbox*Coupling (Falk 1130T10)*Grid, Falk 1130T10 Coupling"/>
    <n v="2"/>
    <s v="0758256"/>
    <s v="Falk"/>
    <n v="1"/>
  </r>
  <r>
    <s v="0118"/>
    <x v="6"/>
    <n v="45000030477"/>
    <s v="Ladder System*Ladder Hoist Winch*Ladder Hoist Gearbox*Coupling (Falk 1130T10)*Cover, Falk 1130T10 Coupling"/>
    <x v="68"/>
    <s v="Y"/>
    <n v="1"/>
    <s v="Cover, Falk 1130T10 Coupling"/>
    <s v="Ladder System*Ladder Hoist Winch*Ladder Hoist Gearbox*Coupling (Falk 1130T10)*Cover, Falk 1130T10 Coupling"/>
    <n v="1"/>
    <s v="0776219"/>
    <s v="Falk"/>
    <n v="1"/>
  </r>
  <r>
    <s v="0118"/>
    <x v="6"/>
    <n v="45000030478"/>
    <s v="Ladder System*Ladder Hoist Winch*Ladder Hoist Gearbox*Coupling (Falk 1130T10)*Hub, Falk 1130T10 Coupling"/>
    <x v="68"/>
    <s v="Y"/>
    <n v="1"/>
    <s v="Hub, Falk 1130T10 Coupling"/>
    <s v="Ladder System*Ladder Hoist Winch*Ladder Hoist Gearbox*Coupling (Falk 1130T10)*Hub, Falk 1130T10 Coupling"/>
    <n v="1"/>
    <m/>
    <m/>
    <n v="1"/>
  </r>
  <r>
    <s v="0118"/>
    <x v="6"/>
    <n v="45000032777"/>
    <s v="Piping (Dredge)*D) Piping (Main Pump to Stern)*D03) Bone Crusher Hose (742 MM)*Hose, Bone Crusher (742 MM)"/>
    <x v="80"/>
    <s v="Y"/>
    <n v="1"/>
    <s v="Hose, Bone Crusher (742 MM)"/>
    <s v="Piping (Dredge)*D) Piping (Main Pump to Stern)*D03) Bone Crusher Hose (742 MM)*Hose, Bone Crusher (742 MM)"/>
    <n v="1"/>
    <m/>
    <m/>
    <n v="1"/>
  </r>
  <r>
    <s v="0118"/>
    <x v="6"/>
    <n v="45000032780"/>
    <s v="Piping (Dredge)*D) Piping (Main Pump to Stern)*D08) Max-Top Pipe*D08) Max Top Pipe, 907 mm"/>
    <x v="80"/>
    <s v="Y"/>
    <n v="1"/>
    <s v="D08) Max Top Pipe, 907 mm"/>
    <s v="Piping (Dredge)*D) Piping (Main Pump to Stern)*D08) Max-Top Pipe*D08) Max Top Pipe, 907 mm"/>
    <n v="1"/>
    <s v="118-05-29483"/>
    <s v="Gldd Dwg "/>
    <n v="1"/>
  </r>
  <r>
    <s v="0118"/>
    <x v="6"/>
    <n v="45000034474"/>
    <s v="HVAC*A/C Unit, Avtron Room (Port)*Fan Motor, 1/3 HP, Avtron AC Unit"/>
    <x v="38"/>
    <s v="Y"/>
    <n v="1"/>
    <s v="Fan Motor, 1/3 HP, Avtron AC Unit"/>
    <s v="HVAC*A/C Unit, Avtron Room (Port)*Fan Motor, 1/3 HP, Avtron AC Unit"/>
    <n v="2"/>
    <s v="2PRD2"/>
    <s v="Grainger"/>
    <n v="2"/>
  </r>
  <r>
    <s v="0118"/>
    <x v="6"/>
    <n v="45000034475"/>
    <s v="HVAC*A/C Unit, Avtron Room (Port)*Capacitor, Avtron AC Unit"/>
    <x v="38"/>
    <s v="Y"/>
    <n v="1"/>
    <s v="Capacitor, Avtron AC Unit"/>
    <s v="HVAC*A/C Unit, Avtron Room (Port)*Capacitor, Avtron AC Unit"/>
    <n v="1"/>
    <s v="2MDV6"/>
    <s v="Grainger"/>
    <n v="2"/>
  </r>
  <r>
    <s v="0118"/>
    <x v="6"/>
    <n v="45000034731"/>
    <s v="Swing*Swing Winch (Port)*Disc Brake*Acuator Pin, Disc Brake, Swing Winch"/>
    <x v="65"/>
    <s v="Y"/>
    <n v="1"/>
    <s v="Acuator Pin, Disc Brake, Swing Winch"/>
    <s v="Swing*Swing Winch (Port)*Disc Brake*Acuator Pin, Disc Brake, Swing Winch"/>
    <n v="1"/>
    <s v="BPA1809B"/>
    <s v="JOHNSON INDUSTRIES"/>
    <n v="2"/>
  </r>
  <r>
    <s v="0118"/>
    <x v="6"/>
    <n v="45000035009"/>
    <s v="Pump, Dredge*Dredge Pump Engine Port (EMD 645)*Cylinder Power Assembly Parts*Thermocouple, (Cylinder)"/>
    <x v="63"/>
    <s v="Y"/>
    <n v="5"/>
    <s v="Thermocouple, (Cylinder)"/>
    <s v="Pump, Dredge*Dredge Pump Engine Port (EMD 645)*Cylinder Power Assembly Parts*Thermocouple, (Cylinder)"/>
    <n v="7"/>
    <s v="1-09575235"/>
    <s v="EMD (MSI)"/>
    <n v="4"/>
  </r>
  <r>
    <s v="0118"/>
    <x v="6"/>
    <n v="46700000054"/>
    <s v="Pump, Ladder*Ladder Pump (Universal)*Liner, Suction Side (Moballoy)"/>
    <x v="64"/>
    <s v="Y"/>
    <n v="1"/>
    <s v="Liner, Suction Side (Moballoy)"/>
    <s v="Pump, Ladder*Ladder Pump (Universal)*Liner, Suction Side (Moballoy)"/>
    <n v="0"/>
    <s v="A-3604"/>
    <s v="SPI/MPMW"/>
    <n v="1"/>
  </r>
  <r>
    <s v="0118"/>
    <x v="6"/>
    <n v="60400000603"/>
    <s v="Electrical*PLC, Allen Bradley*CL Modbus Comm Module"/>
    <x v="61"/>
    <s v="Y"/>
    <n v="1"/>
    <s v="CL Modbus Comm Module"/>
    <s v="Electrical*PLC, Allen Bradley*CL Modbus Comm Module"/>
    <n v="1"/>
    <s v="MVI56E-MNETR TCP/IP"/>
    <s v="ENGLEWOOD ELECTRICAL SUPPLY"/>
    <n v="1"/>
  </r>
  <r>
    <s v="0118"/>
    <x v="6"/>
    <n v="60400000792"/>
    <s v="Cutter Machinery*Drive, SCR (Cutter) (Port)*AVTRON ADVANTAGE 32 SYS*CONTROL BOARD ASSEMBLY*ADDvantage-32 Plus Control Board*Module, Ethernet Communication"/>
    <x v="66"/>
    <s v="Y"/>
    <n v="2"/>
    <s v="Module, Ethernet Communication"/>
    <s v="Cutter Machinery*Drive, SCR (Cutter) (Port)*AVTRON ADVANTAGE 32 SYS*CONTROL BOARD ASSEMBLY*ADDvantage-32 Plus Control Board*Module, Ethernet Communication"/>
    <n v="3"/>
    <s v="A26494"/>
    <s v="AVTRON"/>
    <n v="2"/>
  </r>
  <r>
    <s v="0118"/>
    <x v="6"/>
    <n v="60400001124"/>
    <s v="Ladder System*Ladder*Scissor Arm Tray*Water Hose, 4&quot; x 76-1/2&quot; (Lower Aft)"/>
    <x v="68"/>
    <s v="Y"/>
    <n v="1"/>
    <s v="Water Hose, 4&quot; x 76-1/2&quot; (Lower Aft)"/>
    <s v="Ladder System*Ladder*Scissor Arm Tray*Water Hose, 4&quot; x 76-1/2&quot; (Lower Aft)"/>
    <n v="4"/>
    <m/>
    <m/>
    <n v="1"/>
  </r>
  <r>
    <s v="0118"/>
    <x v="6"/>
    <n v="60400001125"/>
    <s v="Ladder System*Ladder*Scissor Arm Tray*Water Hose, 4&quot; x 86-13/16&quot; (Upper Fwd)"/>
    <x v="68"/>
    <s v="Y"/>
    <n v="1"/>
    <s v="Water Hose, 4&quot; x 86-13/16&quot; (Upper Fwd)"/>
    <s v="Ladder System*Ladder*Scissor Arm Tray*Water Hose, 4&quot; x 86-13/16&quot; (Upper Fwd)"/>
    <n v="1"/>
    <m/>
    <m/>
    <n v="1"/>
  </r>
  <r>
    <s v="0118"/>
    <x v="6"/>
    <n v="60400001126"/>
    <s v="Ladder System*Ladder*Scissor Arm Tray*Hydraulic Hose, 1&quot; (Aft)"/>
    <x v="68"/>
    <s v="Y"/>
    <n v="1"/>
    <s v="Hydraulic Hose, 1&quot; (Aft)"/>
    <s v="Ladder System*Ladder*Scissor Arm Tray*Hydraulic Hose, 1&quot; (Aft)"/>
    <n v="5"/>
    <s v="F881**0606 16 16 16-76.25&quot; LG."/>
    <s v="Parker"/>
    <n v="1"/>
  </r>
  <r>
    <s v="0118"/>
    <x v="6"/>
    <n v="60400001127"/>
    <s v="Ladder System*Ladder*Scissor Arm Tray*Hydraulic Hose, 1&quot; (Upper)"/>
    <x v="68"/>
    <s v="Y"/>
    <n v="1"/>
    <s v="Hydraulic Hose, 1&quot; (Upper)"/>
    <s v="Ladder System*Ladder*Scissor Arm Tray*Hydraulic Hose, 1&quot; (Upper)"/>
    <n v="4"/>
    <s v="F881**0606 16 16 16-65.25&quot; LG."/>
    <s v="Parker"/>
    <n v="1"/>
  </r>
  <r>
    <s v="0118"/>
    <x v="6"/>
    <n v="60400001128"/>
    <s v="Ladder System*Ladder*Scissor Arm Tray*Hydraulic Hose, 1&quot; (Fwd)"/>
    <x v="68"/>
    <s v="Y"/>
    <n v="1"/>
    <s v="Hydraulic Hose, 1&quot; (Fwd)"/>
    <s v="Ladder System*Ladder*Scissor Arm Tray*Hydraulic Hose, 1&quot; (Fwd)"/>
    <n v="1"/>
    <s v="F881***0606 16 16 16-78.38&quot; LG"/>
    <s v="Parker"/>
    <n v="1"/>
  </r>
  <r>
    <s v="0118"/>
    <x v="6"/>
    <n v="60400001129"/>
    <s v="Ladder System*Ladder*Scissor Arm Tray*Hydraulic Hose, 1-1/4&quot; (Aft)"/>
    <x v="68"/>
    <s v="Y"/>
    <n v="1"/>
    <s v="Hydraulic Hose, 1-1/4&quot; (Aft)"/>
    <s v="Ladder System*Ladder*Scissor Arm Tray*Hydraulic Hose, 1-1/4&quot; (Aft)"/>
    <n v="2"/>
    <s v="F881**0606 20 20 20-76.25&quot; LG"/>
    <s v="Parker"/>
    <n v="1"/>
  </r>
  <r>
    <s v="0118"/>
    <x v="6"/>
    <n v="60400001130"/>
    <s v="Ladder System*Ladder*Scissor Arm Tray*Hydraulic Hose, 1-1/4&quot; (Upper)"/>
    <x v="68"/>
    <s v="Y"/>
    <n v="1"/>
    <s v="Hydraulic Hose, 1-1/4&quot; (Upper)"/>
    <s v="Ladder System*Ladder*Scissor Arm Tray*Hydraulic Hose, 1-1/4&quot; (Upper)"/>
    <n v="3"/>
    <s v="F881**0606 20 20 20-65.25&quot; LG."/>
    <s v="Parker"/>
    <n v="1"/>
  </r>
  <r>
    <s v="0118"/>
    <x v="6"/>
    <n v="60400001131"/>
    <s v="Ladder System*Ladder*Scissor Arm Tray*Hydraulic Hose, 1-1/4&quot; (Fwd)"/>
    <x v="68"/>
    <s v="Y"/>
    <n v="1"/>
    <s v="Hydraulic Hose, 1-1/4&quot; (Fwd)"/>
    <s v="Ladder System*Ladder*Scissor Arm Tray*Hydraulic Hose, 1-1/4&quot; (Fwd)"/>
    <n v="1"/>
    <s v="F881**0606 20 20 20-78.38&quot; LG."/>
    <s v="Parker"/>
    <n v="1"/>
  </r>
  <r>
    <s v="0118"/>
    <x v="6"/>
    <n v="60400001132"/>
    <s v="Ladder System*Ladder*Scissor Arm Tray*Hydraulic Hose, 1-1/2&quot; (Aft)"/>
    <x v="68"/>
    <s v="Y"/>
    <n v="1"/>
    <s v="Hydraulic Hose, 1-1/2&quot; (Aft)"/>
    <s v="Ladder System*Ladder*Scissor Arm Tray*Hydraulic Hose, 1-1/2&quot; (Aft)"/>
    <n v="6"/>
    <s v="F881**0606 24 24 24-76.25&quot; LG"/>
    <s v="Parker"/>
    <n v="1"/>
  </r>
  <r>
    <s v="0118"/>
    <x v="6"/>
    <n v="60400001133"/>
    <s v="Ladder System*Ladder*Scissor Arm Tray*Hydraulic Hose, 1-1/2&quot; (Upper)"/>
    <x v="68"/>
    <s v="Y"/>
    <n v="1"/>
    <s v="Hydraulic Hose, 1-1/2&quot; (Upper)"/>
    <s v="Ladder System*Ladder*Scissor Arm Tray*Hydraulic Hose, 1-1/2&quot; (Upper)"/>
    <n v="1"/>
    <s v="F881**0606 24 24 24-65.25&quot; LG."/>
    <s v="Parker"/>
    <n v="1"/>
  </r>
  <r>
    <s v="0118"/>
    <x v="6"/>
    <n v="60400001134"/>
    <s v="Ladder System*Ladder*Scissor Arm Tray*Hydraulic Hose, 1-1/2&quot; (Fwd)"/>
    <x v="68"/>
    <s v="Y"/>
    <n v="1"/>
    <s v="Hydraulic Hose, 1-1/2&quot; (Fwd)"/>
    <s v="Ladder System*Ladder*Scissor Arm Tray*Hydraulic Hose, 1-1/2&quot; (Fwd)"/>
    <n v="2"/>
    <s v="F881**0606 24 24 24-78.38&quot; LG"/>
    <s v="Parker"/>
    <n v="1"/>
  </r>
  <r>
    <s v="0118"/>
    <x v="6"/>
    <n v="60400001135"/>
    <s v="Ladder System*Ladder*Scissor Arm Tray*Hydraulic Hose, 2&quot; (Aft)"/>
    <x v="68"/>
    <s v="Y"/>
    <n v="1"/>
    <s v="Hydraulic Hose, 2&quot; (Aft)"/>
    <s v="Ladder System*Ladder*Scissor Arm Tray*Hydraulic Hose, 2&quot; (Aft)"/>
    <n v="5"/>
    <s v="F881**0606 32 32 32-76.25&quot; LG"/>
    <s v="Parker"/>
    <n v="1"/>
  </r>
  <r>
    <s v="0118"/>
    <x v="6"/>
    <n v="60400001136"/>
    <s v="Ladder System*Ladder*Scissor Arm Tray*Hydraulic Hose, 2&quot; (Upper)"/>
    <x v="68"/>
    <s v="Y"/>
    <n v="1"/>
    <s v="Hydraulic Hose, 2&quot; (Upper)"/>
    <s v="Ladder System*Ladder*Scissor Arm Tray*Hydraulic Hose, 2&quot; (Upper)"/>
    <n v="1"/>
    <s v="F881**0606 32 32 32-65.25&quot; LG"/>
    <s v="Parker"/>
    <n v="1"/>
  </r>
  <r>
    <s v="0118"/>
    <x v="6"/>
    <n v="60400001137"/>
    <s v="Ladder System*Ladder*Scissor Arm Tray*Hydraulic Hose, 2&quot; (Fwd)"/>
    <x v="68"/>
    <s v="Y"/>
    <n v="1"/>
    <s v="Hydraulic Hose, 2&quot; (Fwd)"/>
    <s v="Ladder System*Ladder*Scissor Arm Tray*Hydraulic Hose, 2&quot; (Fwd)"/>
    <n v="3"/>
    <s v="F881**0606 32 32 32-78.38&quot; LG."/>
    <s v="Parker"/>
    <n v="1"/>
  </r>
  <r>
    <s v="0118"/>
    <x v="6"/>
    <n v="60400001309"/>
    <s v="Cutter Machinery*Canister, Cutter Motors*Canister, Cutter Motor*Gasket, Cannister Cover"/>
    <x v="66"/>
    <s v="Y"/>
    <n v="2"/>
    <s v="Gasket, Cannister Cover"/>
    <s v="Cutter Machinery*Canister, Cutter Motors*Canister, Cutter Motor*Gasket, Cannister Cover"/>
    <n v="7"/>
    <s v="118-02-2506"/>
    <s v="Gldd Dwg "/>
    <n v="1"/>
  </r>
  <r>
    <s v="0118"/>
    <x v="6"/>
    <n v="60400001310"/>
    <s v="Cutter Machinery*Canister, Cutter Motors*Canister, Cutter Motor*Gasket, Mounting Flange"/>
    <x v="66"/>
    <s v="Y"/>
    <n v="2"/>
    <s v="Gasket, Mounting Flange"/>
    <s v="Cutter Machinery*Canister, Cutter Motors*Canister, Cutter Motor*Gasket, Mounting Flange"/>
    <n v="8"/>
    <s v="118-02-2506"/>
    <s v="Gldd Dwg "/>
    <n v="1"/>
  </r>
  <r>
    <s v="0118"/>
    <x v="6"/>
    <n v="60400001880"/>
    <s v="Pump, Dredge*Dredge Pump*Hardware*Gasket Kit, Pump Assembly"/>
    <x v="63"/>
    <s v="Y"/>
    <n v="1"/>
    <s v="Gasket Kit, Pump Assembly"/>
    <s v="Pump, Dredge*Dredge Pump*Hardware*Gasket Kit, Pump Assembly"/>
    <n v="2"/>
    <m/>
    <m/>
    <n v="1"/>
  </r>
  <r>
    <s v="0118"/>
    <x v="6"/>
    <n v="60400002072"/>
    <s v="Electrical*PLC, Allen Bradley*CL 1756-L71, Processor"/>
    <x v="61"/>
    <s v="Y"/>
    <n v="1"/>
    <s v="CL 1756-L71, Processor"/>
    <s v="Electrical*PLC, Allen Bradley*CL 1756-L71, Processor"/>
    <n v="1"/>
    <s v="1756-L71"/>
    <s v="Allen-Bradley"/>
    <n v="1"/>
  </r>
  <r>
    <s v="0118"/>
    <x v="6"/>
    <n v="60400002074"/>
    <s v="Electrical*PLC, Allen Bradley*CL 1756-EN2T, Communications Module"/>
    <x v="61"/>
    <s v="Y"/>
    <n v="1"/>
    <s v="CL 1756-EN2T, Communications Module"/>
    <s v="Electrical*PLC, Allen Bradley*CL 1756-EN2T, Communications Module"/>
    <n v="2"/>
    <s v="1756-EN2T"/>
    <s v="Allen-Bradley"/>
    <n v="1"/>
  </r>
  <r>
    <s v="0118"/>
    <x v="6"/>
    <n v="60400002075"/>
    <s v="Electrical*PLC, Allen Bradley*CL 1756-PB75, Power Supply"/>
    <x v="61"/>
    <s v="Y"/>
    <n v="1"/>
    <s v="CL 1756-PB75, Power Supply"/>
    <s v="Electrical*PLC, Allen Bradley*CL 1756-PB75, Power Supply"/>
    <n v="2"/>
    <s v="1756-PB75"/>
    <s v="Allen-Bradley"/>
    <n v="1"/>
  </r>
  <r>
    <s v="0118"/>
    <x v="6"/>
    <n v="60400002076"/>
    <s v="Electrical*PLC, Allen Bradley*CL 1756- IF16, Input Module, Analog"/>
    <x v="61"/>
    <s v="Y"/>
    <n v="1"/>
    <s v="CL 1756- IF16, Input Module, Analog"/>
    <s v="Electrical*PLC, Allen Bradley*CL 1756- IF16, Input Module, Analog"/>
    <n v="1"/>
    <s v="1756-IF16"/>
    <s v="Allen-Bradley"/>
    <n v="1"/>
  </r>
  <r>
    <s v="0118"/>
    <x v="6"/>
    <n v="60400002077"/>
    <s v="Electrical*PLC, Allen Bradley*CL 1756-OF6CI, Output Module, Analog"/>
    <x v="61"/>
    <s v="Y"/>
    <n v="1"/>
    <s v="CL 1756-OF6CI, Output Module, Analog"/>
    <s v="Electrical*PLC, Allen Bradley*CL 1756-OF6CI, Output Module, Analog"/>
    <n v="2"/>
    <s v="1756-OF6CI"/>
    <s v="Allen-Bradley"/>
    <n v="1"/>
  </r>
  <r>
    <s v="0118"/>
    <x v="6"/>
    <n v="60400002078"/>
    <s v="Electrical*PLC, Allen Bradley*CL 1756-IA16, Input Module, Digital"/>
    <x v="61"/>
    <s v="Y"/>
    <n v="1"/>
    <s v="CL 1756-IA16, Input Module, Digital"/>
    <s v="Electrical*PLC, Allen Bradley*CL 1756-IA16, Input Module, Digital"/>
    <n v="2"/>
    <s v="1756-IA16"/>
    <s v="Allen-Bradley"/>
    <n v="1"/>
  </r>
  <r>
    <s v="0118"/>
    <x v="6"/>
    <n v="60400002079"/>
    <s v="Electrical*PLC, Allen Bradley*CL 1756-OA16, Output Module, Digital"/>
    <x v="61"/>
    <s v="Y"/>
    <n v="1"/>
    <s v="CL 1756-OA16, Output Module, Digital"/>
    <s v="Electrical*PLC, Allen Bradley*CL 1756-OA16, Output Module, Digital"/>
    <n v="2"/>
    <s v="1756-OA16"/>
    <s v="Allen-Bradley"/>
    <n v="1"/>
  </r>
  <r>
    <s v="0118"/>
    <x v="6"/>
    <n v="60400002080"/>
    <s v="Electrical*PLC, Allen Bradley*CL 1756-IB16I, Input Module, Isolated"/>
    <x v="61"/>
    <s v="Y"/>
    <n v="1"/>
    <s v="CL 1756-IB16I, Input Module, Isolated"/>
    <s v="Electrical*PLC, Allen Bradley*CL 1756-IB16I, Input Module, Isolated"/>
    <n v="4"/>
    <s v="1756-IB16I"/>
    <s v="Allen-Bradley"/>
    <n v="1"/>
  </r>
  <r>
    <s v="0118"/>
    <x v="6"/>
    <n v="60400002081"/>
    <s v="Electrical*PLC, Allen Bradley*CL 1794-IT8, FLex I/O Thermocouple Mod."/>
    <x v="61"/>
    <s v="Y"/>
    <n v="1"/>
    <s v="CL 1794-IT8, FLex I/O Thermocouple Mod."/>
    <s v="Electrical*PLC, Allen Bradley*CL 1794-IT8, FLex I/O Thermocouple Mod."/>
    <n v="2"/>
    <s v="1794-IT8"/>
    <s v="Allen-Bradley"/>
    <n v="1"/>
  </r>
  <r>
    <s v="0118"/>
    <x v="6"/>
    <n v="60400002082"/>
    <s v="Electrical*PLC, Allen Bradley*CL 1794-IE8, Flex I/O Input Module"/>
    <x v="61"/>
    <s v="Y"/>
    <n v="1"/>
    <s v="CL 1794-IE8, Flex I/O Input Module"/>
    <s v="Electrical*PLC, Allen Bradley*CL 1794-IE8, Flex I/O Input Module"/>
    <n v="5"/>
    <s v="1794-IE8"/>
    <s v="Allen-Bradley"/>
    <n v="1"/>
  </r>
  <r>
    <s v="0118"/>
    <x v="6"/>
    <n v="60400002083"/>
    <s v="Electrical*PLC, Allen Bradley*CL 1794-IB32, Flex I/O, Input Module"/>
    <x v="61"/>
    <s v="Y"/>
    <n v="1"/>
    <s v="CL 1794-IB32, Flex I/O, Input Module"/>
    <s v="Electrical*PLC, Allen Bradley*CL 1794-IB32, Flex I/O, Input Module"/>
    <n v="1"/>
    <s v="1794-IB32"/>
    <s v="Allen-Bradley"/>
    <n v="1"/>
  </r>
  <r>
    <s v="0118"/>
    <x v="6"/>
    <n v="60400002084"/>
    <s v="Electrical*PLC, Allen Bradley*CL 1794-IB16XOB16P, Flex I/O Input/ Out"/>
    <x v="61"/>
    <s v="Y"/>
    <n v="1"/>
    <s v="CL 1794-IB16XOB16P, Flex I/O Input/ Out"/>
    <s v="Electrical*PLC, Allen Bradley*CL 1794-IB16XOB16P, Flex I/O Input/ Out"/>
    <n v="2"/>
    <s v="1794-IB16XOB16P"/>
    <s v="Allen-Bradley"/>
    <n v="1"/>
  </r>
  <r>
    <s v="0118"/>
    <x v="6"/>
    <n v="60400002085"/>
    <s v="Electrical*PLC, Allen Bradley*CL 1794-OA16, FLex I/O, Output Module"/>
    <x v="61"/>
    <s v="Y"/>
    <n v="1"/>
    <s v="CL 1794-OA16, FLex I/O, Output Module"/>
    <s v="Electrical*PLC, Allen Bradley*CL 1794-OA16, FLex I/O, Output Module"/>
    <n v="2"/>
    <s v="1794-OA16"/>
    <s v="Allen-Bradley"/>
    <n v="1"/>
  </r>
  <r>
    <s v="0118"/>
    <x v="6"/>
    <n v="60400002499"/>
    <s v="Pump, Ladder*Ladder Pump Gearbox*Coupling (Falk 1045GV20)*Fastner Set, L/P Gearbox Coupling"/>
    <x v="64"/>
    <s v="Y"/>
    <n v="1"/>
    <s v="Fastner Set, L/P Gearbox Coupling"/>
    <s v="Pump, Ladder*Ladder Pump Gearbox*Coupling (Falk 1045GV20)*Fastner Set, L/P Gearbox Coupling"/>
    <n v="2"/>
    <s v="10011030"/>
    <s v="Rexnord"/>
    <n v="1"/>
  </r>
  <r>
    <s v="0118"/>
    <x v="6"/>
    <n v="60400003692"/>
    <s v="Piping (Dredge)*C) Piping (Hull to Main Pump)*C03) Cleanout, Main Pump*Cleanout, Main Pump (Spinning Flange)"/>
    <x v="80"/>
    <s v="Y"/>
    <n v="1"/>
    <s v="Cleanout, Main Pump (Spinning Flange)"/>
    <s v="Piping (Dredge)*C) Piping (Hull to Main Pump)*C03) Cleanout, Main Pump*Cleanout, Main Pump (Spinning Flange)"/>
    <n v="1"/>
    <s v="1A-5956"/>
    <s v="SPI/MPMW"/>
    <n v="1"/>
  </r>
  <r>
    <s v="0118"/>
    <x v="6"/>
    <n v="60400003734"/>
    <s v="Cutter Machinery*Canister, Cutter Motors*Canister, Cutter Motor*Sensor, Water Level"/>
    <x v="66"/>
    <s v="Y"/>
    <n v="1"/>
    <s v="Sensor, Water Level"/>
    <s v="Cutter Machinery*Canister, Cutter Motors*Canister, Cutter Motor*Sensor, Water Level"/>
    <n v="2"/>
    <s v="910-A1A2-016"/>
    <s v="MAGNETROL"/>
    <n v="1"/>
  </r>
  <r>
    <s v="0118"/>
    <x v="6"/>
    <n v="60400003909"/>
    <s v="Electrical*PLC, Allen Bradley*CL 1747-I552, SLC 500 Processor"/>
    <x v="61"/>
    <s v="Y"/>
    <n v="1"/>
    <s v="CL 1747-I552, SLC 500 Processor"/>
    <s v="Electrical*PLC, Allen Bradley*CL 1747-I552, SLC 500 Processor"/>
    <n v="1"/>
    <s v="1747-I552"/>
    <s v="Allen-Bradley"/>
    <n v="1"/>
  </r>
  <r>
    <s v="0118"/>
    <x v="6"/>
    <n v="60400003910"/>
    <s v="Electrical*PLC, Allen Bradley*CL 1746-IB16, 24 vdc Digital Input Card"/>
    <x v="61"/>
    <s v="Y"/>
    <n v="1"/>
    <s v="CL 1746-IB16, 24 vdc Digital Input Card"/>
    <s v="Electrical*PLC, Allen Bradley*CL 1746-IB16, 24 vdc Digital Input Card"/>
    <n v="3"/>
    <s v="1746-IB16"/>
    <s v="Allen-Bradley"/>
    <n v="1"/>
  </r>
  <r>
    <s v="0118"/>
    <x v="6"/>
    <n v="60400003911"/>
    <s v="Electrical*PLC, Allen Bradley*CL 1746-OB16, 24 vdc Digital Output Card"/>
    <x v="61"/>
    <s v="Y"/>
    <n v="1"/>
    <s v="CL 1746-OB16, 24 vdc Digital Output Card"/>
    <s v="Electrical*PLC, Allen Bradley*CL 1746-OB16, 24 vdc Digital Output Card"/>
    <n v="4"/>
    <s v="1746-OB16"/>
    <s v="Allen-Bradley"/>
    <n v="1"/>
  </r>
  <r>
    <s v="0118"/>
    <x v="6"/>
    <n v="60400003927"/>
    <s v="Vessel Consumables*Brushes (Electric)*Brush, Cutter, D-32, Constant Tension"/>
    <x v="78"/>
    <s v="Y"/>
    <n v="120"/>
    <s v="Brush, Cutter, D-32, Constant Tension"/>
    <s v="Vessel Consumables*Brushes (Electric)*Brush, Cutter, D-32, Constant Tension"/>
    <n v="427"/>
    <s v="70-841391(H34)"/>
    <s v="HELWIG"/>
    <n v="1"/>
  </r>
  <r>
    <s v="0118"/>
    <x v="6"/>
    <n v="60400004361"/>
    <s v="Pump, Dredge*Dredge Pump*Shim, Impeller Adjustment, 3/16&quot;"/>
    <x v="63"/>
    <s v="Y"/>
    <n v="1"/>
    <s v="Shim, Impeller Adjustment, 3/16&quot;"/>
    <s v="Pump, Dredge*Dredge Pump*Shim, Impeller Adjustment, 3/16&quot;"/>
    <n v="6"/>
    <s v="CB-5387"/>
    <s v="SPI/MPMW"/>
    <n v="1"/>
  </r>
  <r>
    <s v="0118"/>
    <x v="6"/>
    <n v="60400004362"/>
    <s v="Pump, Dredge*Dredge Pump*Shim, Impeller Adjustment, 1/16&quot;"/>
    <x v="63"/>
    <s v="Y"/>
    <n v="2"/>
    <s v="Shim, Impeller Adjustment, 1/16&quot;"/>
    <s v="Pump, Dredge*Dredge Pump*Shim, Impeller Adjustment, 1/16&quot;"/>
    <n v="7"/>
    <s v="BB-5387"/>
    <s v="SPI/MPMW"/>
    <n v="1"/>
  </r>
  <r>
    <s v="0118"/>
    <x v="6"/>
    <n v="60400005346"/>
    <s v="Pump, Dredge*Dredge Pump Gearbox*Heat Exchanger*Heat Exchanger"/>
    <x v="63"/>
    <s v="Y"/>
    <n v="1"/>
    <s v="Heat Exchanger"/>
    <s v="Pump, Dredge*Dredge Pump Gearbox*Heat Exchanger*Heat Exchanger"/>
    <n v="0"/>
    <s v="5-142-08-036-009"/>
    <s v="ITT AMERICAN STANDARD"/>
    <n v="1"/>
  </r>
  <r>
    <s v="0118"/>
    <x v="6"/>
    <n v="60400005575"/>
    <s v="Electrical*UPS*Power Inverter, 24VDC-120 VAC"/>
    <x v="61"/>
    <s v="Y"/>
    <n v="1"/>
    <s v="Power Inverter, 24VDC-120 VAC"/>
    <s v="Electrical*UPS*Power Inverter, 24VDC-120 VAC"/>
    <n v="1"/>
    <s v="5JK24"/>
    <s v="GRANGER"/>
    <n v="1"/>
  </r>
  <r>
    <s v="0118"/>
    <x v="6"/>
    <n v="62400000310"/>
    <s v="Generators*Main Genset (Port)*Main Generator Engine (Port)*Exhaust Stack Bellows*Bellows, Exhaust, Pipe -Trans. To Pipe"/>
    <x v="4"/>
    <s v="Y"/>
    <n v="1"/>
    <s v="Bellows, Exhaust, Pipe -Trans. To Pipe"/>
    <s v="Generators*Main Genset (Port)*Main Generator Engine (Port)*Exhaust Stack Bellows*Bellows, Exhaust, Pipe -Trans. To Pipe"/>
    <n v="1"/>
    <m/>
    <m/>
    <n v="1"/>
  </r>
  <r>
    <s v="0118"/>
    <x v="6"/>
    <n v="62400000311"/>
    <s v="Generators*Main Genset (Port)*Main Generator Engine (Port)*Exhaust Stack Bellows*Bellows, Exhaust, Pipe -Trans. To Pipe*Gasket, Double, Jacket"/>
    <x v="4"/>
    <s v="Y"/>
    <n v="2"/>
    <s v="Gasket, Double, Jacket"/>
    <s v="Generators*Main Genset (Port)*Main Generator Engine (Port)*Exhaust Stack Bellows*Bellows, Exhaust, Pipe -Trans. To Pipe*Gasket, Double, Jacket"/>
    <n v="2"/>
    <s v="GSKDJ-SS-22"/>
    <s v="FABACHER INCORPORATED"/>
    <n v="1"/>
  </r>
  <r>
    <s v="0118"/>
    <x v="6"/>
    <n v="62400001399"/>
    <s v="Vessel Consumables*Dredge Wires*CUTTER SERVICE PLATFORM WIRES*Wire, Cutter Service Platform Winch"/>
    <x v="78"/>
    <s v="Y"/>
    <n v="1"/>
    <s v="Wire, Cutter Service Platform Winch"/>
    <s v="Vessel Consumables*Dredge Wires*CUTTER SERVICE PLATFORM WIRES*Wire, Cutter Service Platform Winch"/>
    <n v="1"/>
    <s v="118-02-2312"/>
    <s v="Gldd Dwg "/>
    <n v="1"/>
  </r>
  <r>
    <s v="0118"/>
    <x v="6"/>
    <n v="62400002524"/>
    <s v="Swing*Drive, SCR (Swing) (Port)*Voltage Isolation Module Assy."/>
    <x v="65"/>
    <s v="Y"/>
    <n v="1"/>
    <s v="Voltage Isolation Module Assy."/>
    <s v="Swing*Drive, SCR (Swing) (Port)*Voltage Isolation Module Assy."/>
    <n v="4"/>
    <s v="A19390"/>
    <s v="AVTRON MFG INC"/>
    <n v="2"/>
  </r>
  <r>
    <s v="0118"/>
    <x v="6"/>
    <n v="62400002985"/>
    <s v="Pump, Ladder*Ladder Pump Gearbox*Seal, Split, Oil, L/S"/>
    <x v="64"/>
    <s v="Y"/>
    <n v="2"/>
    <s v="Seal, Split, Oil, L/S"/>
    <s v="Pump, Ladder*Ladder Pump Gearbox*Seal, Split, Oil, L/S"/>
    <n v="8"/>
    <s v="24610-1279"/>
    <s v="Garlock"/>
    <n v="1"/>
  </r>
  <r>
    <s v="0118"/>
    <x v="6"/>
    <n v="62400002986"/>
    <s v="Pump, Ladder*Ladder Pump Gearbox*Seal, Split, Oil, H/S"/>
    <x v="64"/>
    <s v="Y"/>
    <n v="2"/>
    <s v="Seal, Split, Oil, H/S"/>
    <s v="Pump, Ladder*Ladder Pump Gearbox*Seal, Split, Oil, H/S"/>
    <n v="4"/>
    <s v="25003-3182"/>
    <s v="Garlock"/>
    <n v="1"/>
  </r>
  <r>
    <s v="0118"/>
    <x v="6"/>
    <n v="62400003864"/>
    <s v="Pump, Ladder*Shafting*Pump Bearing Assembly (L/P)*Oil Supply Pump Set (L/P Bearing)*Motor, Oil Supply Pump Set (L/P Bearing)*Motor, L/P Bearing Oil Supply, 2 HP"/>
    <x v="64"/>
    <s v="Y"/>
    <n v="1"/>
    <s v="Motor, L/P Bearing Oil Supply, 2 HP"/>
    <s v="Pump, Ladder*Shafting*Pump Bearing Assembly (L/P)*Oil Supply Pump Set (L/P Bearing)*Motor, Oil Supply Pump Set (L/P Bearing)*Motor, L/P Bearing Oil Supply, 2 HP"/>
    <n v="0"/>
    <m/>
    <m/>
    <n v="1"/>
  </r>
  <r>
    <s v="0118"/>
    <x v="6"/>
    <n v="62400004601"/>
    <s v="Pump, Dredge*Shafting*Impeller Shaft*Spring Bearing (L-27) (# 07)*Water Thrower, L 27 Spring Bearing"/>
    <x v="63"/>
    <s v="Y"/>
    <n v="1"/>
    <s v="Water Thrower, L 27 Spring Bearing"/>
    <s v="Pump, Dredge*Shafting*Impeller Shaft*Spring Bearing (L-27) (# 07)*Water Thrower, L 27 Spring Bearing"/>
    <n v="1"/>
    <s v="A-1450-02"/>
    <s v="SPI/MPMW"/>
    <n v="1"/>
  </r>
  <r>
    <s v="0118"/>
    <x v="6"/>
    <n v="66200005918"/>
    <s v="Pump, Dredge*Dredge Pump Gearbox*Seal, Oil, D/P Gearbox"/>
    <x v="63"/>
    <s v="Y"/>
    <n v="2"/>
    <s v="Seal, Oil, D/P Gearbox"/>
    <s v="Pump, Dredge*Dredge Pump Gearbox*Seal, Oil, D/P Gearbox"/>
    <n v="5"/>
    <s v="25003-8665"/>
    <s v="Garlock"/>
    <n v="1"/>
  </r>
  <r>
    <s v="0118"/>
    <x v="6"/>
    <n v="66200007531"/>
    <s v="Electrical*PLC, Allen Bradley*CL 1794-ASB, Flex I/O, Power Supply"/>
    <x v="61"/>
    <s v="Y"/>
    <n v="1"/>
    <s v="CL 1794-ASB, Flex I/O, Power Supply"/>
    <s v="Electrical*PLC, Allen Bradley*CL 1794-ASB, Flex I/O, Power Supply"/>
    <n v="3"/>
    <s v="1794-ASB"/>
    <s v="Allen-Bradley"/>
    <n v="1"/>
  </r>
  <r>
    <s v="0118"/>
    <x v="6"/>
    <n v="66200011009"/>
    <s v="Cutter Machinery*Tailshaft*Sleeve, Hub Wear"/>
    <x v="66"/>
    <s v="Y"/>
    <n v="1"/>
    <s v="Sleeve, Hub Wear"/>
    <s v="Cutter Machinery*Tailshaft*Sleeve, Hub Wear"/>
    <n v="2"/>
    <s v="118/110-02-30983"/>
    <s v="Gldd Dwg "/>
    <n v="1"/>
  </r>
  <r>
    <s v="0118"/>
    <x v="6"/>
    <n v="66200018509"/>
    <s v="Electrical*PLC, Allen Bradley*CL 1794-AENT, Flexl/O Ethernet/lP Adap."/>
    <x v="61"/>
    <s v="Y"/>
    <n v="1"/>
    <s v="CL 1794-AENT, Flexl/O Ethernet/lP Adap."/>
    <s v="Electrical*PLC, Allen Bradley*CL 1794-AENT, Flexl/O Ethernet/lP Adap."/>
    <n v="5"/>
    <s v="1794-AENT"/>
    <s v="ALLEN-BRADLEY"/>
    <n v="1"/>
  </r>
  <r>
    <s v="0118"/>
    <x v="6"/>
    <n v="66200019189"/>
    <s v="Electrical*Main Switchboard #1 (4160V)*Transformer, Current"/>
    <x v="61"/>
    <s v="Y"/>
    <n v="6"/>
    <s v="Transformer, Current"/>
    <s v="Electrical*Main Switchboard #1 (4160V)*Transformer, Current"/>
    <n v="9"/>
    <s v="180-SHT601"/>
    <s v="General Electric"/>
    <n v="1"/>
  </r>
  <r>
    <s v="0120"/>
    <x v="7"/>
    <n v="2541"/>
    <s v="Hydraulic System*Hytop System*Gear Pump, Hytop System"/>
    <x v="87"/>
    <s v="Y"/>
    <n v="1"/>
    <s v="Gear Pump, Hytop System"/>
    <s v="Hydraulic System*Hytop System*Gear Pump, Hytop System"/>
    <n v="0"/>
    <s v="GP3A55"/>
    <s v="HYTOP"/>
    <n v="1"/>
  </r>
  <r>
    <s v="0120"/>
    <x v="7"/>
    <n v="9376"/>
    <s v="Generators*Generator (#2)*Generator Engine (#2) (Cummins)*Pump, Water"/>
    <x v="4"/>
    <s v="Y"/>
    <n v="1"/>
    <s v="Pump, Water"/>
    <s v="Generators*Generator (#2)*Generator Engine (#2) (Cummins)*Pump, Water"/>
    <n v="1"/>
    <s v="AR4283"/>
    <s v="Cummins"/>
    <n v="2"/>
  </r>
  <r>
    <s v="0120"/>
    <x v="7"/>
    <n v="9377"/>
    <s v="Generators*Generator (#2)*Generator Engine (#2) (Cummins)*Pump, Fuel"/>
    <x v="4"/>
    <s v="Y"/>
    <n v="1"/>
    <s v="Pump, Fuel"/>
    <s v="Generators*Generator (#2)*Generator Engine (#2) (Cummins)*Pump, Fuel"/>
    <n v="0"/>
    <s v="AR1836"/>
    <s v="Cummins"/>
    <n v="2"/>
  </r>
  <r>
    <s v="0120"/>
    <x v="7"/>
    <n v="10505"/>
    <s v="Generators*Generator (#2)*Generator Engine (#2) (Cummins)*Engine (Cummins NTA-855-G2)*Thermostat"/>
    <x v="4"/>
    <s v="Y"/>
    <n v="2"/>
    <s v="Thermostat"/>
    <s v="Generators*Generator (#2)*Generator Engine (#2) (Cummins)*Engine (Cummins NTA-855-G2)*Thermostat"/>
    <n v="4"/>
    <s v="3076489"/>
    <s v="Cummins"/>
    <n v="2"/>
  </r>
  <r>
    <s v="0120"/>
    <x v="7"/>
    <n v="10516"/>
    <s v="Generators*Generator (#2)*Generator Engine (#2) (Cummins)*Engine (Cummins NTA-855-G2)*Thermostat Seal"/>
    <x v="4"/>
    <s v="Y"/>
    <n v="1"/>
    <s v="Thermostat Seal"/>
    <s v="Generators*Generator (#2)*Generator Engine (#2) (Cummins)*Engine (Cummins NTA-855-G2)*Thermostat Seal"/>
    <n v="4"/>
    <s v="186780"/>
    <s v="Cummins"/>
    <n v="2"/>
  </r>
  <r>
    <s v="0120"/>
    <x v="7"/>
    <n v="10838"/>
    <s v="Excavator (Liebherr 996)*Excavator (996)*Cylinder, Bucket (Hyd Side)*Hydraulic Cylinder, Bucket*Bushing"/>
    <x v="8"/>
    <s v="Y"/>
    <n v="4"/>
    <s v="Bushing"/>
    <s v="Excavator (Liebherr 996)*Excavator (996)*Cylinder, Bucket (Hyd Side)*Hydraulic Cylinder, Bucket*Bushing"/>
    <n v="0"/>
    <s v="11078606"/>
    <s v="LIEBHERR"/>
    <n v="2"/>
  </r>
  <r>
    <s v="0120"/>
    <x v="7"/>
    <n v="10954"/>
    <s v="Excavator (Liebherr 996)*Excavator (996)*Uppercarriage*Uppercarriage*Hydraulic Instal Upper 1*Hydr Install Swing Gear*Hose, Swing Gear"/>
    <x v="8"/>
    <s v="Y"/>
    <n v="2"/>
    <s v="Hose, Swing Gear"/>
    <s v="Excavator (Liebherr 996)*Excavator (996)*Uppercarriage*Uppercarriage*Hydraulic Instal Upper 1*Hydr Install Swing Gear*Hose, Swing Gear"/>
    <n v="3"/>
    <s v="5614838"/>
    <s v="LIEBHERR"/>
    <n v="1"/>
  </r>
  <r>
    <s v="0120"/>
    <x v="7"/>
    <n v="10955"/>
    <s v="Excavator (Liebherr 996)*Excavator (996)*Uppercarriage*Uppercarriage*HYDRAULIC INSTAL UPPER 1*HYDR INSTALL SWING GEAR*Hose, Swing Gear"/>
    <x v="8"/>
    <s v="Y"/>
    <n v="1"/>
    <s v="Hose, Swing Gear"/>
    <s v="Excavator (Liebherr 996)*Excavator (996)*Uppercarriage*Uppercarriage*HYDRAULIC INSTAL UPPER 1*HYDR INSTALL SWING GEAR*Hose, Swing Gear"/>
    <n v="2"/>
    <s v="5614839"/>
    <s v="LIEBHERR"/>
    <n v="1"/>
  </r>
  <r>
    <s v="0120"/>
    <x v="7"/>
    <n v="10974"/>
    <s v="Excavator (Liebherr 996)*Excavator (996)*Uppercarriage*Uppercarriage*HYDRAULIC INSTAL UPPER 1*HYDR INSTALL SWING GEAR*Hose, Swing Gear"/>
    <x v="8"/>
    <s v="Y"/>
    <n v="1"/>
    <s v="Hose, Swing Gear"/>
    <s v="Excavator (Liebherr 996)*Excavator (996)*Uppercarriage*Uppercarriage*HYDRAULIC INSTAL UPPER 1*HYDR INSTALL SWING GEAR*Hose, Swing Gear"/>
    <n v="1"/>
    <s v="5615665"/>
    <s v="LIEBHERR"/>
    <n v="1"/>
  </r>
  <r>
    <s v="0120"/>
    <x v="7"/>
    <n v="10975"/>
    <s v="Excavator (Liebherr 996)*Excavator (996)*Uppercarriage*Uppercarriage*HYDRAULIC INSTAL UPPER 1*HYDR INSTALL SWING GEAR*Hose, Swing Gear"/>
    <x v="8"/>
    <s v="Y"/>
    <n v="1"/>
    <s v="Hose, Swing Gear"/>
    <s v="Excavator (Liebherr 996)*Excavator (996)*Uppercarriage*Uppercarriage*HYDRAULIC INSTAL UPPER 1*HYDR INSTALL SWING GEAR*Hose, Swing Gear"/>
    <n v="3"/>
    <s v="5615638"/>
    <s v="LIEBHERR"/>
    <n v="1"/>
  </r>
  <r>
    <s v="0120"/>
    <x v="7"/>
    <n v="10976"/>
    <s v="Excavator (Liebherr 996)*Excavator (996)*Uppercarriage*Uppercarriage*HYDRAULIC INSTAL UPPER 1*HYDR INSTALL SWING GEAR*Hose, Swing Gear"/>
    <x v="8"/>
    <s v="Y"/>
    <n v="1"/>
    <s v="Hose, Swing Gear"/>
    <s v="Excavator (Liebherr 996)*Excavator (996)*Uppercarriage*Uppercarriage*HYDRAULIC INSTAL UPPER 1*HYDR INSTALL SWING GEAR*Hose, Swing Gear"/>
    <n v="1"/>
    <s v="5614848"/>
    <s v="LIEBHERR"/>
    <n v="1"/>
  </r>
  <r>
    <s v="0120"/>
    <x v="7"/>
    <n v="10977"/>
    <s v="Excavator (Liebherr 996)*Excavator (996)*Uppercarriage*Uppercarriage*HYDRAULIC INSTAL UPPER 1*HYDR INSTALL SWING GEAR*Hose, Swing Gear"/>
    <x v="8"/>
    <s v="Y"/>
    <n v="1"/>
    <s v="Hose, Swing Gear"/>
    <s v="Excavator (Liebherr 996)*Excavator (996)*Uppercarriage*Uppercarriage*HYDRAULIC INSTAL UPPER 1*HYDR INSTALL SWING GEAR*Hose, Swing Gear"/>
    <n v="2"/>
    <s v="5614847"/>
    <s v="LIEBHERR"/>
    <n v="1"/>
  </r>
  <r>
    <s v="0120"/>
    <x v="7"/>
    <n v="10992"/>
    <s v="Excavator (Liebherr 996)*Excavator (996)*Uppercarriage*Uppercarriage*Hydraulic Instal Upper 1*Hydr Install Swing Gear*Hose, Swing Gear"/>
    <x v="8"/>
    <s v="Y"/>
    <n v="1"/>
    <s v="Hose, Swing Gear"/>
    <s v="Excavator (Liebherr 996)*Excavator (996)*Uppercarriage*Uppercarriage*Hydraulic Instal Upper 1*Hydr Install Swing Gear*Hose, Swing Gear"/>
    <n v="1"/>
    <s v="5614845"/>
    <s v="LIEBHERR"/>
    <n v="1"/>
  </r>
  <r>
    <s v="0120"/>
    <x v="7"/>
    <n v="10993"/>
    <s v="Excavator (Liebherr 996)*Excavator (996)*Uppercarriage*Uppercarriage*HYDRAULIC INSTAL UPPER 1*HYDR INSTALL SWING GEAR*Hose, Swing Gear"/>
    <x v="8"/>
    <s v="Y"/>
    <n v="1"/>
    <s v="Hose, Swing Gear"/>
    <s v="Excavator (Liebherr 996)*Excavator (996)*Uppercarriage*Uppercarriage*HYDRAULIC INSTAL UPPER 1*HYDR INSTALL SWING GEAR*Hose, Swing Gear"/>
    <n v="1"/>
    <s v="5614846"/>
    <s v="LIEBHERR"/>
    <n v="1"/>
  </r>
  <r>
    <s v="0120"/>
    <x v="7"/>
    <n v="11013"/>
    <s v="Excavator (Liebherr 996)*Excavator (996)*Uppercarriage*Uppercarriage*Hydraulic Instal Upper 1*Hydr Install Swing Gear*Hose, Swing Gear, Pos. 120"/>
    <x v="8"/>
    <s v="Y"/>
    <n v="2"/>
    <s v="Hose, Swing Gear, Pos. 120"/>
    <s v="Excavator (Liebherr 996)*Excavator (996)*Uppercarriage*Uppercarriage*Hydraulic Instal Upper 1*Hydr Install Swing Gear*Hose, Swing Gear, Pos. 120"/>
    <n v="4"/>
    <s v="5614784"/>
    <s v="LIEBHERR"/>
    <n v="1"/>
  </r>
  <r>
    <s v="0120"/>
    <x v="7"/>
    <n v="11014"/>
    <s v="Excavator (Liebherr 996)*Excavator (996)*Uppercarriage*Uppercarriage*Hydraulic Instal Upper 1*Hydr Install Swing Gear*Hose, Swing Gear"/>
    <x v="8"/>
    <s v="Y"/>
    <n v="2"/>
    <s v="Hose, Swing Gear"/>
    <s v="Excavator (Liebherr 996)*Excavator (996)*Uppercarriage*Uppercarriage*Hydraulic Instal Upper 1*Hydr Install Swing Gear*Hose, Swing Gear"/>
    <n v="2"/>
    <s v="5615544"/>
    <s v="LIEBHERR"/>
    <n v="1"/>
  </r>
  <r>
    <s v="0120"/>
    <x v="7"/>
    <n v="12417"/>
    <s v="Excavator (Liebherr 996)*Excavator (996)*Uppercarriage*Uppercarriage*Cab Elevation 3*Greasing Control Board"/>
    <x v="8"/>
    <s v="Y"/>
    <n v="1"/>
    <s v="Greasing Control Board"/>
    <s v="Excavator (Liebherr 996)*Excavator (996)*Uppercarriage*Uppercarriage*Cab Elevation 3*Greasing Control Board"/>
    <n v="1"/>
    <s v="989178001"/>
    <s v="LIEBHERR"/>
    <n v="1"/>
  </r>
  <r>
    <s v="0120"/>
    <x v="7"/>
    <n v="18473"/>
    <s v="Excavator (Liebherr 996)*Excavator (996)*Excavator Engine (#2) (Cummins)*Splitter Box (#2)*Swing Pump (PS.1)*Swing Hydraulic Pump"/>
    <x v="8"/>
    <s v="Y"/>
    <n v="1"/>
    <s v="Swing Hydraulic Pump"/>
    <s v="Excavator (Liebherr 996)*Excavator (996)*Excavator Engine (#2) (Cummins)*Splitter Box (#2)*Swing Pump (PS.1)*Swing Hydraulic Pump"/>
    <n v="1"/>
    <s v="10099837A"/>
    <s v="LIEBHERR"/>
    <n v="4"/>
  </r>
  <r>
    <s v="0120"/>
    <x v="7"/>
    <n v="18475"/>
    <s v="Excavator (Liebherr 996)*Excavator (996)*Uppercarriage*Uppercarriage*HYDRAULIC INSTAL UPPER 1*CONTROL VALVE INSTALL*Hose"/>
    <x v="8"/>
    <s v="Y"/>
    <n v="1"/>
    <s v="Hose"/>
    <s v="Excavator (Liebherr 996)*Excavator (996)*Uppercarriage*Uppercarriage*HYDRAULIC INSTAL UPPER 1*CONTROL VALVE INSTALL*Hose"/>
    <n v="4"/>
    <s v="5612237"/>
    <s v="LIEBHERR"/>
    <n v="1"/>
  </r>
  <r>
    <s v="0120"/>
    <x v="7"/>
    <n v="20540"/>
    <s v="Excavator (Liebherr 996)*Excavator (996)*Stick*Hydraulic Tube, (Pos. 312)"/>
    <x v="8"/>
    <s v="Y"/>
    <n v="1"/>
    <s v="Hydraulic Tube, (Pos. 312)"/>
    <s v="Excavator (Liebherr 996)*Excavator (996)*Stick*Hydraulic Tube, (Pos. 312)"/>
    <n v="0"/>
    <s v="9699852"/>
    <s v="LIEBHERR"/>
    <n v="1"/>
  </r>
  <r>
    <s v="0120"/>
    <x v="7"/>
    <n v="39571"/>
    <s v="Safety Firefighting*Fixed Fire Suppression System (Ansul)*Heat Sensor, (135 Degrees) (FST-851)"/>
    <x v="84"/>
    <s v="Y"/>
    <n v="1"/>
    <s v="Heat Sensor, (135 Degrees) (FST-851)"/>
    <s v="Safety Firefighting*Fixed Fire Suppression System (Ansul)*Heat Sensor, (135 Degrees) (FST-851)"/>
    <n v="3"/>
    <s v="432290"/>
    <s v="ANSUL"/>
    <n v="1"/>
  </r>
  <r>
    <s v="0120"/>
    <x v="7"/>
    <n v="46153"/>
    <s v="Excavator (Liebherr 996)*Excavator (996)*Uppercarriage*Uppercarriage*Electrical System 5*Electrical System P*Temp Switch"/>
    <x v="8"/>
    <s v="Y"/>
    <n v="2"/>
    <s v="Temp Switch"/>
    <s v="Excavator (Liebherr 996)*Excavator (996)*Uppercarriage*Uppercarriage*Electrical System 5*Electrical System P*Temp Switch"/>
    <n v="5"/>
    <s v="10043264"/>
    <s v="LIEBHERR"/>
    <n v="1"/>
  </r>
  <r>
    <s v="0120"/>
    <x v="7"/>
    <n v="48001"/>
    <s v="Hydraulic System*Hytop System*Main Power Unit*Coil, Directional CNT, VLV"/>
    <x v="87"/>
    <s v="Y"/>
    <n v="1"/>
    <s v="Coil, Directional CNT, VLV"/>
    <s v="Hydraulic System*Hytop System*Main Power Unit*Coil, Directional CNT, VLV"/>
    <n v="0"/>
    <s v="121-00815-8"/>
    <s v="DENISON"/>
    <n v="1"/>
  </r>
  <r>
    <s v="0120"/>
    <x v="7"/>
    <n v="49493"/>
    <s v="Hydraulic System*Hytop System*Pump (#1)*Hydraulic Pump. Hytop System*Coupling, Hydraulic Pump"/>
    <x v="87"/>
    <s v="Y"/>
    <n v="1"/>
    <s v="Coupling, Hydraulic Pump"/>
    <s v="Hydraulic System*Hytop System*Pump (#1)*Hydraulic Pump. Hytop System*Coupling, Hydraulic Pump"/>
    <n v="1"/>
    <s v="020653004500"/>
    <s v="HYTOP"/>
    <n v="2"/>
  </r>
  <r>
    <s v="0120"/>
    <x v="7"/>
    <n v="49505"/>
    <s v="Hydraulic System*Hydraulic Oil Transfer Pump*Hydraulic Oil Transfer Pump"/>
    <x v="87"/>
    <s v="Y"/>
    <n v="1"/>
    <s v="Hydraulic Oil Transfer Pump"/>
    <s v="Hydraulic System*Hydraulic Oil Transfer Pump*Hydraulic Oil Transfer Pump"/>
    <n v="0"/>
    <s v="HE 90L F4"/>
    <s v="LAFERT"/>
    <n v="1"/>
  </r>
  <r>
    <s v="0120"/>
    <x v="7"/>
    <n v="49926"/>
    <s v="Excavator (Liebherr 996)*Excavator (996)*Uppercarriage*Uppercarriage*ELECTRICAL SYSTEM 5*ELECTRICAL SYSTEM B*Wiring Harness"/>
    <x v="8"/>
    <s v="Y"/>
    <n v="1"/>
    <s v="Wiring Harness"/>
    <s v="Excavator (Liebherr 996)*Excavator (996)*Uppercarriage*Uppercarriage*ELECTRICAL SYSTEM 5*ELECTRICAL SYSTEM B*Wiring Harness"/>
    <n v="1"/>
    <s v="6204384"/>
    <s v="LIEBHERR"/>
    <n v="1"/>
  </r>
  <r>
    <s v="0120"/>
    <x v="7"/>
    <n v="52914"/>
    <s v="Excavator (Liebherr 996)*Excavator (996)*Cylinder, Boom (Cab Side)*Hydraulic Cylinder, Boom Hoist*Bearing, Piston Rod*Seal Kit"/>
    <x v="8"/>
    <s v="Y"/>
    <n v="2"/>
    <s v="Seal Kit"/>
    <s v="Excavator (Liebherr 996)*Excavator (996)*Cylinder, Boom (Cab Side)*Hydraulic Cylinder, Boom Hoist*Bearing, Piston Rod*Seal Kit"/>
    <n v="2"/>
    <s v="9211942"/>
    <s v="LIEBHERR"/>
    <n v="2"/>
  </r>
  <r>
    <s v="0120"/>
    <x v="7"/>
    <n v="55450"/>
    <s v="Excavator (Liebherr 996)*Excavator (996)*Uppercarriage*Uppercarriage*Hydraulic Instal Upper 1*Hydr. Install Pp Back*Hydraulic Hose"/>
    <x v="8"/>
    <s v="Y"/>
    <n v="2"/>
    <s v="Hydraulic Hose"/>
    <s v="Excavator (Liebherr 996)*Excavator (996)*Uppercarriage*Uppercarriage*Hydraulic Instal Upper 1*Hydr. Install Pp Back*Hydraulic Hose"/>
    <n v="9"/>
    <s v="5614320"/>
    <s v="LIEBHERR"/>
    <n v="1"/>
  </r>
  <r>
    <s v="0120"/>
    <x v="7"/>
    <n v="57122"/>
    <s v="Excavator (Liebherr 996)*Excavator (996)*Stick*8M/5M STICK COMMON PARTS*Hydraulic Hose"/>
    <x v="8"/>
    <s v="Y"/>
    <n v="2"/>
    <s v="Hydraulic Hose"/>
    <s v="Excavator (Liebherr 996)*Excavator (996)*Stick*8M/5M STICK COMMON PARTS*Hydraulic Hose"/>
    <n v="9"/>
    <s v="5613013"/>
    <s v="LIEBHERR"/>
    <n v="1"/>
  </r>
  <r>
    <s v="0120"/>
    <x v="7"/>
    <n v="57912"/>
    <s v="Excavator (Liebherr 996)*Excavator (996)*Auto Grease System*Repair Kit"/>
    <x v="8"/>
    <s v="Y"/>
    <n v="2"/>
    <s v="Repair Kit"/>
    <s v="Excavator (Liebherr 996)*Excavator (996)*Auto Grease System*Repair Kit"/>
    <n v="4"/>
    <s v="86234"/>
    <s v="LINCOLN"/>
    <n v="1"/>
  </r>
  <r>
    <s v="0120"/>
    <x v="7"/>
    <n v="57956"/>
    <s v="Excavator (Liebherr 996)*Excavator (996)*Hydraulic Hoses*Hydraulic Hose"/>
    <x v="8"/>
    <s v="Y"/>
    <n v="1"/>
    <s v="Hydraulic Hose"/>
    <s v="Excavator (Liebherr 996)*Excavator (996)*Hydraulic Hoses*Hydraulic Hose"/>
    <n v="2"/>
    <s v="5612065"/>
    <s v="LIEBHERR"/>
    <n v="1"/>
  </r>
  <r>
    <s v="0120"/>
    <x v="7"/>
    <n v="57958"/>
    <s v="Excavator (Liebherr 996)*Excavator (996)*Hydraulic Hoses*Hydraulic Hose"/>
    <x v="8"/>
    <s v="Y"/>
    <n v="1"/>
    <s v="Hydraulic Hose"/>
    <s v="Excavator (Liebherr 996)*Excavator (996)*Hydraulic Hoses*Hydraulic Hose"/>
    <n v="2"/>
    <s v="5612067"/>
    <s v="LIEBHERR"/>
    <n v="1"/>
  </r>
  <r>
    <s v="0120"/>
    <x v="7"/>
    <n v="57988"/>
    <s v="Excavator (Liebherr 996)*Excavator (996)*Hydraulic Hoses*Hydraulic Hose"/>
    <x v="8"/>
    <s v="Y"/>
    <n v="1"/>
    <s v="Hydraulic Hose"/>
    <s v="Excavator (Liebherr 996)*Excavator (996)*Hydraulic Hoses*Hydraulic Hose"/>
    <n v="2"/>
    <s v="5612394"/>
    <s v="LIEBHERR"/>
    <n v="1"/>
  </r>
  <r>
    <s v="0120"/>
    <x v="7"/>
    <n v="7500002429"/>
    <s v="Buckets*Bucket (500) (13 YD) Liebherr*Bushing, Stick"/>
    <x v="33"/>
    <s v="Y"/>
    <n v="8"/>
    <s v="Bushing, Stick"/>
    <s v="Buckets*Bucket (500) (13 YD) Liebherr*Bushing, Stick"/>
    <n v="17"/>
    <s v="11078688"/>
    <s v="LIEBHERR"/>
    <n v="1"/>
  </r>
  <r>
    <s v="0120"/>
    <x v="7"/>
    <n v="7500002434"/>
    <s v="Buckets*Bucket (500) (13 YD) Liebherr*Bushing, Rear"/>
    <x v="33"/>
    <s v="Y"/>
    <n v="4"/>
    <s v="Bushing, Rear"/>
    <s v="Buckets*Bucket (500) (13 YD) Liebherr*Bushing, Rear"/>
    <n v="3"/>
    <s v="11078618"/>
    <s v="LIEBHERR"/>
    <n v="1"/>
  </r>
  <r>
    <s v="0120"/>
    <x v="7"/>
    <n v="7500002708"/>
    <s v="Vessel Consumables*Dredge Wires*Wire, Travel Spud Top (2-3/4&quot; x 430')"/>
    <x v="78"/>
    <s v="Y"/>
    <n v="1"/>
    <s v="Wire, Travel Spud Top (2-3/4&quot; x 430')"/>
    <s v="Vessel Consumables*Dredge Wires*Wire, Travel Spud Top (2-3/4&quot; x 430')"/>
    <n v="0"/>
    <m/>
    <m/>
    <n v="1"/>
  </r>
  <r>
    <s v="0120"/>
    <x v="7"/>
    <n v="7500002709"/>
    <s v="Vessel Consumables*Dredge Wires*Wire, Travel Spud, Bot (2-3/4&quot; x 550')"/>
    <x v="78"/>
    <s v="Y"/>
    <n v="1"/>
    <s v="Wire, Travel Spud, Bot (2-3/4&quot; x 550')"/>
    <s v="Vessel Consumables*Dredge Wires*Wire, Travel Spud, Bot (2-3/4&quot; x 550')"/>
    <n v="0"/>
    <m/>
    <m/>
    <n v="1"/>
  </r>
  <r>
    <s v="0120"/>
    <x v="7"/>
    <n v="7500002710"/>
    <s v="Vessel Consumables*Dredge Wires*Wire, Breast Spuds, Top (2-3/4&quot; x 535')"/>
    <x v="78"/>
    <s v="Y"/>
    <n v="1"/>
    <s v="Wire, Breast Spuds, Top (2-3/4&quot; x 535')"/>
    <s v="Vessel Consumables*Dredge Wires*Wire, Breast Spuds, Top (2-3/4&quot; x 535')"/>
    <n v="0"/>
    <m/>
    <m/>
    <n v="1"/>
  </r>
  <r>
    <s v="0120"/>
    <x v="7"/>
    <n v="7500002711"/>
    <s v="Vessel Consumables*Dredge Wires*Wire, Spud Carrier (2&quot; x 450')"/>
    <x v="78"/>
    <s v="Y"/>
    <n v="1"/>
    <s v="Wire, Spud Carrier (2&quot; x 450')"/>
    <s v="Vessel Consumables*Dredge Wires*Wire, Spud Carrier (2&quot; x 450')"/>
    <n v="1"/>
    <m/>
    <m/>
    <n v="1"/>
  </r>
  <r>
    <s v="0120"/>
    <x v="7"/>
    <n v="7500002728"/>
    <s v="Excavator (Liebherr 996)*Excavator (996)*Uppercarriage*Uppercarriage*Attachments Mounting Pts*Pin"/>
    <x v="8"/>
    <s v="Y"/>
    <n v="2"/>
    <s v="Pin"/>
    <s v="Excavator (Liebherr 996)*Excavator (996)*Uppercarriage*Uppercarriage*Attachments Mounting Pts*Pin"/>
    <n v="2"/>
    <s v="9756104"/>
    <s v="LIEBHERR"/>
    <n v="1"/>
  </r>
  <r>
    <s v="0120"/>
    <x v="7"/>
    <n v="7500002747"/>
    <s v="Excavator (Liebherr 996)*Excavator (996)*Swing Gear (# 01)*Uppercarriage*SWING GEAR INSTALL*Slewing Gear 1"/>
    <x v="8"/>
    <s v="Y"/>
    <n v="1"/>
    <s v="Slewing Gear 1"/>
    <s v="Excavator (Liebherr 996)*Excavator (996)*Swing Gear (# 01)*Uppercarriage*SWING GEAR INSTALL*Slewing Gear 1"/>
    <n v="0"/>
    <s v="932231201"/>
    <s v="LIEBHERR"/>
    <n v="4"/>
  </r>
  <r>
    <s v="0120"/>
    <x v="7"/>
    <n v="7500002793"/>
    <s v="Excavator (Liebherr 996)*Excavator (996)*Swing Gear (# 01)*Uppercarriage*SWING GEAR INSTALL*Slewing Gear 1*Hydr. Motor 1"/>
    <x v="8"/>
    <s v="Y"/>
    <n v="2"/>
    <s v="Hydr. Motor 1"/>
    <s v="Excavator (Liebherr 996)*Excavator (996)*Swing Gear (# 01)*Uppercarriage*SWING GEAR INSTALL*Slewing Gear 1*Hydr. Motor 1"/>
    <n v="2"/>
    <s v="9888043"/>
    <s v="LIEBHERR"/>
    <n v="4"/>
  </r>
  <r>
    <s v="0120"/>
    <x v="7"/>
    <n v="7500002981"/>
    <s v="Excavator (Liebherr 996)*Excavator (996)*Uppercarriage*Uppercarriage*CENTRALIZED LUBRICATION*DELIV. PTS CNTR LUBE 2*DP CONTAINER INSTAL.*REVERSING UNIT*Control Valve"/>
    <x v="8"/>
    <s v="Y"/>
    <n v="3"/>
    <s v="Control Valve"/>
    <s v="Excavator (Liebherr 996)*Excavator (996)*Uppercarriage*Uppercarriage*CENTRALIZED LUBRICATION*DELIV. PTS CNTR LUBE 2*DP CONTAINER INSTAL.*REVERSING UNIT*Control Valve"/>
    <n v="3"/>
    <s v="5617445"/>
    <s v="LIEBHERR"/>
    <n v="1"/>
  </r>
  <r>
    <s v="0120"/>
    <x v="7"/>
    <n v="7500003449"/>
    <s v="Excavator (Liebherr 996)*Excavator (996)*Uppercarriage*Uppercarriage*Air System Upper 1*Air System Cntrl Vlv 5*Hose, Item # 7 &amp; 8"/>
    <x v="8"/>
    <s v="Y"/>
    <n v="2"/>
    <s v="Hose, Item # 7 &amp; 8"/>
    <s v="Excavator (Liebherr 996)*Excavator (996)*Uppercarriage*Uppercarriage*Air System Upper 1*Air System Cntrl Vlv 5*Hose, Item # 7 &amp; 8"/>
    <n v="3"/>
    <s v="5612227"/>
    <s v="LIEBHERR"/>
    <n v="1"/>
  </r>
  <r>
    <s v="0120"/>
    <x v="7"/>
    <n v="7500003569"/>
    <s v="Excavator (Liebherr 996)*Excavator (996)*Uppercarriage*Uppercarriage*ROTATING DECK 3*ROTATING DECK 1*Steel Bushing 8"/>
    <x v="8"/>
    <s v="Y"/>
    <n v="2"/>
    <s v="Steel Bushing 8"/>
    <s v="Excavator (Liebherr 996)*Excavator (996)*Uppercarriage*Uppercarriage*ROTATING DECK 3*ROTATING DECK 1*Steel Bushing 8"/>
    <n v="0"/>
    <s v="11078684"/>
    <s v="LIEBHERR"/>
    <n v="1"/>
  </r>
  <r>
    <s v="0120"/>
    <x v="7"/>
    <n v="7500006795"/>
    <s v="Hydraulic System*Hytop System*Pump (#1)*Hydraulic Pump. Hytop System"/>
    <x v="87"/>
    <s v="Y"/>
    <n v="2"/>
    <s v="Hydraulic Pump. Hytop System"/>
    <s v="Hydraulic System*Hytop System*Pump (#1)*Hydraulic Pump. Hytop System"/>
    <n v="2"/>
    <s v="P140H2R1DC1000"/>
    <s v="Parker"/>
    <n v="2"/>
  </r>
  <r>
    <s v="0120"/>
    <x v="7"/>
    <n v="7500006797"/>
    <s v="Hydraulic System*Hytop System*Pump (#3)*Hydraulic Pump, Hytop System"/>
    <x v="87"/>
    <s v="Y"/>
    <n v="1"/>
    <s v="Hydraulic Pump, Hytop System"/>
    <s v="Hydraulic System*Hytop System*Pump (#3)*Hydraulic Pump, Hytop System"/>
    <n v="1"/>
    <s v="8041779"/>
    <s v="ROTOR ASYNEHR"/>
    <n v="1"/>
  </r>
  <r>
    <s v="0120"/>
    <x v="7"/>
    <n v="7500006798"/>
    <s v="Hydraulic System*Hytop System*Hydraulic Cooling Pump"/>
    <x v="87"/>
    <s v="Y"/>
    <n v="1"/>
    <s v="Hydraulic Cooling Pump"/>
    <s v="Hydraulic System*Hytop System*Hydraulic Cooling Pump"/>
    <n v="0"/>
    <m/>
    <m/>
    <n v="1"/>
  </r>
  <r>
    <s v="0120"/>
    <x v="7"/>
    <n v="7500006799"/>
    <s v="Hydraulic System*Hytop System*Leak Oil Pump*Motor*Motor, 4.5KW"/>
    <x v="87"/>
    <s v="Y"/>
    <n v="1"/>
    <s v="Motor, 4.5KW"/>
    <s v="Hydraulic System*Hytop System*Leak Oil Pump*Motor*Motor, 4.5KW"/>
    <n v="1"/>
    <s v="SN 5RN112M04"/>
    <s v="ROTOR ASYNEHR"/>
    <n v="1"/>
  </r>
  <r>
    <s v="0120"/>
    <x v="7"/>
    <n v="7500006800"/>
    <s v="Hydraulic System*Hytop System*Leak Oil Pump*Leak Oil Pump"/>
    <x v="87"/>
    <s v="Y"/>
    <n v="1"/>
    <s v="Leak Oil Pump"/>
    <s v="Hydraulic System*Hytop System*Leak Oil Pump*Leak Oil Pump"/>
    <n v="0"/>
    <m/>
    <m/>
    <n v="1"/>
  </r>
  <r>
    <s v="0120"/>
    <x v="7"/>
    <n v="7500006803"/>
    <s v="Spud System*Walking Spud*Hoist Winch*Hydraulic Motor (Top)*Hydraulic Motor, Spud Hoist Winch"/>
    <x v="73"/>
    <s v="Y"/>
    <n v="2"/>
    <s v="Hydraulic Motor, Spud Hoist Winch"/>
    <s v="Spud System*Walking Spud*Hoist Winch*Hydraulic Motor (Top)*Hydraulic Motor, Spud Hoist Winch"/>
    <n v="2"/>
    <s v="M24F-3N1D-2M0-B50"/>
    <s v="DENISON"/>
    <n v="2"/>
  </r>
  <r>
    <s v="0120"/>
    <x v="7"/>
    <n v="7500006829"/>
    <s v="Spud System*Port Spud*Spud Winch (Port)*Reduction Gear (Top)*DOUBLE RING GEAR*Steel Disc, Spud Winch Gearbox"/>
    <x v="73"/>
    <s v="Y"/>
    <n v="24"/>
    <s v="Steel Disc, Spud Winch Gearbox"/>
    <s v="Spud System*Port Spud*Spud Winch (Port)*Reduction Gear (Top)*DOUBLE RING GEAR*Steel Disc, Spud Winch Gearbox"/>
    <n v="36"/>
    <s v="44100600002"/>
    <s v="BREVINI"/>
    <n v="6"/>
  </r>
  <r>
    <s v="0120"/>
    <x v="7"/>
    <n v="7500006839"/>
    <s v="Spud System*Walking Spud*Spud Carrier*Travel Winch*Disc Brake*Disc Brake, Travel Winch"/>
    <x v="73"/>
    <s v="Y"/>
    <n v="2"/>
    <s v="Disc Brake, Travel Winch"/>
    <s v="Spud System*Walking Spud*Spud Carrier*Travel Winch*Disc Brake*Disc Brake, Travel Winch"/>
    <n v="2"/>
    <s v="44100600014"/>
    <s v="BREVINI"/>
    <n v="1"/>
  </r>
  <r>
    <s v="0120"/>
    <x v="7"/>
    <n v="7600009745"/>
    <s v="Excavator (Liebherr 996)*Excavator (996)*Excavator Engine (#2) (Cummins)*Engine Control Module*Module,Electronic Control"/>
    <x v="8"/>
    <s v="Y"/>
    <n v="2"/>
    <s v="Module,Electronic Control"/>
    <s v="Excavator (Liebherr 996)*Excavator (996)*Excavator Engine (#2) (Cummins)*Engine Control Module*Module,Electronic Control"/>
    <n v="2"/>
    <s v="4354558"/>
    <s v="Cummins"/>
    <n v="2"/>
  </r>
  <r>
    <s v="0120"/>
    <x v="7"/>
    <n v="7600009932"/>
    <s v="Excavator (Liebherr 996)*Excavator (996)*Excavator Engine (#2) (Cummins)*Turbocharger*Turbocharger"/>
    <x v="8"/>
    <s v="Y"/>
    <n v="1"/>
    <s v="Turbocharger"/>
    <s v="Excavator (Liebherr 996)*Excavator (996)*Excavator Engine (#2) (Cummins)*Turbocharger*Turbocharger"/>
    <n v="3"/>
    <s v="4955507"/>
    <s v="Cummins"/>
    <n v="2"/>
  </r>
  <r>
    <s v="0120"/>
    <x v="7"/>
    <n v="7600009981"/>
    <s v="Excavator (Liebherr 996)*Excavator (996)*Excavator Engine (#2) (Cummins)*Alternator Drive Pulley*Pulley, Accessory Drive"/>
    <x v="8"/>
    <s v="Y"/>
    <n v="1"/>
    <s v="Pulley, Accessory Drive"/>
    <s v="Excavator (Liebherr 996)*Excavator (996)*Excavator Engine (#2) (Cummins)*Alternator Drive Pulley*Pulley, Accessory Drive"/>
    <n v="1"/>
    <s v="3015546"/>
    <s v="Cummins"/>
    <n v="2"/>
  </r>
  <r>
    <s v="0120"/>
    <x v="7"/>
    <n v="7600010178"/>
    <s v="Excavator (Liebherr 996)*Excavator (996)*Excavator Engine (#2) (Cummins)*Exhaust*Hose, Flexible"/>
    <x v="8"/>
    <s v="Y"/>
    <n v="1"/>
    <s v="Hose, Flexible"/>
    <s v="Excavator (Liebherr 996)*Excavator (996)*Excavator Engine (#2) (Cummins)*Exhaust*Hose, Flexible"/>
    <n v="1"/>
    <s v="3630906"/>
    <s v="Cummins"/>
    <n v="2"/>
  </r>
  <r>
    <s v="0120"/>
    <x v="7"/>
    <n v="11200000001"/>
    <s v="Vessel Consumables*Dredge Wires*Wire, Breast Spuds, Bot (2-3/4&quot; x 635')"/>
    <x v="78"/>
    <s v="Y"/>
    <n v="1"/>
    <s v="Wire, Breast Spuds, Bot (2-3/4&quot; x 635')"/>
    <s v="Vessel Consumables*Dredge Wires*Wire, Breast Spuds, Bot (2-3/4&quot; x 635')"/>
    <n v="1"/>
    <m/>
    <m/>
    <n v="1"/>
  </r>
  <r>
    <s v="0120"/>
    <x v="7"/>
    <n v="11200000040"/>
    <s v="Excavator (Liebherr 996)*Excavator (996)*Stick*8M/5M STICK COMMON PARTS*CONNECTING LINK*Bushing"/>
    <x v="8"/>
    <s v="Y"/>
    <n v="4"/>
    <s v="Bushing"/>
    <s v="Excavator (Liebherr 996)*Excavator (996)*Stick*8M/5M STICK COMMON PARTS*CONNECTING LINK*Bushing"/>
    <n v="0"/>
    <s v="11078606"/>
    <s v="LIEBHERR"/>
    <n v="1"/>
  </r>
  <r>
    <s v="0120"/>
    <x v="7"/>
    <n v="11200000041"/>
    <s v="Excavator (Liebherr 996)*Excavator (996)*Stick*8M/5M STICK COMMON PARTS*CONNECTING LINK*Bushing"/>
    <x v="8"/>
    <s v="Y"/>
    <n v="4"/>
    <s v="Bushing"/>
    <s v="Excavator (Liebherr 996)*Excavator (996)*Stick*8M/5M STICK COMMON PARTS*CONNECTING LINK*Bushing"/>
    <n v="3"/>
    <s v="11078618"/>
    <s v="LIEBHERR"/>
    <n v="1"/>
  </r>
  <r>
    <s v="0120"/>
    <x v="7"/>
    <n v="11200001263"/>
    <s v="Excavator (Liebherr 996)*Excavator (996)*Gooseneck Boom*Gooseneck Boom*Hose, 18.00 Mm Gooseneck Boom"/>
    <x v="8"/>
    <s v="Y"/>
    <n v="1"/>
    <s v="Hose, 18.00 Mm Gooseneck Boom"/>
    <s v="Excavator (Liebherr 996)*Excavator (996)*Gooseneck Boom*Gooseneck Boom*Hose, 18.00 Mm Gooseneck Boom"/>
    <n v="0"/>
    <s v="5612381"/>
    <s v="LIEBHERR"/>
    <n v="1"/>
  </r>
  <r>
    <s v="0120"/>
    <x v="7"/>
    <n v="11200001333"/>
    <s v="Excavator (Liebherr 996)*Excavator (996)*Uppercarriage*Uppercarriage*HYDRAULIC INSTAL UPPER 1*Hydraulic Pump Main*Pump Regulation Item 2*CONTROL VAVLE"/>
    <x v="8"/>
    <s v="Y"/>
    <n v="1"/>
    <s v="CONTROL VAVLE"/>
    <s v="Excavator (Liebherr 996)*Excavator (996)*Uppercarriage*Uppercarriage*HYDRAULIC INSTAL UPPER 1*Hydraulic Pump Main*Pump Regulation Item 2*CONTROL VAVLE"/>
    <n v="1"/>
    <s v="5612083"/>
    <s v="LIEBHERR"/>
    <n v="1"/>
  </r>
  <r>
    <s v="0120"/>
    <x v="7"/>
    <n v="11200001434"/>
    <s v="Excavator (Liebherr 996)*Excavator (996)*Uppercarriage*Uppercarriage*Control Valve Instal 3*Fixing Parts*Filter, High Pressure"/>
    <x v="8"/>
    <s v="Y"/>
    <n v="1"/>
    <s v="Filter, High Pressure"/>
    <s v="Excavator (Liebherr 996)*Excavator (996)*Uppercarriage*Uppercarriage*Control Valve Instal 3*Fixing Parts*Filter, High Pressure"/>
    <n v="1"/>
    <s v="5618735"/>
    <s v="LIEBHERR"/>
    <n v="1"/>
  </r>
  <r>
    <s v="0120"/>
    <x v="7"/>
    <n v="11200001448"/>
    <s v="Excavator (Liebherr 996)*Excavator (996)*Uppercarriage*Uppercarriage*Control Valve Instal 3*Fixing Parts*Filter, High Pressure*Filter, Hydraulic, High Pressure"/>
    <x v="8"/>
    <s v="Y"/>
    <n v="4"/>
    <s v="Filter, Hydraulic, High Pressure"/>
    <s v="Excavator (Liebherr 996)*Excavator (996)*Uppercarriage*Uppercarriage*Control Valve Instal 3*Fixing Parts*Filter, High Pressure*Filter, Hydraulic, High Pressure"/>
    <n v="18"/>
    <s v="12219095"/>
    <s v="LIEBHERR"/>
    <n v="1"/>
  </r>
  <r>
    <s v="0120"/>
    <x v="7"/>
    <n v="11200001490"/>
    <s v="Excavator (Liebherr 996)*Excavator (996)*Uppercarriage*Uppercarriage*CONTROL VALVE INSTAL 3*FIXING PARTS*SERVO OIL C. VALVE TOP*SERVO OIL UNIT C. VALVE*CONTROL PLATE*VALVE"/>
    <x v="8"/>
    <s v="Y"/>
    <n v="2"/>
    <s v="VALVE"/>
    <s v="Excavator (Liebherr 996)*Excavator (996)*Uppercarriage*Uppercarriage*CONTROL VALVE INSTAL 3*FIXING PARTS*SERVO OIL C. VALVE TOP*SERVO OIL UNIT C. VALVE*CONTROL PLATE*VALVE"/>
    <n v="3"/>
    <s v="5614774"/>
    <s v="LIEBHERR"/>
    <n v="1"/>
  </r>
  <r>
    <s v="0120"/>
    <x v="7"/>
    <n v="11200001662"/>
    <s v="Excavator (Liebherr 996)*Excavator (996)*Uppercarriage*Uppercarriage*CONTROL VALVE INSTAL 3*FIXING PARTS*CONTROL VALVE*Pressure Reg Valve"/>
    <x v="8"/>
    <s v="Y"/>
    <n v="2"/>
    <s v="Pressure Reg Valve"/>
    <s v="Excavator (Liebherr 996)*Excavator (996)*Uppercarriage*Uppercarriage*CONTROL VALVE INSTAL 3*FIXING PARTS*CONTROL VALVE*Pressure Reg Valve"/>
    <n v="3"/>
    <s v="5614370"/>
    <s v="LIEBHERR"/>
    <n v="1"/>
  </r>
  <r>
    <s v="0120"/>
    <x v="7"/>
    <n v="11200001790"/>
    <s v="Excavator (Liebherr 996)*Excavator (996)*Uppercarriage*Uppercarriage*CONTROL VALVE INSTAL 3*FIXING PARTS*OIL PILOT VALVE POWER*OIL PILOT VALVE*Valve"/>
    <x v="8"/>
    <s v="Y"/>
    <n v="1"/>
    <s v="Valve"/>
    <s v="Excavator (Liebherr 996)*Excavator (996)*Uppercarriage*Uppercarriage*CONTROL VALVE INSTAL 3*FIXING PARTS*OIL PILOT VALVE POWER*OIL PILOT VALVE*Valve"/>
    <n v="1"/>
    <s v="5613815"/>
    <s v="LIEBHERR"/>
    <n v="1"/>
  </r>
  <r>
    <s v="0120"/>
    <x v="7"/>
    <n v="11200001792"/>
    <s v="Excavator (Liebherr 996)*Excavator (996)*Uppercarriage*Uppercarriage*CONTROL VALVE INSTAL 3*FIXING PARTS*OIL PILOT VALVE POWER*OIL PILOT VALVE*Valve"/>
    <x v="8"/>
    <s v="Y"/>
    <n v="1"/>
    <s v="Valve"/>
    <s v="Excavator (Liebherr 996)*Excavator (996)*Uppercarriage*Uppercarriage*CONTROL VALVE INSTAL 3*FIXING PARTS*OIL PILOT VALVE POWER*OIL PILOT VALVE*Valve"/>
    <n v="1"/>
    <s v="5613814"/>
    <s v="LIEBHERR"/>
    <n v="1"/>
  </r>
  <r>
    <s v="0120"/>
    <x v="7"/>
    <n v="11200001815"/>
    <s v="Excavator (Liebherr 996)*Excavator (996)*Uppercarriage*Uppercarriage*CONTROL VALVE INSTAL 3*FIXING PARTS*SERVO UNIT POWER*CONTROL PLATE*VALVE*SEAL KIT"/>
    <x v="8"/>
    <s v="Y"/>
    <n v="2"/>
    <s v="SEAL KIT"/>
    <s v="Excavator (Liebherr 996)*Excavator (996)*Uppercarriage*Uppercarriage*CONTROL VALVE INSTAL 3*FIXING PARTS*SERVO UNIT POWER*CONTROL PLATE*VALVE*SEAL KIT"/>
    <n v="6"/>
    <s v="7020042"/>
    <s v="LIEBHERR"/>
    <n v="1"/>
  </r>
  <r>
    <s v="0120"/>
    <x v="7"/>
    <n v="11200001947"/>
    <s v="Hydraulic System*Hytop System*Main Power Unit*Single Lever Switch"/>
    <x v="87"/>
    <s v="Y"/>
    <n v="1"/>
    <s v="Single Lever Switch"/>
    <s v="Hydraulic System*Hytop System*Main Power Unit*Single Lever Switch"/>
    <n v="1"/>
    <s v="1.0600"/>
    <s v="HYTOP"/>
    <n v="1"/>
  </r>
  <r>
    <s v="0120"/>
    <x v="7"/>
    <n v="11200001948"/>
    <s v="Hydraulic System*Hytop System*Main Power Unit*Switch, Dual Level"/>
    <x v="87"/>
    <s v="Y"/>
    <n v="1"/>
    <s v="Switch, Dual Level"/>
    <s v="Hydraulic System*Hytop System*Main Power Unit*Switch, Dual Level"/>
    <n v="1"/>
    <s v="1.0610"/>
    <s v="HYTOP"/>
    <n v="1"/>
  </r>
  <r>
    <s v="0120"/>
    <x v="7"/>
    <n v="11200001950"/>
    <s v="Hydraulic System*Hytop System*Main Power Unit*Sequence Valve"/>
    <x v="87"/>
    <s v="Y"/>
    <n v="1"/>
    <s v="Sequence Valve"/>
    <s v="Hydraulic System*Hytop System*Main Power Unit*Sequence Valve"/>
    <n v="0"/>
    <s v="1.0710"/>
    <s v="HYTOP"/>
    <n v="1"/>
  </r>
  <r>
    <s v="0120"/>
    <x v="7"/>
    <n v="11200001951"/>
    <s v="Hydraulic System*Hytop System*Main Power Unit*Valve, Non Return"/>
    <x v="87"/>
    <s v="Y"/>
    <n v="1"/>
    <s v="Valve, Non Return"/>
    <s v="Hydraulic System*Hytop System*Main Power Unit*Valve, Non Return"/>
    <n v="1"/>
    <s v="1.0720"/>
    <s v="HYTOP"/>
    <n v="1"/>
  </r>
  <r>
    <s v="0120"/>
    <x v="7"/>
    <n v="11200001958"/>
    <s v="Hydraulic System*Hytop System*Main Power Unit*Coupling, Flexible"/>
    <x v="87"/>
    <s v="Y"/>
    <n v="1"/>
    <s v="Coupling, Flexible"/>
    <s v="Hydraulic System*Hytop System*Main Power Unit*Coupling, Flexible"/>
    <n v="1"/>
    <s v="1.2200"/>
    <s v="HYTOP"/>
    <n v="1"/>
  </r>
  <r>
    <s v="0120"/>
    <x v="7"/>
    <n v="11200001962"/>
    <s v="Hydraulic System*Hytop System*Main Power Unit*Valve, Bypass"/>
    <x v="87"/>
    <s v="Y"/>
    <n v="1"/>
    <s v="Valve, Bypass"/>
    <s v="Hydraulic System*Hytop System*Main Power Unit*Valve, Bypass"/>
    <n v="1"/>
    <s v="1.2600"/>
    <s v="HYTOP"/>
    <n v="1"/>
  </r>
  <r>
    <s v="0120"/>
    <x v="7"/>
    <n v="11200001963"/>
    <s v="Hydraulic System*Hytop System*Main Power Unit*Valve, Non Return"/>
    <x v="87"/>
    <s v="Y"/>
    <n v="1"/>
    <s v="Valve, Non Return"/>
    <s v="Hydraulic System*Hytop System*Main Power Unit*Valve, Non Return"/>
    <n v="1"/>
    <s v="1.2700"/>
    <s v="HYTOP"/>
    <n v="1"/>
  </r>
  <r>
    <s v="0120"/>
    <x v="7"/>
    <n v="11200001964"/>
    <s v="Hydraulic System*Hytop System*Main Power Unit*Pump, Gear"/>
    <x v="87"/>
    <s v="Y"/>
    <n v="1"/>
    <s v="Pump, Gear"/>
    <s v="Hydraulic System*Hytop System*Main Power Unit*Pump, Gear"/>
    <n v="0"/>
    <s v="GP2B16-5-R00-B100"/>
    <s v="DENISON"/>
    <n v="1"/>
  </r>
  <r>
    <s v="0120"/>
    <x v="7"/>
    <n v="11200001966"/>
    <s v="Hydraulic System*Hytop System*Main Power Unit*Coupling, Flexible"/>
    <x v="87"/>
    <s v="Y"/>
    <n v="1"/>
    <s v="Coupling, Flexible"/>
    <s v="Hydraulic System*Hytop System*Main Power Unit*Coupling, Flexible"/>
    <n v="1"/>
    <s v="1.5020"/>
    <s v="HYTOP"/>
    <n v="1"/>
  </r>
  <r>
    <s v="0120"/>
    <x v="7"/>
    <n v="11200001968"/>
    <s v="Hydraulic System*Hytop System*Main Power Unit*Pressure Relief Valve"/>
    <x v="87"/>
    <s v="Y"/>
    <n v="1"/>
    <s v="Pressure Relief Valve"/>
    <s v="Hydraulic System*Hytop System*Main Power Unit*Pressure Relief Valve"/>
    <n v="0"/>
    <s v="1.5200"/>
    <s v="HYTOP"/>
    <n v="1"/>
  </r>
  <r>
    <s v="0120"/>
    <x v="7"/>
    <n v="11200001970"/>
    <s v="Hydraulic System*Hytop System*Main Power Unit*Valve, Non Return"/>
    <x v="87"/>
    <s v="Y"/>
    <n v="1"/>
    <s v="Valve, Non Return"/>
    <s v="Hydraulic System*Hytop System*Main Power Unit*Valve, Non Return"/>
    <n v="1"/>
    <s v="1.5220"/>
    <s v="HYTOP"/>
    <n v="1"/>
  </r>
  <r>
    <s v="0120"/>
    <x v="7"/>
    <n v="11200001975"/>
    <s v="Hydraulic System*Hytop System*Main Power Unit*Coupling, Flexible"/>
    <x v="87"/>
    <s v="Y"/>
    <n v="1"/>
    <s v="Coupling, Flexible"/>
    <s v="Hydraulic System*Hytop System*Main Power Unit*Coupling, Flexible"/>
    <n v="1"/>
    <s v="1.5520"/>
    <s v="HYTOP"/>
    <n v="1"/>
  </r>
  <r>
    <s v="0120"/>
    <x v="7"/>
    <n v="11200001977"/>
    <s v="Hydraulic System*Hytop System*Main Power Unit*Pressure Relief Valve"/>
    <x v="87"/>
    <s v="Y"/>
    <n v="1"/>
    <s v="Pressure Relief Valve"/>
    <s v="Hydraulic System*Hytop System*Main Power Unit*Pressure Relief Valve"/>
    <n v="0"/>
    <s v="1.5560"/>
    <s v="HYTOP"/>
    <n v="1"/>
  </r>
  <r>
    <s v="0120"/>
    <x v="7"/>
    <n v="11200001978"/>
    <s v="Hydraulic System*Hytop System*Main Power Unit*Valve, Non Return"/>
    <x v="87"/>
    <s v="Y"/>
    <n v="1"/>
    <s v="Valve, Non Return"/>
    <s v="Hydraulic System*Hytop System*Main Power Unit*Valve, Non Return"/>
    <n v="1"/>
    <s v="1.5570"/>
    <s v="HYTOP"/>
    <n v="1"/>
  </r>
  <r>
    <s v="0120"/>
    <x v="7"/>
    <n v="11200001981"/>
    <s v="Hydraulic System*Hytop System*Main Power Unit*Valve, Non Return"/>
    <x v="87"/>
    <s v="Y"/>
    <n v="1"/>
    <s v="Valve, Non Return"/>
    <s v="Hydraulic System*Hytop System*Main Power Unit*Valve, Non Return"/>
    <n v="1"/>
    <s v="1.5610"/>
    <s v="HYTOP"/>
    <n v="1"/>
  </r>
  <r>
    <s v="0120"/>
    <x v="7"/>
    <n v="11200001983"/>
    <s v="Hydraulic System*Hytop System*Main Power Unit*Valve, Non Return"/>
    <x v="87"/>
    <s v="Y"/>
    <n v="1"/>
    <s v="Valve, Non Return"/>
    <s v="Hydraulic System*Hytop System*Main Power Unit*Valve, Non Return"/>
    <n v="1"/>
    <s v="1.5710"/>
    <s v="HYTOP"/>
    <n v="1"/>
  </r>
  <r>
    <s v="0120"/>
    <x v="7"/>
    <n v="11200001984"/>
    <s v="Hydraulic System*Hytop System*Main Power Unit*Valve, Non Return"/>
    <x v="87"/>
    <s v="Y"/>
    <n v="1"/>
    <s v="Valve, Non Return"/>
    <s v="Hydraulic System*Hytop System*Main Power Unit*Valve, Non Return"/>
    <n v="1"/>
    <s v="1.5720"/>
    <s v="HYTOP"/>
    <n v="1"/>
  </r>
  <r>
    <s v="0120"/>
    <x v="7"/>
    <n v="11200001985"/>
    <s v="Hydraulic System*Hytop System*Main Power Unit*Piston Pump"/>
    <x v="87"/>
    <s v="Y"/>
    <n v="1"/>
    <s v="Piston Pump"/>
    <s v="Hydraulic System*Hytop System*Main Power Unit*Piston Pump"/>
    <n v="1"/>
    <s v="P140-2RC1AC1000"/>
    <s v="DENISON"/>
    <n v="1"/>
  </r>
  <r>
    <s v="0120"/>
    <x v="7"/>
    <n v="11200001987"/>
    <s v="Hydraulic System*Hytop System*Main Power Unit*Coupling, Flexible"/>
    <x v="87"/>
    <s v="Y"/>
    <n v="1"/>
    <s v="Coupling, Flexible"/>
    <s v="Hydraulic System*Hytop System*Main Power Unit*Coupling, Flexible"/>
    <n v="1"/>
    <s v="1.6020"/>
    <s v="HYTOP"/>
    <n v="1"/>
  </r>
  <r>
    <s v="0120"/>
    <x v="7"/>
    <n v="11200001990"/>
    <s v="Hydraulic System*Hytop System*Main Power Unit*Switch, Daul Lever"/>
    <x v="87"/>
    <s v="Y"/>
    <n v="1"/>
    <s v="Switch, Daul Lever"/>
    <s v="Hydraulic System*Hytop System*Main Power Unit*Switch, Daul Lever"/>
    <n v="1"/>
    <s v="1.6200"/>
    <s v="HYTOP"/>
    <n v="1"/>
  </r>
  <r>
    <s v="0120"/>
    <x v="7"/>
    <n v="11200001992"/>
    <s v="Hydraulic System*Hytop System*Main Power Unit*Valve, Directional Control"/>
    <x v="87"/>
    <s v="Y"/>
    <n v="1"/>
    <s v="Valve, Directional Control"/>
    <s v="Hydraulic System*Hytop System*Main Power Unit*Valve, Directional Control"/>
    <n v="1"/>
    <s v="4D01-3-2-07030-B1"/>
    <s v="DENISON"/>
    <n v="1"/>
  </r>
  <r>
    <s v="0120"/>
    <x v="7"/>
    <n v="11200001993"/>
    <s v="Hydraulic System*Hytop System*Main Power Unit*Pressure Relief Valve"/>
    <x v="87"/>
    <s v="Y"/>
    <n v="1"/>
    <s v="Pressure Relief Valve"/>
    <s v="Hydraulic System*Hytop System*Main Power Unit*Pressure Relief Valve"/>
    <n v="1"/>
    <s v="1.6220"/>
    <s v="HYTOP"/>
    <n v="1"/>
  </r>
  <r>
    <s v="0120"/>
    <x v="7"/>
    <n v="11200001994"/>
    <s v="Hydraulic System*Hytop System*Main Power Unit*Pressure Relief Valve"/>
    <x v="87"/>
    <s v="Y"/>
    <n v="1"/>
    <s v="Pressure Relief Valve"/>
    <s v="Hydraulic System*Hytop System*Main Power Unit*Pressure Relief Valve"/>
    <n v="1"/>
    <s v="1.6230"/>
    <s v="HYTOP"/>
    <n v="1"/>
  </r>
  <r>
    <s v="0120"/>
    <x v="7"/>
    <n v="11200002003"/>
    <s v="Hydraulic System*Hytop System*Main Power Unit*Pressure Transmitter"/>
    <x v="87"/>
    <s v="Y"/>
    <n v="1"/>
    <s v="Pressure Transmitter"/>
    <s v="Hydraulic System*Hytop System*Main Power Unit*Pressure Transmitter"/>
    <n v="1"/>
    <s v="2.1100"/>
    <s v="HYTOP"/>
    <n v="1"/>
  </r>
  <r>
    <s v="0120"/>
    <x v="7"/>
    <n v="11200002004"/>
    <s v="Hydraulic System*Hytop System*Main Power Unit*Valve, Non Return"/>
    <x v="87"/>
    <s v="Y"/>
    <n v="1"/>
    <s v="Valve, Non Return"/>
    <s v="Hydraulic System*Hytop System*Main Power Unit*Valve, Non Return"/>
    <n v="1"/>
    <s v="2.1200"/>
    <s v="HYTOP"/>
    <n v="1"/>
  </r>
  <r>
    <s v="0120"/>
    <x v="7"/>
    <n v="11200002005"/>
    <s v="Hydraulic System*Hytop System*Main Power Unit*Valve, Non Return"/>
    <x v="87"/>
    <s v="Y"/>
    <n v="1"/>
    <s v="Valve, Non Return"/>
    <s v="Hydraulic System*Hytop System*Main Power Unit*Valve, Non Return"/>
    <n v="1"/>
    <s v="2.1300"/>
    <s v="HYTOP"/>
    <n v="1"/>
  </r>
  <r>
    <s v="0120"/>
    <x v="7"/>
    <n v="11200002007"/>
    <s v="Hydraulic System*Hytop System*Main Power Unit*Pressure Relief Valve"/>
    <x v="87"/>
    <s v="Y"/>
    <n v="1"/>
    <s v="Pressure Relief Valve"/>
    <s v="Hydraulic System*Hytop System*Main Power Unit*Pressure Relief Valve"/>
    <n v="1"/>
    <s v="2.2200"/>
    <s v="HYTOP"/>
    <n v="1"/>
  </r>
  <r>
    <s v="0120"/>
    <x v="7"/>
    <n v="11200002008"/>
    <s v="Hydraulic System*Hytop System*Main Power Unit*Pressure Relief Valve"/>
    <x v="87"/>
    <s v="Y"/>
    <n v="1"/>
    <s v="Pressure Relief Valve"/>
    <s v="Hydraulic System*Hytop System*Main Power Unit*Pressure Relief Valve"/>
    <n v="0"/>
    <s v="2.3000"/>
    <s v="HYTOP"/>
    <n v="1"/>
  </r>
  <r>
    <s v="0120"/>
    <x v="7"/>
    <n v="11200002009"/>
    <s v="Hydraulic System*Hytop System*Main Power Unit*Valve, Non Return"/>
    <x v="87"/>
    <s v="Y"/>
    <n v="1"/>
    <s v="Valve, Non Return"/>
    <s v="Hydraulic System*Hytop System*Main Power Unit*Valve, Non Return"/>
    <n v="1"/>
    <s v="2.4000"/>
    <s v="HYTOP"/>
    <n v="1"/>
  </r>
  <r>
    <s v="0120"/>
    <x v="7"/>
    <n v="11200002011"/>
    <s v="Hydraulic System*Hytop System*Main Power Unit*Valve, Non Return"/>
    <x v="87"/>
    <s v="Y"/>
    <n v="1"/>
    <s v="Valve, Non Return"/>
    <s v="Hydraulic System*Hytop System*Main Power Unit*Valve, Non Return"/>
    <n v="1"/>
    <s v="2.1520"/>
    <s v="HYTOP"/>
    <n v="1"/>
  </r>
  <r>
    <s v="0120"/>
    <x v="7"/>
    <n v="11200002012"/>
    <s v="Hydraulic System*Hytop System*Main Power Unit*Valve, Non Return"/>
    <x v="87"/>
    <s v="Y"/>
    <n v="1"/>
    <s v="Valve, Non Return"/>
    <s v="Hydraulic System*Hytop System*Main Power Unit*Valve, Non Return"/>
    <n v="1"/>
    <s v="2.5450"/>
    <s v="HYTOP"/>
    <n v="1"/>
  </r>
  <r>
    <s v="0120"/>
    <x v="7"/>
    <n v="11200002015"/>
    <s v="Hydraulic System*Hytop System*Main Power Unit*Coupling, Flexible"/>
    <x v="87"/>
    <s v="Y"/>
    <n v="1"/>
    <s v="Coupling, Flexible"/>
    <s v="Hydraulic System*Hytop System*Main Power Unit*Coupling, Flexible"/>
    <n v="5"/>
    <s v="2.8020"/>
    <s v="HYTOP"/>
    <n v="1"/>
  </r>
  <r>
    <s v="0120"/>
    <x v="7"/>
    <n v="11200002016"/>
    <s v="Hydraulic System*Hytop System*Main Power Unit*Piston Pump"/>
    <x v="87"/>
    <s v="Y"/>
    <n v="1"/>
    <s v="Piston Pump"/>
    <s v="Hydraulic System*Hytop System*Main Power Unit*Piston Pump"/>
    <n v="1"/>
    <s v="P140-2R1AC1000"/>
    <s v="DENISON"/>
    <n v="1"/>
  </r>
  <r>
    <s v="0120"/>
    <x v="7"/>
    <n v="11200002020"/>
    <s v="Hydraulic System*Hytop System*Main Power Unit*Valve, Directional Control"/>
    <x v="87"/>
    <s v="Y"/>
    <n v="1"/>
    <s v="Valve, Directional Control"/>
    <s v="Hydraulic System*Hytop System*Main Power Unit*Valve, Directional Control"/>
    <n v="1"/>
    <s v="4D01-3-1-070601-B1"/>
    <s v="DENISON"/>
    <n v="1"/>
  </r>
  <r>
    <s v="0120"/>
    <x v="7"/>
    <n v="11200002021"/>
    <s v="Hydraulic System*Hytop System*Main Power Unit*Valve, Directional Control"/>
    <x v="87"/>
    <s v="Y"/>
    <n v="1"/>
    <s v="Valve, Directional Control"/>
    <s v="Hydraulic System*Hytop System*Main Power Unit*Valve, Directional Control"/>
    <n v="1"/>
    <s v="4D01-3-2-070302-B1"/>
    <s v="DENISON"/>
    <n v="1"/>
  </r>
  <r>
    <s v="0120"/>
    <x v="7"/>
    <n v="11200002022"/>
    <s v="Hydraulic System*Hytop System*Main Power Unit*Pressure Relief Valve"/>
    <x v="87"/>
    <s v="Y"/>
    <n v="1"/>
    <s v="Pressure Relief Valve"/>
    <s v="Hydraulic System*Hytop System*Main Power Unit*Pressure Relief Valve"/>
    <n v="1"/>
    <s v="2.8090"/>
    <s v="HYTOP"/>
    <n v="1"/>
  </r>
  <r>
    <s v="0120"/>
    <x v="7"/>
    <n v="11200002023"/>
    <s v="Hydraulic System*Hytop System*Main Power Unit*Pressure Relief Valve"/>
    <x v="87"/>
    <s v="Y"/>
    <n v="1"/>
    <s v="Pressure Relief Valve"/>
    <s v="Hydraulic System*Hytop System*Main Power Unit*Pressure Relief Valve"/>
    <n v="1"/>
    <s v="2.8100"/>
    <s v="HYTOP"/>
    <n v="1"/>
  </r>
  <r>
    <s v="0120"/>
    <x v="7"/>
    <n v="11200002024"/>
    <s v="Hydraulic System*Hytop System*Main Power Unit*Pressure Relief Valve"/>
    <x v="87"/>
    <s v="Y"/>
    <n v="1"/>
    <s v="Pressure Relief Valve"/>
    <s v="Hydraulic System*Hytop System*Main Power Unit*Pressure Relief Valve"/>
    <n v="0"/>
    <s v="2.8110"/>
    <s v="HYTOP"/>
    <n v="1"/>
  </r>
  <r>
    <s v="0120"/>
    <x v="7"/>
    <n v="11200002027"/>
    <s v="Hydraulic System*Hytop System*Main Power Unit*Valve, Directional Control"/>
    <x v="87"/>
    <s v="Y"/>
    <n v="1"/>
    <s v="Valve, Directional Control"/>
    <s v="Hydraulic System*Hytop System*Main Power Unit*Valve, Directional Control"/>
    <n v="2"/>
    <s v="3.1210"/>
    <s v="HYTOP"/>
    <n v="1"/>
  </r>
  <r>
    <s v="0120"/>
    <x v="7"/>
    <n v="11200002031"/>
    <s v="Hydraulic System*Hytop System*Main Power Unit*Pressure Switch"/>
    <x v="87"/>
    <s v="Y"/>
    <n v="1"/>
    <s v="Pressure Switch"/>
    <s v="Hydraulic System*Hytop System*Main Power Unit*Pressure Switch"/>
    <n v="1"/>
    <s v="3.4010"/>
    <s v="HYTOP"/>
    <n v="1"/>
  </r>
  <r>
    <s v="0120"/>
    <x v="7"/>
    <n v="11200002033"/>
    <s v="Hydraulic System*Hytop System*Main Power Unit*Valve, Non Return"/>
    <x v="87"/>
    <s v="Y"/>
    <n v="1"/>
    <s v="Valve, Non Return"/>
    <s v="Hydraulic System*Hytop System*Main Power Unit*Valve, Non Return"/>
    <n v="1"/>
    <s v="3.4200"/>
    <s v="HYTOP"/>
    <n v="1"/>
  </r>
  <r>
    <s v="0120"/>
    <x v="7"/>
    <n v="11200002034"/>
    <s v="Hydraulic System*Hytop System*Main Power Unit*Pump, Gear"/>
    <x v="87"/>
    <s v="Y"/>
    <n v="1"/>
    <s v="Pump, Gear"/>
    <s v="Hydraulic System*Hytop System*Main Power Unit*Pump, Gear"/>
    <n v="0"/>
    <s v="GP32A-7010-2R02-B1"/>
    <s v="DENISON"/>
    <n v="1"/>
  </r>
  <r>
    <s v="0120"/>
    <x v="7"/>
    <n v="11200002036"/>
    <s v="Hydraulic System*Hytop System*Main Power Unit*Coupling, Flexible"/>
    <x v="87"/>
    <s v="Y"/>
    <n v="1"/>
    <s v="Coupling, Flexible"/>
    <s v="Hydraulic System*Hytop System*Main Power Unit*Coupling, Flexible"/>
    <n v="1"/>
    <s v="3.5020"/>
    <s v="HYTOP"/>
    <n v="1"/>
  </r>
  <r>
    <s v="0120"/>
    <x v="7"/>
    <n v="11200002039"/>
    <s v="Hydraulic System*Hytop System*Main Power Unit*Pressure Relief Valve"/>
    <x v="87"/>
    <s v="Y"/>
    <n v="1"/>
    <s v="Pressure Relief Valve"/>
    <s v="Hydraulic System*Hytop System*Main Power Unit*Pressure Relief Valve"/>
    <n v="1"/>
    <s v="3.5200"/>
    <s v="HYTOP"/>
    <n v="1"/>
  </r>
  <r>
    <s v="0120"/>
    <x v="7"/>
    <n v="11200002041"/>
    <s v="Hydraulic System*Hytop System*Main Power Unit*Single Lever Switch"/>
    <x v="87"/>
    <s v="Y"/>
    <n v="1"/>
    <s v="Single Lever Switch"/>
    <s v="Hydraulic System*Hytop System*Main Power Unit*Single Lever Switch"/>
    <n v="1"/>
    <s v="3.5400"/>
    <s v="HYTOP"/>
    <n v="1"/>
  </r>
  <r>
    <s v="0120"/>
    <x v="7"/>
    <n v="11200002042"/>
    <s v="Hydraulic System*Hytop System*Main Power Unit*Switch, Dual Lever"/>
    <x v="87"/>
    <s v="Y"/>
    <n v="1"/>
    <s v="Switch, Dual Lever"/>
    <s v="Hydraulic System*Hytop System*Main Power Unit*Switch, Dual Lever"/>
    <n v="1"/>
    <s v="3.5410"/>
    <s v="HYTOP"/>
    <n v="1"/>
  </r>
  <r>
    <s v="0120"/>
    <x v="7"/>
    <n v="11200002046"/>
    <s v="Hydraulic System*Hytop System*Main Power Unit*Valve, Directional Control"/>
    <x v="87"/>
    <s v="Y"/>
    <n v="1"/>
    <s v="Valve, Directional Control"/>
    <s v="Hydraulic System*Hytop System*Main Power Unit*Valve, Directional Control"/>
    <n v="1"/>
    <s v="4D01-3-1-510201-B1"/>
    <s v="DENISON"/>
    <n v="1"/>
  </r>
  <r>
    <s v="0120"/>
    <x v="7"/>
    <n v="11200002047"/>
    <s v="Hydraulic System*Hytop System*Main Power Unit*Pressure Relief Cartridge"/>
    <x v="87"/>
    <s v="Y"/>
    <n v="1"/>
    <s v="Pressure Relief Cartridge"/>
    <s v="Hydraulic System*Hytop System*Main Power Unit*Pressure Relief Cartridge"/>
    <n v="1"/>
    <s v="C1D16-01-4-A1"/>
    <s v="DENISON"/>
    <n v="1"/>
  </r>
  <r>
    <s v="0120"/>
    <x v="7"/>
    <n v="11200002049"/>
    <s v="Hydraulic System*Hytop System*Main Power Unit*Pressure Relief Cartridge"/>
    <x v="87"/>
    <s v="Y"/>
    <n v="1"/>
    <s v="Pressure Relief Cartridge"/>
    <s v="Hydraulic System*Hytop System*Main Power Unit*Pressure Relief Cartridge"/>
    <n v="1"/>
    <s v="C1D16-01-4-A1"/>
    <s v="DENISON"/>
    <n v="1"/>
  </r>
  <r>
    <s v="0120"/>
    <x v="7"/>
    <n v="11200002051"/>
    <s v="Hydraulic System*Hytop System*Main Power Unit*Orifice"/>
    <x v="87"/>
    <s v="Y"/>
    <n v="1"/>
    <s v="Orifice"/>
    <s v="Hydraulic System*Hytop System*Main Power Unit*Orifice"/>
    <n v="1"/>
    <s v="4.0240"/>
    <s v="HYTOP"/>
    <n v="1"/>
  </r>
  <r>
    <s v="0120"/>
    <x v="7"/>
    <n v="11200002052"/>
    <s v="Hydraulic System*Hytop System*Main Power Unit*Pressure Relief Valve"/>
    <x v="87"/>
    <s v="Y"/>
    <n v="1"/>
    <s v="Pressure Relief Valve"/>
    <s v="Hydraulic System*Hytop System*Main Power Unit*Pressure Relief Valve"/>
    <n v="2"/>
    <s v="ZDV-P01-5-SO-D1"/>
    <s v="DENISON"/>
    <n v="1"/>
  </r>
  <r>
    <s v="0120"/>
    <x v="7"/>
    <n v="11200002054"/>
    <s v="Hydraulic System*Hytop System*Main Power Unit*Valve, Non Return"/>
    <x v="87"/>
    <s v="Y"/>
    <n v="1"/>
    <s v="Valve, Non Return"/>
    <s v="Hydraulic System*Hytop System*Main Power Unit*Valve, Non Return"/>
    <n v="1"/>
    <s v="CE050C08T00N"/>
    <s v="DENISON"/>
    <n v="1"/>
  </r>
  <r>
    <s v="0120"/>
    <x v="7"/>
    <n v="11200002056"/>
    <s v="Hydraulic System*Hytop System*Main Power Unit*Valve, Non Return"/>
    <x v="87"/>
    <s v="Y"/>
    <n v="1"/>
    <s v="Valve, Non Return"/>
    <s v="Hydraulic System*Hytop System*Main Power Unit*Valve, Non Return"/>
    <n v="1"/>
    <s v="CE050C08T00N"/>
    <s v="DENISON"/>
    <n v="1"/>
  </r>
  <r>
    <s v="0120"/>
    <x v="7"/>
    <n v="11200002058"/>
    <s v="Hydraulic System*Hytop System*Main Power Unit*Valve, Cartridge"/>
    <x v="87"/>
    <s v="Y"/>
    <n v="1"/>
    <s v="Valve, Cartridge"/>
    <s v="Hydraulic System*Hytop System*Main Power Unit*Valve, Cartridge"/>
    <n v="0"/>
    <s v="C1D08-12-4-A1"/>
    <s v="DENISON"/>
    <n v="1"/>
  </r>
  <r>
    <s v="0120"/>
    <x v="7"/>
    <n v="11200002060"/>
    <s v="Hydraulic System*Hytop System*Main Power Unit*Shuttle Valve"/>
    <x v="87"/>
    <s v="Y"/>
    <n v="1"/>
    <s v="Shuttle Valve"/>
    <s v="Hydraulic System*Hytop System*Main Power Unit*Shuttle Valve"/>
    <n v="3"/>
    <s v="4.0400"/>
    <s v="HYTOP"/>
    <n v="1"/>
  </r>
  <r>
    <s v="0120"/>
    <x v="7"/>
    <n v="11200002061"/>
    <s v="Hydraulic System*Hytop System*Main Power Unit*Shuttle Valve"/>
    <x v="87"/>
    <s v="Y"/>
    <n v="1"/>
    <s v="Shuttle Valve"/>
    <s v="Hydraulic System*Hytop System*Main Power Unit*Shuttle Valve"/>
    <n v="1"/>
    <s v="4.0410"/>
    <s v="HYTOP"/>
    <n v="1"/>
  </r>
  <r>
    <s v="0120"/>
    <x v="7"/>
    <n v="11200002062"/>
    <s v="Hydraulic System*Hytop System*Main Power Unit*Valve, Non Return"/>
    <x v="87"/>
    <s v="Y"/>
    <n v="1"/>
    <s v="Valve, Non Return"/>
    <s v="Hydraulic System*Hytop System*Main Power Unit*Valve, Non Return"/>
    <n v="1"/>
    <s v="CE050C01T00N"/>
    <s v="DENISON"/>
    <n v="1"/>
  </r>
  <r>
    <s v="0120"/>
    <x v="7"/>
    <n v="11200002064"/>
    <s v="Hydraulic System*Hytop System*Main Power Unit*Valve, Non Return"/>
    <x v="87"/>
    <s v="Y"/>
    <n v="1"/>
    <s v="Valve, Non Return"/>
    <s v="Hydraulic System*Hytop System*Main Power Unit*Valve, Non Return"/>
    <n v="1"/>
    <s v="CE050C01T00N"/>
    <s v="DENISON"/>
    <n v="1"/>
  </r>
  <r>
    <s v="0120"/>
    <x v="7"/>
    <n v="11200002066"/>
    <s v="Hydraulic System*Hytop System*Main Power Unit*Valve, Cartridge"/>
    <x v="87"/>
    <s v="Y"/>
    <n v="1"/>
    <s v="Valve, Cartridge"/>
    <s v="Hydraulic System*Hytop System*Main Power Unit*Valve, Cartridge"/>
    <n v="1"/>
    <s v="C1D08-02-4-A1"/>
    <s v="DENISON"/>
    <n v="1"/>
  </r>
  <r>
    <s v="0120"/>
    <x v="7"/>
    <n v="11200002068"/>
    <s v="Hydraulic System*Hytop System*Main Power Unit*Pressure Switch"/>
    <x v="87"/>
    <s v="Y"/>
    <n v="1"/>
    <s v="Pressure Switch"/>
    <s v="Hydraulic System*Hytop System*Main Power Unit*Pressure Switch"/>
    <n v="1"/>
    <s v="4.0600"/>
    <s v="HYTOP"/>
    <n v="1"/>
  </r>
  <r>
    <s v="0120"/>
    <x v="7"/>
    <n v="11200002071"/>
    <s v="Hydraulic System*Hytop System*Main Power Unit*Control, Hydr. Prop"/>
    <x v="87"/>
    <s v="Y"/>
    <n v="1"/>
    <s v="Control, Hydr. Prop"/>
    <s v="Hydraulic System*Hytop System*Main Power Unit*Control, Hydr. Prop"/>
    <n v="1"/>
    <s v="D99FFE22FC2N"/>
    <s v="DENISON"/>
    <n v="1"/>
  </r>
  <r>
    <s v="0120"/>
    <x v="7"/>
    <n v="11200002074"/>
    <s v="Hydraulic System*Hytop System*Main Power Unit*Shuttle Valve"/>
    <x v="87"/>
    <s v="Y"/>
    <n v="1"/>
    <s v="Shuttle Valve"/>
    <s v="Hydraulic System*Hytop System*Main Power Unit*Shuttle Valve"/>
    <n v="1"/>
    <s v="5.0030"/>
    <s v="HYTOP"/>
    <n v="1"/>
  </r>
  <r>
    <s v="0120"/>
    <x v="7"/>
    <n v="11200002075"/>
    <s v="Hydraulic System*Hytop System*Main Power Unit*Pressure Reducing Valve"/>
    <x v="87"/>
    <s v="Y"/>
    <n v="1"/>
    <s v="Pressure Reducing Valve"/>
    <s v="Hydraulic System*Hytop System*Main Power Unit*Pressure Reducing Valve"/>
    <n v="1"/>
    <s v="5.0040"/>
    <s v="HYTOP"/>
    <n v="1"/>
  </r>
  <r>
    <s v="0120"/>
    <x v="7"/>
    <n v="11200002077"/>
    <s v="Hydraulic System*Hytop System*Main Power Unit*Valve, Elec. Prop Control"/>
    <x v="87"/>
    <s v="Y"/>
    <n v="1"/>
    <s v="Valve, Elec. Prop Control"/>
    <s v="Hydraulic System*Hytop System*Main Power Unit*Valve, Elec. Prop Control"/>
    <n v="2"/>
    <s v="3DP06-E-02-Q1-A3-G24"/>
    <s v="DENISON"/>
    <n v="1"/>
  </r>
  <r>
    <s v="0120"/>
    <x v="7"/>
    <n v="11200002078"/>
    <s v="Hydraulic System*Hytop System*Main Power Unit*Card, Elec. Print"/>
    <x v="87"/>
    <s v="Y"/>
    <n v="1"/>
    <s v="Card, Elec. Print"/>
    <s v="Hydraulic System*Hytop System*Main Power Unit*Card, Elec. Print"/>
    <n v="1"/>
    <s v="NR-701-00154-8"/>
    <s v="DENISON"/>
    <n v="1"/>
  </r>
  <r>
    <s v="0120"/>
    <x v="7"/>
    <n v="11200002081"/>
    <s v="Hydraulic System*Hytop System*Main Power Unit*Valve, Directional Control"/>
    <x v="87"/>
    <s v="Y"/>
    <n v="1"/>
    <s v="Valve, Directional Control"/>
    <s v="Hydraulic System*Hytop System*Main Power Unit*Valve, Directional Control"/>
    <n v="1"/>
    <s v="4D01-3-1-510101-B1"/>
    <s v="DENISON"/>
    <n v="1"/>
  </r>
  <r>
    <s v="0120"/>
    <x v="7"/>
    <n v="11200002082"/>
    <s v="Hydraulic System*Hytop System*Main Power Unit*Pressure Reducing Valve"/>
    <x v="87"/>
    <s v="Y"/>
    <n v="1"/>
    <s v="Pressure Reducing Valve"/>
    <s v="Hydraulic System*Hytop System*Main Power Unit*Pressure Reducing Valve"/>
    <n v="0"/>
    <s v="5.0080"/>
    <s v="HYTOP"/>
    <n v="1"/>
  </r>
  <r>
    <s v="0120"/>
    <x v="7"/>
    <n v="11200002083"/>
    <s v="Hydraulic System*Hytop System*Main Power Unit*Pressure Reducing Valve"/>
    <x v="87"/>
    <s v="Y"/>
    <n v="1"/>
    <s v="Pressure Reducing Valve"/>
    <s v="Hydraulic System*Hytop System*Main Power Unit*Pressure Reducing Valve"/>
    <n v="0"/>
    <s v="5.0051"/>
    <s v="HYTOP"/>
    <n v="1"/>
  </r>
  <r>
    <s v="0120"/>
    <x v="7"/>
    <n v="11200002085"/>
    <s v="Hydraulic System*Hytop System*Main Power Unit*Shuttle Valve"/>
    <x v="87"/>
    <s v="Y"/>
    <n v="1"/>
    <s v="Shuttle Valve"/>
    <s v="Hydraulic System*Hytop System*Main Power Unit*Shuttle Valve"/>
    <n v="1"/>
    <s v="5.0100"/>
    <s v="HYTOP"/>
    <n v="1"/>
  </r>
  <r>
    <s v="0120"/>
    <x v="7"/>
    <n v="11200002086"/>
    <s v="Hydraulic System*Hytop System*Main Power Unit*Sequence Valve Cartridge"/>
    <x v="87"/>
    <s v="Y"/>
    <n v="1"/>
    <s v="Sequence Valve Cartridge"/>
    <s v="Hydraulic System*Hytop System*Main Power Unit*Sequence Valve Cartridge"/>
    <n v="6"/>
    <s v="CE050C01TOOV"/>
    <s v="Hydradyne Hydraulics"/>
    <n v="1"/>
  </r>
  <r>
    <s v="0120"/>
    <x v="7"/>
    <n v="11200002088"/>
    <s v="Hydraulic System*Hytop System*Main Power Unit*Valve, Non Return"/>
    <x v="87"/>
    <s v="Y"/>
    <n v="1"/>
    <s v="Valve, Non Return"/>
    <s v="Hydraulic System*Hytop System*Main Power Unit*Valve, Non Return"/>
    <n v="1"/>
    <s v="CE050C01T00N"/>
    <s v="DENISON"/>
    <n v="1"/>
  </r>
  <r>
    <s v="0120"/>
    <x v="7"/>
    <n v="11200002090"/>
    <s v="Hydraulic System*Hytop System*Main Power Unit*Pressure Relief Valve"/>
    <x v="87"/>
    <s v="Y"/>
    <n v="1"/>
    <s v="Pressure Relief Valve"/>
    <s v="Hydraulic System*Hytop System*Main Power Unit*Pressure Relief Valve"/>
    <n v="2"/>
    <s v="5.0140"/>
    <s v="HYTOP"/>
    <n v="1"/>
  </r>
  <r>
    <s v="0120"/>
    <x v="7"/>
    <n v="11200002092"/>
    <s v="Hydraulic System*Hytop System*Main Power Unit*Valve, Brake Release"/>
    <x v="87"/>
    <s v="Y"/>
    <n v="1"/>
    <s v="Valve, Brake Release"/>
    <s v="Hydraulic System*Hytop System*Main Power Unit*Valve, Brake Release"/>
    <n v="0"/>
    <s v="5.0150"/>
    <s v="HYTOP"/>
    <n v="1"/>
  </r>
  <r>
    <s v="0120"/>
    <x v="7"/>
    <n v="11200002093"/>
    <s v="Hydraulic System*Hytop System*Main Power Unit*Valve, Over Centre"/>
    <x v="87"/>
    <s v="Y"/>
    <n v="1"/>
    <s v="Valve, Over Centre"/>
    <s v="Hydraulic System*Hytop System*Main Power Unit*Valve, Over Centre"/>
    <n v="0"/>
    <s v="5.0160"/>
    <s v="HYTOP"/>
    <n v="1"/>
  </r>
  <r>
    <s v="0120"/>
    <x v="7"/>
    <n v="11200002094"/>
    <s v="Hydraulic System*Hytop System*Main Power Unit*Valve, Check"/>
    <x v="87"/>
    <s v="Y"/>
    <n v="1"/>
    <s v="Valve, Check"/>
    <s v="Hydraulic System*Hytop System*Main Power Unit*Valve, Check"/>
    <n v="6"/>
    <s v="5.0170"/>
    <s v="HYTOP"/>
    <n v="1"/>
  </r>
  <r>
    <s v="0120"/>
    <x v="7"/>
    <n v="11200002095"/>
    <s v="Hydraulic System*Hytop System*Main Power Unit*Regulator, Flow"/>
    <x v="87"/>
    <s v="Y"/>
    <n v="1"/>
    <s v="Regulator, Flow"/>
    <s v="Hydraulic System*Hytop System*Main Power Unit*Regulator, Flow"/>
    <n v="1"/>
    <s v="5.0180"/>
    <s v="HYTOP"/>
    <n v="1"/>
  </r>
  <r>
    <s v="0120"/>
    <x v="7"/>
    <n v="11200002096"/>
    <s v="Hydraulic System*Hytop System*Main Power Unit*Valve, Non Return"/>
    <x v="87"/>
    <s v="Y"/>
    <n v="1"/>
    <s v="Valve, Non Return"/>
    <s v="Hydraulic System*Hytop System*Main Power Unit*Valve, Non Return"/>
    <n v="4"/>
    <s v="5.0190"/>
    <s v="HYTOP"/>
    <n v="1"/>
  </r>
  <r>
    <s v="0120"/>
    <x v="7"/>
    <n v="11200002099"/>
    <s v="Hydraulic System*Hytop System*Main Power Unit*Valve, Non Return"/>
    <x v="87"/>
    <s v="Y"/>
    <n v="1"/>
    <s v="Valve, Non Return"/>
    <s v="Hydraulic System*Hytop System*Main Power Unit*Valve, Non Return"/>
    <n v="1"/>
    <s v="5.0220"/>
    <s v="HYTOP"/>
    <n v="1"/>
  </r>
  <r>
    <s v="0120"/>
    <x v="7"/>
    <n v="11200002102"/>
    <s v="Hydraulic System*Hytop System*Main Power Unit*Control, Hydr Prop"/>
    <x v="87"/>
    <s v="Y"/>
    <n v="1"/>
    <s v="Control, Hydr Prop"/>
    <s v="Hydraulic System*Hytop System*Main Power Unit*Control, Hydr Prop"/>
    <n v="1"/>
    <s v="D99FFE22FC2N"/>
    <s v="DENISON"/>
    <n v="1"/>
  </r>
  <r>
    <s v="0120"/>
    <x v="7"/>
    <n v="11200002105"/>
    <s v="Hydraulic System*Hytop System*Main Power Unit*Shuttle Valve"/>
    <x v="87"/>
    <s v="Y"/>
    <n v="1"/>
    <s v="Shuttle Valve"/>
    <s v="Hydraulic System*Hytop System*Main Power Unit*Shuttle Valve"/>
    <n v="1"/>
    <s v="6.0030"/>
    <s v="HYTOP"/>
    <n v="1"/>
  </r>
  <r>
    <s v="0120"/>
    <x v="7"/>
    <n v="11200002106"/>
    <s v="Hydraulic System*Hytop System*Main Power Unit*Pressure Reducing Valve"/>
    <x v="87"/>
    <s v="Y"/>
    <n v="1"/>
    <s v="Pressure Reducing Valve"/>
    <s v="Hydraulic System*Hytop System*Main Power Unit*Pressure Reducing Valve"/>
    <n v="0"/>
    <s v="6.0040"/>
    <s v="HYTOP"/>
    <n v="1"/>
  </r>
  <r>
    <s v="0120"/>
    <x v="7"/>
    <n v="11200002107"/>
    <s v="Hydraulic System*Hytop System*Main Power Unit*Control, Elec Prop"/>
    <x v="87"/>
    <s v="Y"/>
    <n v="1"/>
    <s v="Control, Elec Prop"/>
    <s v="Hydraulic System*Hytop System*Main Power Unit*Control, Elec Prop"/>
    <n v="1"/>
    <s v="6.0050"/>
    <s v="HYTOP"/>
    <n v="1"/>
  </r>
  <r>
    <s v="0120"/>
    <x v="7"/>
    <n v="11200002108"/>
    <s v="Hydraulic System*Hytop System*Main Power Unit*Card, Elec Print"/>
    <x v="87"/>
    <s v="Y"/>
    <n v="1"/>
    <s v="Card, Elec Print"/>
    <s v="Hydraulic System*Hytop System*Main Power Unit*Card, Elec Print"/>
    <n v="5"/>
    <s v="6.0051"/>
    <s v="HYTOP"/>
    <n v="1"/>
  </r>
  <r>
    <s v="0120"/>
    <x v="7"/>
    <n v="11200002111"/>
    <s v="Hydraulic System*Hytop System*Main Power Unit*Proportional Reducing Valve"/>
    <x v="87"/>
    <s v="Y"/>
    <n v="1"/>
    <s v="Proportional Reducing Valve"/>
    <s v="Hydraulic System*Hytop System*Main Power Unit*Proportional Reducing Valve"/>
    <n v="2"/>
    <s v="4RP01B16B1G24"/>
    <s v="DENISON"/>
    <n v="1"/>
  </r>
  <r>
    <s v="0120"/>
    <x v="7"/>
    <n v="11200002112"/>
    <s v="Hydraulic System*Hytop System*Main Power Unit*Regulator, Elec"/>
    <x v="87"/>
    <s v="Y"/>
    <n v="1"/>
    <s v="Regulator, Elec"/>
    <s v="Hydraulic System*Hytop System*Main Power Unit*Regulator, Elec"/>
    <n v="1"/>
    <s v="NR-701-00154-8"/>
    <s v="DENISON"/>
    <n v="1"/>
  </r>
  <r>
    <s v="0120"/>
    <x v="7"/>
    <n v="11200002113"/>
    <s v="Hydraulic System*Hytop System*Main Power Unit*Pressure Reducing Valve"/>
    <x v="87"/>
    <s v="Y"/>
    <n v="1"/>
    <s v="Pressure Reducing Valve"/>
    <s v="Hydraulic System*Hytop System*Main Power Unit*Pressure Reducing Valve"/>
    <n v="3"/>
    <s v="6.0080"/>
    <s v="HYTOP"/>
    <n v="1"/>
  </r>
  <r>
    <s v="0120"/>
    <x v="7"/>
    <n v="11200002114"/>
    <s v="Hydraulic System*Hytop System*Main Power Unit*Pressure Reducing Valve"/>
    <x v="87"/>
    <s v="Y"/>
    <n v="1"/>
    <s v="Pressure Reducing Valve"/>
    <s v="Hydraulic System*Hytop System*Main Power Unit*Pressure Reducing Valve"/>
    <n v="0"/>
    <s v="ZDP-P01-5-SO-D1"/>
    <s v="DENISON"/>
    <n v="1"/>
  </r>
  <r>
    <s v="0120"/>
    <x v="7"/>
    <n v="11200002115"/>
    <s v="Hydraulic System*Hytop System*Main Power Unit*Shuttle Valve"/>
    <x v="87"/>
    <s v="Y"/>
    <n v="1"/>
    <s v="Shuttle Valve"/>
    <s v="Hydraulic System*Hytop System*Main Power Unit*Shuttle Valve"/>
    <n v="8"/>
    <s v="6.0110"/>
    <s v="HYTOP"/>
    <n v="1"/>
  </r>
  <r>
    <s v="0120"/>
    <x v="7"/>
    <n v="11200002116"/>
    <s v="Hydraulic System*Hytop System*Main Power Unit*Sequence Valve Cartridge"/>
    <x v="87"/>
    <s v="Y"/>
    <n v="1"/>
    <s v="Sequence Valve Cartridge"/>
    <s v="Hydraulic System*Hytop System*Main Power Unit*Sequence Valve Cartridge"/>
    <n v="2"/>
    <s v="CE050C01T00N"/>
    <s v="DENISON"/>
    <n v="1"/>
  </r>
  <r>
    <s v="0120"/>
    <x v="7"/>
    <n v="11200002119"/>
    <s v="Hydraulic System*Hytop System*Main Power Unit*Valve, Non Return"/>
    <x v="87"/>
    <s v="Y"/>
    <n v="1"/>
    <s v="Valve, Non Return"/>
    <s v="Hydraulic System*Hytop System*Main Power Unit*Valve, Non Return"/>
    <n v="1"/>
    <s v="C1D16-01-4-A1"/>
    <s v="DENISON"/>
    <n v="1"/>
  </r>
  <r>
    <s v="0120"/>
    <x v="7"/>
    <n v="11200002121"/>
    <s v="Hydraulic System*Hytop System*Main Power Unit*Pressure Relief Valve"/>
    <x v="87"/>
    <s v="Y"/>
    <n v="1"/>
    <s v="Pressure Relief Valve"/>
    <s v="Hydraulic System*Hytop System*Main Power Unit*Pressure Relief Valve"/>
    <n v="0"/>
    <s v="6.0140"/>
    <s v="HYTOP"/>
    <n v="1"/>
  </r>
  <r>
    <s v="0120"/>
    <x v="7"/>
    <n v="11200002122"/>
    <s v="Hydraulic System*Hytop System*Main Power Unit*Valve, Brake Release"/>
    <x v="87"/>
    <s v="Y"/>
    <n v="1"/>
    <s v="Valve, Brake Release"/>
    <s v="Hydraulic System*Hytop System*Main Power Unit*Valve, Brake Release"/>
    <n v="6"/>
    <s v="6.0150"/>
    <s v="HYTOP"/>
    <n v="1"/>
  </r>
  <r>
    <s v="0120"/>
    <x v="7"/>
    <n v="11200002123"/>
    <s v="Hydraulic System*Hytop System*Main Power Unit*Over Center Valve"/>
    <x v="87"/>
    <s v="Y"/>
    <n v="1"/>
    <s v="Over Center Valve"/>
    <s v="Hydraulic System*Hytop System*Main Power Unit*Over Center Valve"/>
    <n v="9"/>
    <s v="6.0160"/>
    <s v="HYTOP"/>
    <n v="1"/>
  </r>
  <r>
    <s v="0120"/>
    <x v="7"/>
    <n v="11200002124"/>
    <s v="Hydraulic System*Hytop System*Main Power Unit*Valve, Check"/>
    <x v="87"/>
    <s v="Y"/>
    <n v="1"/>
    <s v="Valve, Check"/>
    <s v="Hydraulic System*Hytop System*Main Power Unit*Valve, Check"/>
    <n v="1"/>
    <s v="6.0170"/>
    <s v="HYTOP"/>
    <n v="1"/>
  </r>
  <r>
    <s v="0120"/>
    <x v="7"/>
    <n v="11200002125"/>
    <s v="Hydraulic System*Hytop System*Main Power Unit*Regulator, Flow"/>
    <x v="87"/>
    <s v="Y"/>
    <n v="1"/>
    <s v="Regulator, Flow"/>
    <s v="Hydraulic System*Hytop System*Main Power Unit*Regulator, Flow"/>
    <n v="1"/>
    <s v="6.0180"/>
    <s v="HYTOP"/>
    <n v="1"/>
  </r>
  <r>
    <s v="0120"/>
    <x v="7"/>
    <n v="11200002126"/>
    <s v="Hydraulic System*Hytop System*Main Power Unit*Valve, Non Return"/>
    <x v="87"/>
    <s v="Y"/>
    <n v="1"/>
    <s v="Valve, Non Return"/>
    <s v="Hydraulic System*Hytop System*Main Power Unit*Valve, Non Return"/>
    <n v="0"/>
    <s v="6.0190"/>
    <s v="HYTOP"/>
    <n v="1"/>
  </r>
  <r>
    <s v="0120"/>
    <x v="7"/>
    <n v="11200002128"/>
    <s v="Hydraulic System*Hytop System*Main Power Unit*Pressure Reducing Valve"/>
    <x v="87"/>
    <s v="Y"/>
    <n v="1"/>
    <s v="Pressure Reducing Valve"/>
    <s v="Hydraulic System*Hytop System*Main Power Unit*Pressure Reducing Valve"/>
    <n v="4"/>
    <s v="6.0210"/>
    <s v="HYTOP"/>
    <n v="1"/>
  </r>
  <r>
    <s v="0120"/>
    <x v="7"/>
    <n v="11200002129"/>
    <s v="Hydraulic System*Hytop System*Main Power Unit*Valve, Non Return"/>
    <x v="87"/>
    <s v="Y"/>
    <n v="1"/>
    <s v="Valve, Non Return"/>
    <s v="Hydraulic System*Hytop System*Main Power Unit*Valve, Non Return"/>
    <n v="1"/>
    <s v="6.0220"/>
    <s v="HYTOP"/>
    <n v="1"/>
  </r>
  <r>
    <s v="0120"/>
    <x v="7"/>
    <n v="11200002130"/>
    <s v="Hydraulic System*Hytop System*Main Power Unit*Valve, Non Return"/>
    <x v="87"/>
    <s v="Y"/>
    <n v="1"/>
    <s v="Valve, Non Return"/>
    <s v="Hydraulic System*Hytop System*Main Power Unit*Valve, Non Return"/>
    <n v="1"/>
    <s v="6.0300"/>
    <s v="HYTOP"/>
    <n v="1"/>
  </r>
  <r>
    <s v="0120"/>
    <x v="7"/>
    <n v="11200002133"/>
    <s v="Hydraulic System*Hytop System*Main Power Unit*Regulator, Flow"/>
    <x v="87"/>
    <s v="Y"/>
    <n v="1"/>
    <s v="Regulator, Flow"/>
    <s v="Hydraulic System*Hytop System*Main Power Unit*Regulator, Flow"/>
    <n v="1"/>
    <s v="7.0100"/>
    <s v="HYTOP"/>
    <n v="1"/>
  </r>
  <r>
    <s v="0120"/>
    <x v="7"/>
    <n v="11200002135"/>
    <s v="Hydraulic System*Hytop System*Main Power Unit*Valve, Directional Control"/>
    <x v="87"/>
    <s v="Y"/>
    <n v="1"/>
    <s v="Valve, Directional Control"/>
    <s v="Hydraulic System*Hytop System*Main Power Unit*Valve, Directional Control"/>
    <n v="1"/>
    <s v="4D02-D-2-030302-B1"/>
    <s v="DENISON"/>
    <n v="1"/>
  </r>
  <r>
    <s v="0120"/>
    <x v="7"/>
    <n v="11200002137"/>
    <s v="Hydraulic System*Hytop System*Main Power Unit*Valve, Over Centre"/>
    <x v="87"/>
    <s v="Y"/>
    <n v="1"/>
    <s v="Valve, Over Centre"/>
    <s v="Hydraulic System*Hytop System*Main Power Unit*Valve, Over Centre"/>
    <n v="0"/>
    <s v="8.0100"/>
    <s v="HYTOP"/>
    <n v="1"/>
  </r>
  <r>
    <s v="0120"/>
    <x v="7"/>
    <n v="11200002138"/>
    <s v="Hydraulic System*Hytop System*Main Power Unit*Valve, Check"/>
    <x v="87"/>
    <s v="Y"/>
    <n v="1"/>
    <s v="Valve, Check"/>
    <s v="Hydraulic System*Hytop System*Main Power Unit*Valve, Check"/>
    <n v="0"/>
    <s v="8.0110"/>
    <s v="HYTOP"/>
    <n v="1"/>
  </r>
  <r>
    <s v="0120"/>
    <x v="7"/>
    <n v="11200002140"/>
    <s v="Hydraulic System*Hytop System*Main Power Unit*Orifice"/>
    <x v="87"/>
    <s v="Y"/>
    <n v="1"/>
    <s v="Orifice"/>
    <s v="Hydraulic System*Hytop System*Main Power Unit*Orifice"/>
    <n v="1"/>
    <s v="8.0130"/>
    <s v="HYTOP"/>
    <n v="1"/>
  </r>
  <r>
    <s v="0120"/>
    <x v="7"/>
    <n v="11200002142"/>
    <s v="Hydraulic System*Hytop System*Main Power Unit*Orifice"/>
    <x v="87"/>
    <s v="Y"/>
    <n v="1"/>
    <s v="Orifice"/>
    <s v="Hydraulic System*Hytop System*Main Power Unit*Orifice"/>
    <n v="1"/>
    <s v="8.0150"/>
    <s v="HYTOP"/>
    <n v="1"/>
  </r>
  <r>
    <s v="0120"/>
    <x v="7"/>
    <n v="11200002143"/>
    <s v="Hydraulic System*Hytop System*Main Power Unit*Valve, Direct Pressure Relief"/>
    <x v="87"/>
    <s v="Y"/>
    <n v="1"/>
    <s v="Valve, Direct Pressure Relief"/>
    <s v="Hydraulic System*Hytop System*Main Power Unit*Valve, Direct Pressure Relief"/>
    <n v="0"/>
    <s v="8.0200"/>
    <s v="HYTOP"/>
    <n v="1"/>
  </r>
  <r>
    <s v="0120"/>
    <x v="7"/>
    <n v="11200002145"/>
    <s v="Hydraulic System*Hytop System*Main Power Unit*Valve, Check"/>
    <x v="87"/>
    <s v="Y"/>
    <n v="1"/>
    <s v="Valve, Check"/>
    <s v="Hydraulic System*Hytop System*Main Power Unit*Valve, Check"/>
    <n v="0"/>
    <s v="8.0300"/>
    <s v="HYTOP"/>
    <n v="1"/>
  </r>
  <r>
    <s v="0120"/>
    <x v="7"/>
    <n v="11200002146"/>
    <s v="Hydraulic System*Hytop System*Main Power Unit*Valve, Check"/>
    <x v="87"/>
    <s v="Y"/>
    <n v="1"/>
    <s v="Valve, Check"/>
    <s v="Hydraulic System*Hytop System*Main Power Unit*Valve, Check"/>
    <n v="1"/>
    <s v="8.0400"/>
    <s v="HYTOP"/>
    <n v="1"/>
  </r>
  <r>
    <s v="0120"/>
    <x v="7"/>
    <n v="11200002147"/>
    <s v="Hydraulic System*Hytop System*Main Power Unit*Orifice"/>
    <x v="87"/>
    <s v="Y"/>
    <n v="1"/>
    <s v="Orifice"/>
    <s v="Hydraulic System*Hytop System*Main Power Unit*Orifice"/>
    <n v="1"/>
    <s v="8.0500"/>
    <s v="HYTOP"/>
    <n v="1"/>
  </r>
  <r>
    <s v="0120"/>
    <x v="7"/>
    <n v="11200002149"/>
    <s v="Hydraulic System*Hytop System*Main Power Unit*Orifice"/>
    <x v="87"/>
    <s v="Y"/>
    <n v="1"/>
    <s v="Orifice"/>
    <s v="Hydraulic System*Hytop System*Main Power Unit*Orifice"/>
    <n v="1"/>
    <s v="8.1010"/>
    <s v="HYTOP"/>
    <n v="1"/>
  </r>
  <r>
    <s v="0120"/>
    <x v="7"/>
    <n v="11200002150"/>
    <s v="Hydraulic System*Hytop System*Main Power Unit*Valve, Needle"/>
    <x v="87"/>
    <s v="Y"/>
    <n v="1"/>
    <s v="Valve, Needle"/>
    <s v="Hydraulic System*Hytop System*Main Power Unit*Valve, Needle"/>
    <n v="1"/>
    <s v="8.1020"/>
    <s v="HYTOP"/>
    <n v="1"/>
  </r>
  <r>
    <s v="0120"/>
    <x v="7"/>
    <n v="11200002153"/>
    <s v="Hydraulic System*Hytop System*Main Power Unit*Valve, Manual Control"/>
    <x v="87"/>
    <s v="Y"/>
    <n v="1"/>
    <s v="Valve, Manual Control"/>
    <s v="Hydraulic System*Hytop System*Main Power Unit*Valve, Manual Control"/>
    <n v="1"/>
    <s v="12.0000"/>
    <s v="HYTOP"/>
    <n v="1"/>
  </r>
  <r>
    <s v="0120"/>
    <x v="7"/>
    <n v="11200002193"/>
    <s v="Excavator (Liebherr 996)*Excavator (996)*Gooseneck Boom*Gooseneck Boom*Hoses Upper Boom*Hose, Upper, Gooseneck Boom, Pos 2"/>
    <x v="8"/>
    <s v="Y"/>
    <n v="6"/>
    <s v="Hose, Upper, Gooseneck Boom, Pos 2"/>
    <s v="Excavator (Liebherr 996)*Excavator (996)*Gooseneck Boom*Gooseneck Boom*Hoses Upper Boom*Hose, Upper, Gooseneck Boom, Pos 2"/>
    <n v="18"/>
    <s v="5618971"/>
    <s v="LIEBHERR"/>
    <n v="1"/>
  </r>
  <r>
    <s v="0120"/>
    <x v="7"/>
    <n v="11200002428"/>
    <s v="Excavator (Liebherr 996)*Excavator (996)*Excavator Engine (#1) (Cummins)*Splitter Box (#1)*Splitter Box*Splitter Box*Cardan Shaft Flange, Item 2"/>
    <x v="8"/>
    <s v="Y"/>
    <n v="1"/>
    <s v="Cardan Shaft Flange, Item 2"/>
    <s v="Excavator (Liebherr 996)*Excavator (996)*Excavator Engine (#1) (Cummins)*Splitter Box (#1)*Splitter Box*Splitter Box*Cardan Shaft Flange, Item 2"/>
    <n v="2"/>
    <s v="5612292"/>
    <s v="LIEBHERR"/>
    <n v="6"/>
  </r>
  <r>
    <s v="0120"/>
    <x v="7"/>
    <n v="11200002493"/>
    <s v="Excavator (Liebherr 996)*Excavator (996)*Stick*Seal Kit, Piston"/>
    <x v="8"/>
    <s v="Y"/>
    <n v="2"/>
    <s v="Seal Kit, Piston"/>
    <s v="Excavator (Liebherr 996)*Excavator (996)*Stick*Seal Kit, Piston"/>
    <n v="4"/>
    <s v="9063783"/>
    <s v="LIEBHERR"/>
    <n v="1"/>
  </r>
  <r>
    <s v="0120"/>
    <x v="7"/>
    <n v="11200002494"/>
    <s v="Excavator (Liebherr 996)*Excavator (996)*Stick*Seal Kit, Rod Bearing"/>
    <x v="8"/>
    <s v="Y"/>
    <n v="2"/>
    <s v="Seal Kit, Rod Bearing"/>
    <s v="Excavator (Liebherr 996)*Excavator (996)*Stick*Seal Kit, Rod Bearing"/>
    <n v="3"/>
    <s v="9063782"/>
    <s v="LIEBHERR"/>
    <n v="1"/>
  </r>
  <r>
    <s v="0120"/>
    <x v="7"/>
    <n v="11200002526"/>
    <s v="Hydraulic System*Hytop System*Main Power Unit*Valve, Non Return"/>
    <x v="87"/>
    <s v="Y"/>
    <n v="1"/>
    <s v="Valve, Non Return"/>
    <s v="Hydraulic System*Hytop System*Main Power Unit*Valve, Non Return"/>
    <n v="1"/>
    <s v="1,5720"/>
    <s v="HYTOP"/>
    <n v="1"/>
  </r>
  <r>
    <s v="0120"/>
    <x v="7"/>
    <n v="11200002630"/>
    <s v="Excavator (Liebherr 996)*Excavator (996)*Uppercarriage*Uppercarriage*Hydraulic Instal Upper 1*Pump Cooling Fan Drive"/>
    <x v="8"/>
    <s v="Y"/>
    <n v="1"/>
    <s v="Pump Cooling Fan Drive"/>
    <s v="Excavator (Liebherr 996)*Excavator (996)*Uppercarriage*Uppercarriage*Hydraulic Instal Upper 1*Pump Cooling Fan Drive"/>
    <n v="2"/>
    <s v="5611284"/>
    <s v="LIEBHERR"/>
    <n v="1"/>
  </r>
  <r>
    <s v="0120"/>
    <x v="7"/>
    <n v="11200002864"/>
    <s v="Excavator (Liebherr 996)*Excavator (996)*Gooseneck Boom*Gooseneck Boom*Hose, 18.00 Gooseneck Boom, Pos 27"/>
    <x v="8"/>
    <s v="Y"/>
    <n v="2"/>
    <s v="Hose, 18.00 Gooseneck Boom, Pos 27"/>
    <s v="Excavator (Liebherr 996)*Excavator (996)*Gooseneck Boom*Gooseneck Boom*Hose, 18.00 Gooseneck Boom, Pos 27"/>
    <n v="1"/>
    <s v="5612797"/>
    <s v="LIEBHERR"/>
    <n v="1"/>
  </r>
  <r>
    <s v="0120"/>
    <x v="7"/>
    <n v="11200002865"/>
    <s v="Excavator (Liebherr 996)*Excavator (996)*Gooseneck Boom*Gooseneck Boom*Hose, 18.00 Mm Gooseneck Boom, Pos 28"/>
    <x v="8"/>
    <s v="Y"/>
    <n v="2"/>
    <s v="Hose, 18.00 Mm Gooseneck Boom, Pos 28"/>
    <s v="Excavator (Liebherr 996)*Excavator (996)*Gooseneck Boom*Gooseneck Boom*Hose, 18.00 Mm Gooseneck Boom, Pos 28"/>
    <n v="2"/>
    <s v="5614660"/>
    <s v="LIEBHERR"/>
    <n v="1"/>
  </r>
  <r>
    <s v="0120"/>
    <x v="7"/>
    <n v="11200002866"/>
    <s v="Excavator (Liebherr 996)*Excavator (996)*Gooseneck Boom*Gooseneck Boom*Hose, 18.00 Mm Gooseneck Boom, Pos 29"/>
    <x v="8"/>
    <s v="Y"/>
    <n v="3"/>
    <s v="Hose, 18.00 Mm Gooseneck Boom, Pos 29"/>
    <s v="Excavator (Liebherr 996)*Excavator (996)*Gooseneck Boom*Gooseneck Boom*Hose, 18.00 Mm Gooseneck Boom, Pos 29"/>
    <n v="2"/>
    <s v="5614657"/>
    <s v="LIEBHERR"/>
    <n v="1"/>
  </r>
  <r>
    <s v="0120"/>
    <x v="7"/>
    <n v="11200002933"/>
    <s v="Excavator (Liebherr 996)*Excavator (996)*Gooseneck Boom*Gooseneck Boom*Hose, 18.00 Mm Gooseneck Boom, Pos 39"/>
    <x v="8"/>
    <s v="Y"/>
    <n v="3"/>
    <s v="Hose, 18.00 Mm Gooseneck Boom, Pos 39"/>
    <s v="Excavator (Liebherr 996)*Excavator (996)*Gooseneck Boom*Gooseneck Boom*Hose, 18.00 Mm Gooseneck Boom, Pos 39"/>
    <n v="0"/>
    <s v="5614674"/>
    <s v="LIEBHERR"/>
    <n v="1"/>
  </r>
  <r>
    <s v="0120"/>
    <x v="7"/>
    <n v="11200002944"/>
    <s v="Excavator (Liebherr 996)*Excavator (996)*Gooseneck Boom*Gooseneck Boom*Hydr. Tube Cpl."/>
    <x v="8"/>
    <s v="Y"/>
    <n v="3"/>
    <s v="Hydr. Tube Cpl."/>
    <s v="Excavator (Liebherr 996)*Excavator (996)*Gooseneck Boom*Gooseneck Boom*Hydr. Tube Cpl."/>
    <n v="3"/>
    <s v="9395545"/>
    <s v="LIEBHERR"/>
    <n v="1"/>
  </r>
  <r>
    <s v="0120"/>
    <x v="7"/>
    <n v="11200002945"/>
    <s v="Excavator (Liebherr 996)*Excavator (996)*Gooseneck Boom*Gooseneck Boom*Hydr. Tube Cpl."/>
    <x v="8"/>
    <s v="Y"/>
    <n v="1"/>
    <s v="Hydr. Tube Cpl."/>
    <s v="Excavator (Liebherr 996)*Excavator (996)*Gooseneck Boom*Gooseneck Boom*Hydr. Tube Cpl."/>
    <n v="1"/>
    <s v="9699857"/>
    <s v="LIEBHERR"/>
    <n v="1"/>
  </r>
  <r>
    <s v="0120"/>
    <x v="7"/>
    <n v="11200002946"/>
    <s v="Excavator (Liebherr 996)*Excavator (996)*Gooseneck Boom*Gooseneck Boom*Hydr. Tube Cpl. Item #46"/>
    <x v="8"/>
    <s v="Y"/>
    <n v="1"/>
    <s v="Hydr. Tube Cpl. Item #46"/>
    <s v="Excavator (Liebherr 996)*Excavator (996)*Gooseneck Boom*Gooseneck Boom*Hydr. Tube Cpl. Item #46"/>
    <n v="0"/>
    <s v="9699842"/>
    <s v="LIEBHERR"/>
    <n v="1"/>
  </r>
  <r>
    <s v="0120"/>
    <x v="7"/>
    <n v="11200002947"/>
    <s v="Excavator (Liebherr 996)*Excavator (996)*Gooseneck Boom*Gooseneck Boom*Hydr. Tube Cpl. Item #47"/>
    <x v="8"/>
    <s v="Y"/>
    <n v="1"/>
    <s v="Hydr. Tube Cpl. Item #47"/>
    <s v="Excavator (Liebherr 996)*Excavator (996)*Gooseneck Boom*Gooseneck Boom*Hydr. Tube Cpl. Item #47"/>
    <n v="1"/>
    <s v="9699845"/>
    <s v="LIEBHERR"/>
    <n v="1"/>
  </r>
  <r>
    <s v="0120"/>
    <x v="7"/>
    <n v="11200002948"/>
    <s v="Excavator (Liebherr 996)*Excavator (996)*Gooseneck Boom*Gooseneck Boom*Hydr. Tube Cpl. Item #48"/>
    <x v="8"/>
    <s v="Y"/>
    <n v="1"/>
    <s v="Hydr. Tube Cpl. Item #48"/>
    <s v="Excavator (Liebherr 996)*Excavator (996)*Gooseneck Boom*Gooseneck Boom*Hydr. Tube Cpl. Item #48"/>
    <n v="1"/>
    <s v="9699846"/>
    <s v="LIEBHERR"/>
    <n v="1"/>
  </r>
  <r>
    <s v="0120"/>
    <x v="7"/>
    <n v="11200002949"/>
    <s v="Excavator (Liebherr 996)*Excavator (996)*Gooseneck Boom*Gooseneck Boom*Hydr. Tube Cpl. Item #49"/>
    <x v="8"/>
    <s v="Y"/>
    <n v="1"/>
    <s v="Hydr. Tube Cpl. Item #49"/>
    <s v="Excavator (Liebherr 996)*Excavator (996)*Gooseneck Boom*Gooseneck Boom*Hydr. Tube Cpl. Item #49"/>
    <n v="1"/>
    <s v="9699849"/>
    <s v="LIEBHERR"/>
    <n v="1"/>
  </r>
  <r>
    <s v="0120"/>
    <x v="7"/>
    <n v="11200002950"/>
    <s v="Excavator (Liebherr 996)*Excavator (996)*Gooseneck Boom*Gooseneck Boom*Hydr. Tube Cpl. Item #50"/>
    <x v="8"/>
    <s v="Y"/>
    <n v="1"/>
    <s v="Hydr. Tube Cpl. Item #50"/>
    <s v="Excavator (Liebherr 996)*Excavator (996)*Gooseneck Boom*Gooseneck Boom*Hydr. Tube Cpl. Item #50"/>
    <n v="0"/>
    <s v="9699847"/>
    <s v="LIEBHERR"/>
    <n v="1"/>
  </r>
  <r>
    <s v="0120"/>
    <x v="7"/>
    <n v="11200002951"/>
    <s v="Excavator (Liebherr 996)*Excavator (996)*Gooseneck Boom*Gooseneck Boom*Hydr. Tube Cpl. Item #51"/>
    <x v="8"/>
    <s v="Y"/>
    <n v="1"/>
    <s v="Hydr. Tube Cpl. Item #51"/>
    <s v="Excavator (Liebherr 996)*Excavator (996)*Gooseneck Boom*Gooseneck Boom*Hydr. Tube Cpl. Item #51"/>
    <n v="0"/>
    <s v="9699848"/>
    <s v="LIEBHERR"/>
    <n v="1"/>
  </r>
  <r>
    <s v="0120"/>
    <x v="7"/>
    <n v="11200003003"/>
    <s v="Excavator (Liebherr 996)*Excavator (996)*Gooseneck Boom*Gooseneck Boom*Hose, 18 Mm Gooseneck Boom, Pos 60"/>
    <x v="8"/>
    <s v="Y"/>
    <n v="3"/>
    <s v="Hose, 18 Mm Gooseneck Boom, Pos 60"/>
    <s v="Excavator (Liebherr 996)*Excavator (996)*Gooseneck Boom*Gooseneck Boom*Hose, 18 Mm Gooseneck Boom, Pos 60"/>
    <n v="4"/>
    <s v="5614659"/>
    <s v="LIEBHERR"/>
    <n v="1"/>
  </r>
  <r>
    <s v="0120"/>
    <x v="7"/>
    <n v="11200003007"/>
    <s v="Excavator (Liebherr 996)*Excavator (996)*Gooseneck Boom*Gooseneck Boom*Hose, Item 64"/>
    <x v="8"/>
    <s v="Y"/>
    <n v="2"/>
    <s v="Hose, Item 64"/>
    <s v="Excavator (Liebherr 996)*Excavator (996)*Gooseneck Boom*Gooseneck Boom*Hose, Item 64"/>
    <n v="3"/>
    <s v="5612380"/>
    <s v="LIEBHERR"/>
    <n v="1"/>
  </r>
  <r>
    <s v="0120"/>
    <x v="7"/>
    <n v="11200003020"/>
    <s v="Excavator (Liebherr 996)*Excavator (996)*Gooseneck Boom*Gooseneck Boom*Hose, 18.00 Mm Gooseneck Boom, Pos 43"/>
    <x v="8"/>
    <s v="Y"/>
    <n v="3"/>
    <s v="Hose, 18.00 Mm Gooseneck Boom, Pos 43"/>
    <s v="Excavator (Liebherr 996)*Excavator (996)*Gooseneck Boom*Gooseneck Boom*Hose, 18.00 Mm Gooseneck Boom, Pos 43"/>
    <n v="4"/>
    <s v="5612798"/>
    <s v="LIEBHERR"/>
    <n v="1"/>
  </r>
  <r>
    <s v="0120"/>
    <x v="7"/>
    <n v="11200003021"/>
    <s v="Excavator (Liebherr 996)*Excavator (996)*Gooseneck Boom*Gooseneck Boom*Hydr. Tube Cpl."/>
    <x v="8"/>
    <s v="Y"/>
    <n v="2"/>
    <s v="Hydr. Tube Cpl."/>
    <s v="Excavator (Liebherr 996)*Excavator (996)*Gooseneck Boom*Gooseneck Boom*Hydr. Tube Cpl."/>
    <n v="3"/>
    <s v="9395556"/>
    <s v="LIEBHERR"/>
    <n v="1"/>
  </r>
  <r>
    <s v="0120"/>
    <x v="7"/>
    <n v="11200003022"/>
    <s v="Excavator (Liebherr 996)*Excavator (996)*Gooseneck Boom*Gooseneck Boom*Hydr. Tube Cpl."/>
    <x v="8"/>
    <s v="Y"/>
    <n v="1"/>
    <s v="Hydr. Tube Cpl."/>
    <s v="Excavator (Liebherr 996)*Excavator (996)*Gooseneck Boom*Gooseneck Boom*Hydr. Tube Cpl."/>
    <n v="1"/>
    <s v="9395619"/>
    <s v="LIEBHERR"/>
    <n v="1"/>
  </r>
  <r>
    <s v="0120"/>
    <x v="7"/>
    <n v="11200003023"/>
    <s v="Excavator (Liebherr 996)*Excavator (996)*Gooseneck Boom*Gooseneck Boom*Hose, 18.00 MM Gooseneck Boom, Pos 75"/>
    <x v="8"/>
    <s v="Y"/>
    <n v="6"/>
    <s v="Hose, 18.00 MM Gooseneck Boom, Pos 75"/>
    <s v="Excavator (Liebherr 996)*Excavator (996)*Gooseneck Boom*Gooseneck Boom*Hose, 18.00 MM Gooseneck Boom, Pos 75"/>
    <n v="2"/>
    <s v="5612796"/>
    <s v="LIEBHERR"/>
    <n v="1"/>
  </r>
  <r>
    <s v="0120"/>
    <x v="7"/>
    <n v="11200003034"/>
    <s v="Excavator (Liebherr 996)*Excavator (996)*Gooseneck Boom*Gooseneck Boom*Hydr. Tube Cpl."/>
    <x v="8"/>
    <s v="Y"/>
    <n v="2"/>
    <s v="Hydr. Tube Cpl."/>
    <s v="Excavator (Liebherr 996)*Excavator (996)*Gooseneck Boom*Gooseneck Boom*Hydr. Tube Cpl."/>
    <n v="2"/>
    <s v="9393928"/>
    <s v="LIEBHERR"/>
    <n v="1"/>
  </r>
  <r>
    <s v="0120"/>
    <x v="7"/>
    <n v="11200003042"/>
    <s v="Excavator (Liebherr 996)*Excavator (996)*Gooseneck Boom*Gooseneck Boom*Hose Item 99"/>
    <x v="8"/>
    <s v="Y"/>
    <n v="2"/>
    <s v="Hose Item 99"/>
    <s v="Excavator (Liebherr 996)*Excavator (996)*Gooseneck Boom*Gooseneck Boom*Hose Item 99"/>
    <n v="3"/>
    <s v="5604607"/>
    <s v="LIEBHERR"/>
    <n v="1"/>
  </r>
  <r>
    <s v="0120"/>
    <x v="7"/>
    <n v="11200003076"/>
    <s v="Excavator (Liebherr 996)*Excavator (996)*Gooseneck Boom*Gooseneck Boom*Valve Block*Secondary Valve"/>
    <x v="8"/>
    <s v="Y"/>
    <n v="2"/>
    <s v="Secondary Valve"/>
    <s v="Excavator (Liebherr 996)*Excavator (996)*Gooseneck Boom*Gooseneck Boom*Valve Block*Secondary Valve"/>
    <n v="3"/>
    <s v="5613153"/>
    <s v="LIEBHERR"/>
    <n v="1"/>
  </r>
  <r>
    <s v="0120"/>
    <x v="7"/>
    <n v="11200003093"/>
    <s v="Excavator (Liebherr 996)*Excavator (996)*Gooseneck Boom*Gooseneck Boom*Pin, attachment Item 130"/>
    <x v="8"/>
    <s v="Y"/>
    <n v="4"/>
    <s v="Pin, attachment Item 130"/>
    <s v="Excavator (Liebherr 996)*Excavator (996)*Gooseneck Boom*Gooseneck Boom*Pin, attachment Item 130"/>
    <n v="2"/>
    <s v="9756108"/>
    <s v="LIEBHERR"/>
    <n v="1"/>
  </r>
  <r>
    <s v="0120"/>
    <x v="7"/>
    <n v="11200003102"/>
    <s v="Excavator (Liebherr 996)*Excavator (996)*Gooseneck Boom*Gooseneck Boom*Hydr. Tube Cpl."/>
    <x v="8"/>
    <s v="Y"/>
    <n v="2"/>
    <s v="Hydr. Tube Cpl."/>
    <s v="Excavator (Liebherr 996)*Excavator (996)*Gooseneck Boom*Gooseneck Boom*Hydr. Tube Cpl."/>
    <n v="2"/>
    <s v="9699844"/>
    <s v="LIEBHERR"/>
    <n v="1"/>
  </r>
  <r>
    <s v="0120"/>
    <x v="7"/>
    <n v="11200003191"/>
    <s v="Excavator (Liebherr 996)*Excavator (996)*Cylinder, Stick (Cab Side)*Hydraulic Cylinder, Stick*Bushing"/>
    <x v="8"/>
    <s v="Y"/>
    <n v="4"/>
    <s v="Bushing"/>
    <s v="Excavator (Liebherr 996)*Excavator (996)*Cylinder, Stick (Cab Side)*Hydraulic Cylinder, Stick*Bushing"/>
    <n v="0"/>
    <s v="11078606"/>
    <s v="LIEBHERR"/>
    <n v="2"/>
  </r>
  <r>
    <s v="0120"/>
    <x v="7"/>
    <n v="11200003214"/>
    <s v="Excavator (Liebherr 996)*Excavator (996)*Cylinder, Stick (Cab Side)*Hydraulic Cylinder, Stick*Piston*Seal Kit, cylinder piston"/>
    <x v="8"/>
    <s v="Y"/>
    <n v="2"/>
    <s v="Seal Kit, cylinder piston"/>
    <s v="Excavator (Liebherr 996)*Excavator (996)*Cylinder, Stick (Cab Side)*Hydraulic Cylinder, Stick*Piston*Seal Kit, cylinder piston"/>
    <n v="2"/>
    <s v="9063765"/>
    <s v="LIEBHERR"/>
    <n v="2"/>
  </r>
  <r>
    <s v="0120"/>
    <x v="7"/>
    <n v="11200003223"/>
    <s v="Excavator (Liebherr 996)*Excavator (996)*Cylinder, Stick (Cab Side)*Hydraulic Cylinder, Stick*Bearing, Piston Rod*Seal Kit, Stick Cylinder Bearing"/>
    <x v="8"/>
    <s v="Y"/>
    <n v="2"/>
    <s v="Seal Kit, Stick Cylinder Bearing"/>
    <s v="Excavator (Liebherr 996)*Excavator (996)*Cylinder, Stick (Cab Side)*Hydraulic Cylinder, Stick*Bearing, Piston Rod*Seal Kit, Stick Cylinder Bearing"/>
    <n v="2"/>
    <s v="9063781"/>
    <s v="LIEBHERR"/>
    <n v="2"/>
  </r>
  <r>
    <s v="0120"/>
    <x v="7"/>
    <n v="11200003366"/>
    <s v="Excavator (Liebherr 996)*Excavator (996)*Gooseneck Boom*Gooseneck Boom*Delivery Parts Centralized Lubrication*Parts Set F Greasing*Swivel Coupling, Item 23"/>
    <x v="8"/>
    <s v="Y"/>
    <n v="8"/>
    <s v="Swivel Coupling, Item 23"/>
    <s v="Excavator (Liebherr 996)*Excavator (996)*Gooseneck Boom*Gooseneck Boom*Delivery Parts Centralized Lubrication*Parts Set F Greasing*Swivel Coupling, Item 23"/>
    <n v="10"/>
    <s v="7372167"/>
    <s v="LIEBHERR"/>
    <n v="1"/>
  </r>
  <r>
    <s v="0120"/>
    <x v="7"/>
    <n v="11200003399"/>
    <s v="Excavator (Liebherr 996)*Excavator (996)*Gooseneck Boom*Gooseneck Boom*Delivery Parts Centralized Lubrication*Screwed Socket"/>
    <x v="8"/>
    <s v="Y"/>
    <n v="8"/>
    <s v="Screwed Socket"/>
    <s v="Excavator (Liebherr 996)*Excavator (996)*Gooseneck Boom*Gooseneck Boom*Delivery Parts Centralized Lubrication*Screwed Socket"/>
    <n v="10"/>
    <s v="7372156"/>
    <s v="LIEBHERR"/>
    <n v="1"/>
  </r>
  <r>
    <s v="0120"/>
    <x v="7"/>
    <n v="11200003441"/>
    <s v="Excavator (Liebherr 996)*Excavator (996)*Uppercarriage*Uppercarriage*Hydraulic Instal Upper 1*Hydr. P.P. Hig.Pressure*Hose, High Pressure, Splitter Box"/>
    <x v="8"/>
    <s v="Y"/>
    <n v="1"/>
    <s v="Hose, High Pressure, Splitter Box"/>
    <s v="Excavator (Liebherr 996)*Excavator (996)*Uppercarriage*Uppercarriage*Hydraulic Instal Upper 1*Hydr. P.P. Hig.Pressure*Hose, High Pressure, Splitter Box"/>
    <n v="2"/>
    <s v="10220867"/>
    <s v="LIEBHERR"/>
    <n v="1"/>
  </r>
  <r>
    <s v="0120"/>
    <x v="7"/>
    <n v="11200003521"/>
    <s v="Excavator (Liebherr 996)*Excavator (996)*Uppercarriage*Uppercarriage*HYDRAULIC INSTAL UPPER 1*HYDR. INSTALL PP BACK*Hydraulic Hose Assembly"/>
    <x v="8"/>
    <s v="Y"/>
    <n v="1"/>
    <s v="Hydraulic Hose Assembly"/>
    <s v="Excavator (Liebherr 996)*Excavator (996)*Uppercarriage*Uppercarriage*HYDRAULIC INSTAL UPPER 1*HYDR. INSTALL PP BACK*Hydraulic Hose Assembly"/>
    <n v="7"/>
    <s v="5603780"/>
    <s v="LIEBHERR"/>
    <n v="1"/>
  </r>
  <r>
    <s v="0120"/>
    <x v="7"/>
    <n v="11200003523"/>
    <s v="Excavator (Liebherr 996)*Excavator (996)*Uppercarriage*Uppercarriage*Hydraulic Instal Upper 1*Hydr. Install Pp Back*Hydrailic Hose Assembly"/>
    <x v="8"/>
    <s v="Y"/>
    <n v="1"/>
    <s v="Hydrailic Hose Assembly"/>
    <s v="Excavator (Liebherr 996)*Excavator (996)*Uppercarriage*Uppercarriage*Hydraulic Instal Upper 1*Hydr. Install Pp Back*Hydrailic Hose Assembly"/>
    <n v="7"/>
    <s v="5603780"/>
    <s v="LIEBHERR"/>
    <n v="1"/>
  </r>
  <r>
    <s v="0120"/>
    <x v="7"/>
    <n v="11200003648"/>
    <s v="Excavator (Liebherr 996)*Excavator (996)*Uppercarriage*Uppercarriage*Hydraulic Instal Upper 1*Hyd. Instal. Valves*Hose, Item 1"/>
    <x v="8"/>
    <s v="Y"/>
    <n v="1"/>
    <s v="Hose, Item 1"/>
    <s v="Excavator (Liebherr 996)*Excavator (996)*Uppercarriage*Uppercarriage*Hydraulic Instal Upper 1*Hyd. Instal. Valves*Hose, Item 1"/>
    <n v="9"/>
    <s v="7004934"/>
    <s v="LIEBHERR"/>
    <n v="1"/>
  </r>
  <r>
    <s v="0120"/>
    <x v="7"/>
    <n v="11200003734"/>
    <s v="Excavator (Liebherr 996)*Excavator (996)*Uppercarriage*Uppercarriage*Hydraulic Instal Upper 1*Hydr. Inst. Rotary*Hose, Rotary Connection, Pos 212"/>
    <x v="8"/>
    <s v="Y"/>
    <n v="2"/>
    <s v="Hose, Rotary Connection, Pos 212"/>
    <s v="Excavator (Liebherr 996)*Excavator (996)*Uppercarriage*Uppercarriage*Hydraulic Instal Upper 1*Hydr. Inst. Rotary*Hose, Rotary Connection, Pos 212"/>
    <n v="5"/>
    <s v="5612946"/>
    <s v="LIEBHERR"/>
    <n v="1"/>
  </r>
  <r>
    <s v="0120"/>
    <x v="7"/>
    <n v="11200003735"/>
    <s v="Excavator (Liebherr 996)*Excavator (996)*Uppercarriage*Uppercarriage*Hydraulic Instal Upper 1*Hydr. Inst. Rotary*Hose, Rotary Connection, Pos 213"/>
    <x v="8"/>
    <s v="Y"/>
    <n v="2"/>
    <s v="Hose, Rotary Connection, Pos 213"/>
    <s v="Excavator (Liebherr 996)*Excavator (996)*Uppercarriage*Uppercarriage*Hydraulic Instal Upper 1*Hydr. Inst. Rotary*Hose, Rotary Connection, Pos 213"/>
    <n v="2"/>
    <s v="5613187"/>
    <s v="LIEBHERR"/>
    <n v="1"/>
  </r>
  <r>
    <s v="0120"/>
    <x v="7"/>
    <n v="11200003736"/>
    <s v="Excavator (Liebherr 996)*Excavator (996)*Uppercarriage*Uppercarriage*Hydraulic Instal Upper 1*Hydr. Inst. Rotary*Hose, Rotary Connection, Pos 214"/>
    <x v="8"/>
    <s v="Y"/>
    <n v="2"/>
    <s v="Hose, Rotary Connection, Pos 214"/>
    <s v="Excavator (Liebherr 996)*Excavator (996)*Uppercarriage*Uppercarriage*Hydraulic Instal Upper 1*Hydr. Inst. Rotary*Hose, Rotary Connection, Pos 214"/>
    <n v="9"/>
    <s v="5612945"/>
    <s v="LIEBHERR"/>
    <n v="1"/>
  </r>
  <r>
    <s v="0120"/>
    <x v="7"/>
    <n v="11200003827"/>
    <s v="Excavator (Liebherr 996)*Excavator (996)*Uppercarriage*Uppercarriage*HYDRAULIC INSTAL UPPER 1*PUMPS INSTALLATION*Swing Pump Combination, Item 54"/>
    <x v="8"/>
    <s v="Y"/>
    <n v="1"/>
    <s v="Swing Pump Combination, Item 54"/>
    <s v="Excavator (Liebherr 996)*Excavator (996)*Uppercarriage*Uppercarriage*HYDRAULIC INSTAL UPPER 1*PUMPS INSTALLATION*Swing Pump Combination, Item 54"/>
    <n v="1"/>
    <s v="10099837A"/>
    <s v="LIEBHERR"/>
    <n v="1"/>
  </r>
  <r>
    <s v="0120"/>
    <x v="7"/>
    <n v="11200003906"/>
    <s v="Excavator (Liebherr 996)*Excavator (996)*Gooseneck Boom*Gooseneck Boom*Hose, 18 Mm Gooseneck Boom"/>
    <x v="8"/>
    <s v="Y"/>
    <n v="2"/>
    <s v="Hose, 18 Mm Gooseneck Boom"/>
    <s v="Excavator (Liebherr 996)*Excavator (996)*Gooseneck Boom*Gooseneck Boom*Hose, 18 Mm Gooseneck Boom"/>
    <n v="4"/>
    <s v="5612966"/>
    <s v="LIEBHERR"/>
    <n v="1"/>
  </r>
  <r>
    <s v="0120"/>
    <x v="7"/>
    <n v="11500000282"/>
    <s v="Excavator (Liebherr 996)*Excavator (996)*Excavator Engine (#2) (Cummins)*Pump, Water*Pump, Water"/>
    <x v="8"/>
    <s v="Y"/>
    <n v="1"/>
    <s v="Pump, Water"/>
    <s v="Excavator (Liebherr 996)*Excavator (996)*Excavator Engine (#2) (Cummins)*Pump, Water*Pump, Water"/>
    <n v="3"/>
    <s v="4376119RX"/>
    <s v="Cummins"/>
    <n v="2"/>
  </r>
  <r>
    <s v="0120"/>
    <x v="7"/>
    <n v="11500000373"/>
    <s v="Excavator (Liebherr 996)*Excavator (996)*Excavator Engine (#2) (Cummins)*Air Compressor"/>
    <x v="8"/>
    <s v="Y"/>
    <n v="1"/>
    <s v="Air Compressor"/>
    <s v="Excavator (Liebherr 996)*Excavator (996)*Excavator Engine (#2) (Cummins)*Air Compressor"/>
    <n v="0"/>
    <s v="3417958"/>
    <s v="Cummins"/>
    <n v="2"/>
  </r>
  <r>
    <s v="0120"/>
    <x v="7"/>
    <n v="11500000394"/>
    <s v="Excavator (Liebherr 996)*Excavator (996)*Excavator Engine (#2) (Cummins)*Air Governor*Governor, Air Compressor"/>
    <x v="8"/>
    <s v="Y"/>
    <n v="1"/>
    <s v="Governor, Air Compressor"/>
    <s v="Excavator (Liebherr 996)*Excavator (996)*Excavator Engine (#2) (Cummins)*Air Governor*Governor, Air Compressor"/>
    <n v="2"/>
    <s v="163142"/>
    <s v="Cummins"/>
    <n v="2"/>
  </r>
  <r>
    <s v="0120"/>
    <x v="7"/>
    <n v="11500000413"/>
    <s v="Excavator (Liebherr 996)*Excavator (996)*Excavator Engine (#2) (Cummins)*Speed Sensor*Sensor, Speed"/>
    <x v="8"/>
    <s v="Y"/>
    <n v="2"/>
    <s v="Sensor, Speed"/>
    <s v="Excavator (Liebherr 996)*Excavator (996)*Excavator Engine (#2) (Cummins)*Speed Sensor*Sensor, Speed"/>
    <n v="2"/>
    <s v="4327236"/>
    <s v="Cummins"/>
    <n v="2"/>
  </r>
  <r>
    <s v="0120"/>
    <x v="7"/>
    <n v="11500000433"/>
    <s v="Excavator (Liebherr 996)*Excavator (996)*Excavator Engine (#2) (Cummins)*Alternator*Alternator"/>
    <x v="8"/>
    <s v="Y"/>
    <n v="1"/>
    <s v="Alternator"/>
    <s v="Excavator (Liebherr 996)*Excavator (996)*Excavator Engine (#2) (Cummins)*Alternator*Alternator"/>
    <n v="2"/>
    <s v="4372405"/>
    <s v="Cummins"/>
    <n v="2"/>
  </r>
  <r>
    <s v="0120"/>
    <x v="7"/>
    <n v="11500000455"/>
    <s v="Excavator (Liebherr 996)*Excavator (996)*Excavator Engine (#2) (Cummins)*Fan Drive Arrangement*Seal, Oil"/>
    <x v="8"/>
    <s v="Y"/>
    <n v="2"/>
    <s v="Seal, Oil"/>
    <s v="Excavator (Liebherr 996)*Excavator (996)*Excavator Engine (#2) (Cummins)*Fan Drive Arrangement*Seal, Oil"/>
    <n v="6"/>
    <s v="3048625"/>
    <s v="Cummins"/>
    <n v="2"/>
  </r>
  <r>
    <s v="0120"/>
    <x v="7"/>
    <n v="11500000459"/>
    <s v="Excavator (Liebherr 996)*Excavator (996)*Excavator Engine (#2) (Cummins)*Fan Drive Arrangement*Belt, V Ribbed"/>
    <x v="8"/>
    <s v="Y"/>
    <n v="2"/>
    <s v="Belt, V Ribbed"/>
    <s v="Excavator (Liebherr 996)*Excavator (996)*Excavator Engine (#2) (Cummins)*Fan Drive Arrangement*Belt, V Ribbed"/>
    <n v="5"/>
    <s v="3632383"/>
    <s v="Cummins"/>
    <n v="2"/>
  </r>
  <r>
    <s v="0120"/>
    <x v="7"/>
    <n v="11500000565"/>
    <s v="Excavator (Liebherr 996)*Excavator (996)*Excavator Engine (#2) (Cummins)*Fuel Pump*Pump, Fuel"/>
    <x v="8"/>
    <s v="Y"/>
    <n v="1"/>
    <s v="Pump, Fuel"/>
    <s v="Excavator (Liebherr 996)*Excavator (996)*Excavator Engine (#2) (Cummins)*Fuel Pump*Pump, Fuel"/>
    <n v="3"/>
    <s v="3077035 BA54"/>
    <s v="Cummins"/>
    <n v="2"/>
  </r>
  <r>
    <s v="0120"/>
    <x v="7"/>
    <n v="11500000568"/>
    <s v="Excavator (Liebherr 996)*Excavator (996)*Excavator Engine (#2) (Cummins)*Fuel Pump*Pump, Gear Fuel"/>
    <x v="8"/>
    <s v="Y"/>
    <n v="1"/>
    <s v="Pump, Gear Fuel"/>
    <s v="Excavator (Liebherr 996)*Excavator (996)*Excavator Engine (#2) (Cummins)*Fuel Pump*Pump, Gear Fuel"/>
    <n v="1"/>
    <s v="3034245"/>
    <s v="Cummins"/>
    <n v="2"/>
  </r>
  <r>
    <s v="0120"/>
    <x v="7"/>
    <n v="11500001275"/>
    <s v="Excavator (Liebherr 996)*Excavator (996)*Uppercarriage*Uppercarriage*DRIVER S CAB CPL 4*ELECTRIC BOX E1005 INSTAL*ELECTRICAL SYSTEM*PLATINE"/>
    <x v="8"/>
    <s v="Y"/>
    <n v="1"/>
    <s v="PLATINE"/>
    <s v="Excavator (Liebherr 996)*Excavator (996)*Uppercarriage*Uppercarriage*DRIVER S CAB CPL 4*ELECTRIC BOX E1005 INSTAL*ELECTRICAL SYSTEM*PLATINE"/>
    <n v="1"/>
    <s v="6203650"/>
    <s v="LIEBHERR"/>
    <n v="1"/>
  </r>
  <r>
    <s v="0120"/>
    <x v="7"/>
    <n v="11500002132"/>
    <s v="Excavator (Liebherr 996)*Excavator (996)*Counter-Plug Installation*Fuel Tank  Pistol"/>
    <x v="8"/>
    <s v="Y"/>
    <n v="1"/>
    <s v="Fuel Tank  Pistol"/>
    <s v="Excavator (Liebherr 996)*Excavator (996)*Counter-Plug Installation*Fuel Tank  Pistol"/>
    <n v="2"/>
    <s v="5613019"/>
    <s v="LIEBHERR"/>
    <n v="1"/>
  </r>
  <r>
    <s v="0120"/>
    <x v="7"/>
    <n v="11500002218"/>
    <s v="Excavator (Liebherr 996)*Excavator (996)*Bypass Filter*Two Stage Geared Pump"/>
    <x v="8"/>
    <s v="Y"/>
    <n v="2"/>
    <s v="Two Stage Geared Pump"/>
    <s v="Excavator (Liebherr 996)*Excavator (996)*Bypass Filter*Two Stage Geared Pump"/>
    <n v="2"/>
    <s v="11492149"/>
    <s v="LIEBHERR"/>
    <n v="1"/>
  </r>
  <r>
    <s v="0120"/>
    <x v="7"/>
    <n v="11500002219"/>
    <s v="Excavator (Liebherr 996)*Excavator (996)*Bypass Filter*Two Stage Geared Pump*Geared Pump"/>
    <x v="8"/>
    <s v="Y"/>
    <n v="2"/>
    <s v="Geared Pump"/>
    <s v="Excavator (Liebherr 996)*Excavator (996)*Bypass Filter*Two Stage Geared Pump*Geared Pump"/>
    <n v="2"/>
    <s v="11492149"/>
    <s v="LIEBHERR"/>
    <n v="1"/>
  </r>
  <r>
    <s v="0120"/>
    <x v="7"/>
    <n v="11500002315"/>
    <s v="Excavator (Liebherr 996)*Excavator (996)*Hydr Inst Elastic Suspension*Hose, Suspension, Pos 31"/>
    <x v="8"/>
    <s v="Y"/>
    <n v="1"/>
    <s v="Hose, Suspension, Pos 31"/>
    <s v="Excavator (Liebherr 996)*Excavator (996)*Hydr Inst Elastic Suspension*Hose, Suspension, Pos 31"/>
    <n v="1"/>
    <s v="5612345"/>
    <s v="LIEBHERR"/>
    <n v="1"/>
  </r>
  <r>
    <s v="0120"/>
    <x v="7"/>
    <n v="11500002316"/>
    <s v="Excavator (Liebherr 996)*Excavator (996)*Hydr Inst Elastic Suspension*Hose, Suspension, Pos 32"/>
    <x v="8"/>
    <s v="Y"/>
    <n v="1"/>
    <s v="Hose, Suspension, Pos 32"/>
    <s v="Excavator (Liebherr 996)*Excavator (996)*Hydr Inst Elastic Suspension*Hose, Suspension, Pos 32"/>
    <n v="1"/>
    <s v="5614749"/>
    <s v="LIEBHERR"/>
    <n v="1"/>
  </r>
  <r>
    <s v="0120"/>
    <x v="7"/>
    <n v="11500002317"/>
    <s v="Excavator (Liebherr 996)*Excavator (996)*Hydr Inst Elastic Suspension*Hose, Suspension, Pos 33"/>
    <x v="8"/>
    <s v="Y"/>
    <n v="1"/>
    <s v="Hose, Suspension, Pos 33"/>
    <s v="Excavator (Liebherr 996)*Excavator (996)*Hydr Inst Elastic Suspension*Hose, Suspension, Pos 33"/>
    <n v="2"/>
    <s v="5614614"/>
    <s v="LIEBHERR"/>
    <n v="1"/>
  </r>
  <r>
    <s v="0120"/>
    <x v="7"/>
    <n v="11500002318"/>
    <s v="Excavator (Liebherr 996)*Excavator (996)*Hydr Inst Elastic Suspension*Hose, Suspension, Pos 34"/>
    <x v="8"/>
    <s v="Y"/>
    <n v="1"/>
    <s v="Hose, Suspension, Pos 34"/>
    <s v="Excavator (Liebherr 996)*Excavator (996)*Hydr Inst Elastic Suspension*Hose, Suspension, Pos 34"/>
    <n v="2"/>
    <s v="5614750"/>
    <s v="LIEBHERR"/>
    <n v="1"/>
  </r>
  <r>
    <s v="0120"/>
    <x v="7"/>
    <n v="11500002319"/>
    <s v="Excavator (Liebherr 996)*Excavator (996)*Hydr Inst Elastic Suspension*Hose, Suspension, Pos 35"/>
    <x v="8"/>
    <s v="Y"/>
    <n v="1"/>
    <s v="Hose, Suspension, Pos 35"/>
    <s v="Excavator (Liebherr 996)*Excavator (996)*Hydr Inst Elastic Suspension*Hose, Suspension, Pos 35"/>
    <n v="3"/>
    <s v="5614744"/>
    <s v="LIEBHERR"/>
    <n v="1"/>
  </r>
  <r>
    <s v="0120"/>
    <x v="7"/>
    <n v="11500002320"/>
    <s v="Excavator (Liebherr 996)*Excavator (996)*Hydr Inst Elastic Suspension*Hose, Suspension"/>
    <x v="8"/>
    <s v="Y"/>
    <n v="1"/>
    <s v="Hose, Suspension"/>
    <s v="Excavator (Liebherr 996)*Excavator (996)*Hydr Inst Elastic Suspension*Hose, Suspension"/>
    <n v="3"/>
    <s v="5612793"/>
    <s v="LIEBHERR"/>
    <n v="1"/>
  </r>
  <r>
    <s v="0120"/>
    <x v="7"/>
    <n v="11500002321"/>
    <s v="Excavator (Liebherr 996)*Excavator (996)*Hydr Inst Elastic Suspension*Hose, Hydraulic Suspension, Pos 30"/>
    <x v="8"/>
    <s v="Y"/>
    <n v="2"/>
    <s v="Hose, Hydraulic Suspension, Pos 30"/>
    <s v="Excavator (Liebherr 996)*Excavator (996)*Hydr Inst Elastic Suspension*Hose, Hydraulic Suspension, Pos 30"/>
    <n v="5"/>
    <s v="5612003"/>
    <s v="LIEBHERR"/>
    <n v="1"/>
  </r>
  <r>
    <s v="0120"/>
    <x v="7"/>
    <n v="11500002358"/>
    <s v="Excavator (Liebherr 996)*Excavator (996)*Gooseneck Boom*Pin"/>
    <x v="8"/>
    <s v="Y"/>
    <n v="1"/>
    <s v="Pin"/>
    <s v="Excavator (Liebherr 996)*Excavator (996)*Gooseneck Boom*Pin"/>
    <n v="0"/>
    <s v="9756105"/>
    <s v="LIEBHERR"/>
    <n v="1"/>
  </r>
  <r>
    <s v="0120"/>
    <x v="7"/>
    <n v="11500002386"/>
    <s v="Excavator (Liebherr 996)*Excavator (996)*Cylinder, Boom (Cab Side)*Hydraulic Cylinder, Boom Hoist*Steel Bushing"/>
    <x v="8"/>
    <s v="Y"/>
    <n v="2"/>
    <s v="Steel Bushing"/>
    <s v="Excavator (Liebherr 996)*Excavator (996)*Cylinder, Boom (Cab Side)*Hydraulic Cylinder, Boom Hoist*Steel Bushing"/>
    <n v="1"/>
    <s v="11079255"/>
    <s v="LIEBHERR"/>
    <n v="2"/>
  </r>
  <r>
    <s v="0120"/>
    <x v="7"/>
    <n v="11500002418"/>
    <s v="Excavator (Liebherr 996)*Excavator (996)*Cylinder, Boom (Cab Side)*Hydraulic Cylinder, Boom Hoist*Piston 1*Seal Kit, Boom Hoist Cylinder"/>
    <x v="8"/>
    <s v="Y"/>
    <n v="2"/>
    <s v="Seal Kit, Boom Hoist Cylinder"/>
    <s v="Excavator (Liebherr 996)*Excavator (996)*Cylinder, Boom (Cab Side)*Hydraulic Cylinder, Boom Hoist*Piston 1*Seal Kit, Boom Hoist Cylinder"/>
    <n v="2"/>
    <s v="9063942"/>
    <s v="LIEBHERR"/>
    <n v="2"/>
  </r>
  <r>
    <s v="0120"/>
    <x v="7"/>
    <n v="18400000297"/>
    <s v="Excavator (Liebherr 996)*Excavator (996)*Uppercarriage*Uppercarriage*Hydraulic Instal Upper 1*Hydr.Instal.P.P-Servo*Hose, Servo Valves"/>
    <x v="8"/>
    <s v="Y"/>
    <n v="2"/>
    <s v="Hose, Servo Valves"/>
    <s v="Excavator (Liebherr 996)*Excavator (996)*Uppercarriage*Uppercarriage*Hydraulic Instal Upper 1*Hydr.Instal.P.P-Servo*Hose, Servo Valves"/>
    <n v="3"/>
    <s v="5614843"/>
    <s v="LIEBHERR"/>
    <n v="1"/>
  </r>
  <r>
    <s v="0120"/>
    <x v="7"/>
    <n v="18400000329"/>
    <s v="Excavator (Liebherr 996)*Excavator (996)*Uppercarriage*Uppercarriage*Hydraulic Instal Upper 1*Hydr.Instal.P.P-Servo*Hose, Servo Valves, Pos 50"/>
    <x v="8"/>
    <s v="Y"/>
    <n v="1"/>
    <s v="Hose, Servo Valves, Pos 50"/>
    <s v="Excavator (Liebherr 996)*Excavator (996)*Uppercarriage*Uppercarriage*Hydraulic Instal Upper 1*Hydr.Instal.P.P-Servo*Hose, Servo Valves, Pos 50"/>
    <n v="2"/>
    <s v="5614840"/>
    <s v="LIEBHERR"/>
    <n v="1"/>
  </r>
  <r>
    <s v="0120"/>
    <x v="7"/>
    <n v="18400000330"/>
    <s v="Excavator (Liebherr 996)*Excavator (996)*Uppercarriage*Uppercarriage*Hydraulic Instal Upper 1*Hydr.Instal.P.P-Servo*Hose, Servo Valves, Pos 51"/>
    <x v="8"/>
    <s v="Y"/>
    <n v="1"/>
    <s v="Hose, Servo Valves, Pos 51"/>
    <s v="Excavator (Liebherr 996)*Excavator (996)*Uppercarriage*Uppercarriage*Hydraulic Instal Upper 1*Hydr.Instal.P.P-Servo*Hose, Servo Valves, Pos 51"/>
    <n v="1"/>
    <s v="5614842"/>
    <s v="LIEBHERR"/>
    <n v="1"/>
  </r>
  <r>
    <s v="0120"/>
    <x v="7"/>
    <n v="18400000336"/>
    <s v="Excavator (Liebherr 996)*Excavator (996)*Uppercarriage*Uppercarriage*Hydraulic Instal Upper 1*Hydr.Instal.P.P-Servo*Hose, Servo Valves"/>
    <x v="8"/>
    <s v="Y"/>
    <n v="1"/>
    <s v="Hose, Servo Valves"/>
    <s v="Excavator (Liebherr 996)*Excavator (996)*Uppercarriage*Uppercarriage*Hydraulic Instal Upper 1*Hydr.Instal.P.P-Servo*Hose, Servo Valves"/>
    <n v="2"/>
    <s v="10002664"/>
    <s v="LIEBHERR"/>
    <n v="1"/>
  </r>
  <r>
    <s v="0120"/>
    <x v="7"/>
    <n v="18400000346"/>
    <s v="Excavator (Liebherr 996)*Excavator (996)*Uppercarriage*Uppercarriage*HYDRAULIC INSTAL UPPER 1*HYDR.INSTAL.P.P-SERVO*Hose, Servo Valves"/>
    <x v="8"/>
    <s v="Y"/>
    <n v="1"/>
    <s v="Hose, Servo Valves"/>
    <s v="Excavator (Liebherr 996)*Excavator (996)*Uppercarriage*Uppercarriage*HYDRAULIC INSTAL UPPER 1*HYDR.INSTAL.P.P-SERVO*Hose, Servo Valves"/>
    <n v="1"/>
    <s v="10353796"/>
    <s v="LIEBHERR"/>
    <n v="1"/>
  </r>
  <r>
    <s v="0120"/>
    <x v="7"/>
    <n v="21800000139"/>
    <s v="Boom Assist System*Boom Assist Winch*Winch, Boom Assist*Brake"/>
    <x v="88"/>
    <s v="Y"/>
    <n v="1"/>
    <s v="Brake"/>
    <s v="Boom Assist System*Boom Assist Winch*Winch, Boom Assist*Brake"/>
    <n v="2"/>
    <s v="5020-S"/>
    <s v="KOBELT"/>
    <n v="1"/>
  </r>
  <r>
    <s v="0120"/>
    <x v="7"/>
    <n v="21800000140"/>
    <s v="Boom Assist System*Boom Assist Winch*Winch, Boom Assist*Coupling"/>
    <x v="88"/>
    <s v="Y"/>
    <n v="1"/>
    <s v="Coupling"/>
    <s v="Boom Assist System*Boom Assist Winch*Winch, Boom Assist*Coupling"/>
    <n v="1"/>
    <s v="1130T10"/>
    <s v="Falk"/>
    <n v="1"/>
  </r>
  <r>
    <s v="0120"/>
    <x v="7"/>
    <n v="21800000149"/>
    <s v="Boom Assist System*Pull Back Winch*Pull Back Winch Assembly*Coupling"/>
    <x v="88"/>
    <s v="Y"/>
    <n v="1"/>
    <s v="Coupling"/>
    <s v="Boom Assist System*Pull Back Winch*Pull Back Winch Assembly*Coupling"/>
    <n v="0"/>
    <m/>
    <m/>
    <n v="1"/>
  </r>
  <r>
    <s v="0120"/>
    <x v="7"/>
    <n v="21800000346"/>
    <s v="Buckets*Bucket (512) (24 YD) SPI*Bushing, Stick"/>
    <x v="33"/>
    <s v="Y"/>
    <n v="8"/>
    <s v="Bushing, Stick"/>
    <s v="Buckets*Bucket (512) (24 YD) SPI*Bushing, Stick"/>
    <n v="17"/>
    <s v="11078688"/>
    <s v="LIEBHERR"/>
    <n v="1"/>
  </r>
  <r>
    <s v="0120"/>
    <x v="7"/>
    <n v="21800000347"/>
    <s v="Buckets*Bucket (512) (24 YD) SPI*Bushing, Backhoe-Link"/>
    <x v="33"/>
    <s v="Y"/>
    <n v="4"/>
    <s v="Bushing, Backhoe-Link"/>
    <s v="Buckets*Bucket (512) (24 YD) SPI*Bushing, Backhoe-Link"/>
    <n v="3"/>
    <s v="11078618"/>
    <s v="LIEBHERR"/>
    <n v="1"/>
  </r>
  <r>
    <s v="0120"/>
    <x v="7"/>
    <n v="21800000355"/>
    <s v="Buckets*Bucket (513) (24 YD) SPI*Bushing, Stick"/>
    <x v="33"/>
    <s v="Y"/>
    <n v="8"/>
    <s v="Bushing, Stick"/>
    <s v="Buckets*Bucket (513) (24 YD) SPI*Bushing, Stick"/>
    <n v="17"/>
    <s v="11078688"/>
    <s v="LEIBHERR"/>
    <n v="1"/>
  </r>
  <r>
    <s v="0120"/>
    <x v="7"/>
    <n v="21800000356"/>
    <s v="Buckets*Bucket (513) (24 YD) SPI*Bushing, Link"/>
    <x v="33"/>
    <s v="Y"/>
    <n v="4"/>
    <s v="Bushing, Link"/>
    <s v="Buckets*Bucket (513) (24 YD) SPI*Bushing, Link"/>
    <n v="3"/>
    <s v=" 120-10-10167"/>
    <s v="GLDD DWG"/>
    <n v="1"/>
  </r>
  <r>
    <s v="0120"/>
    <x v="7"/>
    <n v="45000000261"/>
    <s v="Excavator (Liebherr 996)*Excavator (996)*Uppercarriage*Uppercarriage*Electrical System 5*Grease Control Modual"/>
    <x v="8"/>
    <s v="Y"/>
    <n v="2"/>
    <s v="Grease Control Modual"/>
    <s v="Excavator (Liebherr 996)*Excavator (996)*Uppercarriage*Uppercarriage*Electrical System 5*Grease Control Modual"/>
    <n v="3"/>
    <s v="989177901"/>
    <s v="LIEBHERR"/>
    <n v="1"/>
  </r>
  <r>
    <s v="0120"/>
    <x v="7"/>
    <n v="45000004930"/>
    <s v="Generators*Generator Set (Boom Assist)*Breaker, Main"/>
    <x v="4"/>
    <s v="Y"/>
    <n v="1"/>
    <s v="Breaker, Main"/>
    <s v="Generators*Generator Set (Boom Assist)*Breaker, Main"/>
    <n v="1"/>
    <s v="NCP361200 / NCL361200"/>
    <s v="Square D"/>
    <n v="1"/>
  </r>
  <r>
    <s v="0120"/>
    <x v="7"/>
    <n v="45000005587"/>
    <s v="Excavator (Liebherr 996)*Excavator (996)*Excavator Engine (#1) (Cummins)*Splitter Box (#1)*Splitter Box*Hydraulic Hose"/>
    <x v="8"/>
    <s v="Y"/>
    <n v="1"/>
    <s v="Hydraulic Hose"/>
    <s v="Excavator (Liebherr 996)*Excavator (996)*Excavator Engine (#1) (Cummins)*Splitter Box (#1)*Splitter Box*Hydraulic Hose"/>
    <n v="7"/>
    <s v="5603780"/>
    <s v="LIEBHERR"/>
    <n v="6"/>
  </r>
  <r>
    <s v="0120"/>
    <x v="7"/>
    <n v="45000005588"/>
    <s v="Excavator (Liebherr 996)*Excavator (996)*Excavator Engine (#1) (Cummins)*Splitter Box (#1)*Splitter Box*Hydraulic Hose"/>
    <x v="8"/>
    <s v="Y"/>
    <n v="2"/>
    <s v="Hydraulic Hose"/>
    <s v="Excavator (Liebherr 996)*Excavator (996)*Excavator Engine (#1) (Cummins)*Splitter Box (#1)*Splitter Box*Hydraulic Hose"/>
    <n v="4"/>
    <s v="7621213"/>
    <s v="LIEBHERR"/>
    <n v="6"/>
  </r>
  <r>
    <s v="0120"/>
    <x v="7"/>
    <n v="45000005589"/>
    <s v="Excavator (Liebherr 996)*Excavator (996)*Excavator Engine (#1) (Cummins)*Splitter Box (#1)*Splitter Box*Hydraulic Hose Assembly"/>
    <x v="8"/>
    <s v="Y"/>
    <n v="1"/>
    <s v="Hydraulic Hose Assembly"/>
    <s v="Excavator (Liebherr 996)*Excavator (996)*Excavator Engine (#1) (Cummins)*Splitter Box (#1)*Splitter Box*Hydraulic Hose Assembly"/>
    <n v="7"/>
    <s v="5603780"/>
    <s v="LIEBHERR"/>
    <n v="6"/>
  </r>
  <r>
    <s v="0120"/>
    <x v="7"/>
    <n v="45000005601"/>
    <s v="Excavator (Liebherr 996)*Excavator (996)*Excavator Engine (#1) (Cummins)*Splitter Box (#1)*Splitter Box*Hydraulic Hose"/>
    <x v="8"/>
    <s v="Y"/>
    <n v="2"/>
    <s v="Hydraulic Hose"/>
    <s v="Excavator (Liebherr 996)*Excavator (996)*Excavator Engine (#1) (Cummins)*Splitter Box (#1)*Splitter Box*Hydraulic Hose"/>
    <n v="3"/>
    <s v="5612126"/>
    <s v="LIEBHERR"/>
    <n v="6"/>
  </r>
  <r>
    <s v="0120"/>
    <x v="7"/>
    <n v="45000009481"/>
    <s v="Excavator (Liebherr 996)*Excavator (996)*Hydraulic Hoses*Hydraulic Pipe"/>
    <x v="8"/>
    <s v="Y"/>
    <n v="1"/>
    <s v="Hydraulic Pipe"/>
    <s v="Excavator (Liebherr 996)*Excavator (996)*Hydraulic Hoses*Hydraulic Pipe"/>
    <n v="1"/>
    <s v="9836147"/>
    <s v="LIEBHERR"/>
    <n v="1"/>
  </r>
  <r>
    <s v="0120"/>
    <x v="7"/>
    <n v="45000009482"/>
    <s v="Excavator (Liebherr 996)*Excavator (996)*Hydraulic Hoses*Hydraulic Pipe"/>
    <x v="8"/>
    <s v="Y"/>
    <n v="1"/>
    <s v="Hydraulic Pipe"/>
    <s v="Excavator (Liebherr 996)*Excavator (996)*Hydraulic Hoses*Hydraulic Pipe"/>
    <n v="1"/>
    <s v="9836231"/>
    <s v="LIEBHERR"/>
    <n v="1"/>
  </r>
  <r>
    <s v="0120"/>
    <x v="7"/>
    <n v="45000009483"/>
    <s v="Excavator (Liebherr 996)*Excavator (996)*Hydraulic Hoses*Hydraulic Pipe"/>
    <x v="8"/>
    <s v="Y"/>
    <n v="1"/>
    <s v="Hydraulic Pipe"/>
    <s v="Excavator (Liebherr 996)*Excavator (996)*Hydraulic Hoses*Hydraulic Pipe"/>
    <n v="1"/>
    <s v="9836234"/>
    <s v="LIEBHERR"/>
    <n v="1"/>
  </r>
  <r>
    <s v="0120"/>
    <x v="7"/>
    <n v="45000009484"/>
    <s v="Excavator (Liebherr 996)*Excavator (996)*Hydraulic Hoses*Hydraulic Pipe"/>
    <x v="8"/>
    <s v="Y"/>
    <n v="1"/>
    <s v="Hydraulic Pipe"/>
    <s v="Excavator (Liebherr 996)*Excavator (996)*Hydraulic Hoses*Hydraulic Pipe"/>
    <n v="1"/>
    <s v="9836250"/>
    <s v="LIEBHERR"/>
    <n v="1"/>
  </r>
  <r>
    <s v="0120"/>
    <x v="7"/>
    <n v="45000009485"/>
    <s v="Excavator (Liebherr 996)*Excavator (996)*Hydraulic Hoses*Hydraulic Pipe"/>
    <x v="8"/>
    <s v="Y"/>
    <n v="1"/>
    <s v="Hydraulic Pipe"/>
    <s v="Excavator (Liebherr 996)*Excavator (996)*Hydraulic Hoses*Hydraulic Pipe"/>
    <n v="1"/>
    <s v="9836287"/>
    <s v="LIEBHERR"/>
    <n v="1"/>
  </r>
  <r>
    <s v="0120"/>
    <x v="7"/>
    <n v="45000009486"/>
    <s v="Excavator (Liebherr 996)*Excavator (996)*Hydraulic Hoses*Hydraulic Pipe"/>
    <x v="8"/>
    <s v="Y"/>
    <n v="1"/>
    <s v="Hydraulic Pipe"/>
    <s v="Excavator (Liebherr 996)*Excavator (996)*Hydraulic Hoses*Hydraulic Pipe"/>
    <n v="1"/>
    <s v="9836328"/>
    <s v="LIEBHERR"/>
    <n v="1"/>
  </r>
  <r>
    <s v="0120"/>
    <x v="7"/>
    <n v="45000009487"/>
    <s v="Excavator (Liebherr 996)*Excavator (996)*Hydraulic Hoses*Hydraulic Pipe"/>
    <x v="8"/>
    <s v="Y"/>
    <n v="1"/>
    <s v="Hydraulic Pipe"/>
    <s v="Excavator (Liebherr 996)*Excavator (996)*Hydraulic Hoses*Hydraulic Pipe"/>
    <n v="1"/>
    <s v="9836291"/>
    <s v="LIEBHERR"/>
    <n v="1"/>
  </r>
  <r>
    <s v="0120"/>
    <x v="7"/>
    <n v="45000009488"/>
    <s v="Excavator (Liebherr 996)*Excavator (996)*Hydraulic Hoses*Hydraulic Pipe"/>
    <x v="8"/>
    <s v="Y"/>
    <n v="1"/>
    <s v="Hydraulic Pipe"/>
    <s v="Excavator (Liebherr 996)*Excavator (996)*Hydraulic Hoses*Hydraulic Pipe"/>
    <n v="1"/>
    <s v="9836348"/>
    <s v="LIEBHERR"/>
    <n v="1"/>
  </r>
  <r>
    <s v="0120"/>
    <x v="7"/>
    <n v="45000011597"/>
    <s v="Safety Firefighting*Fixed Fire Suppression System (Ansul)*Heat Sensor (190 Degrees) (FST-851H)"/>
    <x v="84"/>
    <s v="Y"/>
    <n v="4"/>
    <s v="Heat Sensor (190 Degrees) (FST-851H)"/>
    <s v="Safety Firefighting*Fixed Fire Suppression System (Ansul)*Heat Sensor (190 Degrees) (FST-851H)"/>
    <n v="4"/>
    <s v="432292"/>
    <s v="ANSUL"/>
    <n v="1"/>
  </r>
  <r>
    <s v="0120"/>
    <x v="7"/>
    <n v="45000012196"/>
    <s v="Spud System*Walking Spud*Spud Carrier*Travel Winch*Hydraulic Motor (Fwd)*Hydraulic Motor, Travel Winch"/>
    <x v="73"/>
    <s v="Y"/>
    <n v="1"/>
    <s v="Hydraulic Motor, Travel Winch"/>
    <s v="Spud System*Walking Spud*Spud Carrier*Travel Winch*Hydraulic Motor (Fwd)*Hydraulic Motor, Travel Winch"/>
    <n v="3"/>
    <s v="M24V 3N1D 8A5 B00"/>
    <s v="DENISON"/>
    <n v="2"/>
  </r>
  <r>
    <s v="0120"/>
    <x v="7"/>
    <n v="45000012217"/>
    <s v="Excavator (Liebherr 996)*Excavator (996)*Gooseneck Boom*Gooseneck Boom*Hoses Upper Boom*Hose, Upper Gooseneck Boom, Pos 3"/>
    <x v="8"/>
    <s v="Y"/>
    <n v="2"/>
    <s v="Hose, Upper Gooseneck Boom, Pos 3"/>
    <s v="Excavator (Liebherr 996)*Excavator (996)*Gooseneck Boom*Gooseneck Boom*Hoses Upper Boom*Hose, Upper Gooseneck Boom, Pos 3"/>
    <n v="0"/>
    <s v="5618970"/>
    <s v="LIEBHERR"/>
    <n v="1"/>
  </r>
  <r>
    <s v="0120"/>
    <x v="7"/>
    <n v="45000012254"/>
    <s v="Vessel Consumables*Brushes (Electrical)*Brush, Boom Assist Motor"/>
    <x v="78"/>
    <s v="Y"/>
    <n v="6"/>
    <s v="Brush, Boom Assist Motor"/>
    <s v="Vessel Consumables*Brushes (Electrical)*Brush, Boom Assist Motor"/>
    <n v="8"/>
    <s v="10-752222-580-2-06"/>
    <s v="HELWIG CARBON"/>
    <n v="1"/>
  </r>
  <r>
    <s v="0120"/>
    <x v="7"/>
    <n v="45000012342"/>
    <s v="Boom Assist System*Pull Back Winch*Pull Back Winch Assembly*Power Pack*Pump Assembly"/>
    <x v="88"/>
    <s v="Y"/>
    <n v="1"/>
    <s v="Pump Assembly"/>
    <s v="Boom Assist System*Pull Back Winch*Pull Back Winch Assembly*Power Pack*Pump Assembly"/>
    <n v="0"/>
    <s v="T6090-P3650006"/>
    <s v="TECKCRANE"/>
    <n v="1"/>
  </r>
  <r>
    <s v="0120"/>
    <x v="7"/>
    <n v="45000012515"/>
    <s v="Hydraulic System*Hytop System*Main Power Unit*Sequence Valve Cartridge"/>
    <x v="87"/>
    <s v="Y"/>
    <n v="1"/>
    <s v="Sequence Valve Cartridge"/>
    <s v="Hydraulic System*Hytop System*Main Power Unit*Sequence Valve Cartridge"/>
    <n v="5"/>
    <s v="CEO50C04TOOV"/>
    <s v="DENISON"/>
    <n v="1"/>
  </r>
  <r>
    <s v="0120"/>
    <x v="7"/>
    <n v="45000012956"/>
    <s v="Excavator (Liebherr 996)*Excavator (996)*Uppercarriage*Uppercarriage*Hub, Fan"/>
    <x v="8"/>
    <s v="Y"/>
    <n v="1"/>
    <s v="Hub, Fan"/>
    <s v="Excavator (Liebherr 996)*Excavator (996)*Uppercarriage*Uppercarriage*Hub, Fan"/>
    <n v="1"/>
    <s v="10373592"/>
    <s v="LIEBHERR"/>
    <n v="1"/>
  </r>
  <r>
    <s v="0120"/>
    <x v="7"/>
    <n v="45000012957"/>
    <s v="Excavator (Liebherr 996)*Excavator (996)*Uppercarriage*Uppercarriage*Fan Blade"/>
    <x v="8"/>
    <s v="Y"/>
    <n v="1"/>
    <s v="Fan Blade"/>
    <s v="Excavator (Liebherr 996)*Excavator (996)*Uppercarriage*Uppercarriage*Fan Blade"/>
    <n v="2"/>
    <s v="5617769"/>
    <s v="LIEBHERR"/>
    <n v="1"/>
  </r>
  <r>
    <s v="0120"/>
    <x v="7"/>
    <n v="45000013408"/>
    <s v="Hydraulic System*Hytop System*Gear Pump, Hytop System*Coupling, Hytop System"/>
    <x v="87"/>
    <s v="Y"/>
    <n v="1"/>
    <s v="Coupling, Hytop System"/>
    <s v="Hydraulic System*Hytop System*Gear Pump, Hytop System*Coupling, Hytop System"/>
    <n v="1"/>
    <s v="BA020285172500"/>
    <s v="KTR"/>
    <n v="1"/>
  </r>
  <r>
    <s v="0120"/>
    <x v="7"/>
    <n v="45000013409"/>
    <s v="Hydraulic System*Hytop System*Gear Pump, Hytop System*Coupling, Hytop System"/>
    <x v="87"/>
    <s v="Y"/>
    <n v="1"/>
    <s v="Coupling, Hytop System"/>
    <s v="Hydraulic System*Hytop System*Gear Pump, Hytop System*Coupling, Hytop System"/>
    <n v="1"/>
    <s v="BA020285173800"/>
    <s v="KTR"/>
    <n v="1"/>
  </r>
  <r>
    <s v="0120"/>
    <x v="7"/>
    <n v="45000013808"/>
    <s v="Excavator (Liebherr 996)*Excavator (996)*Uppercarriage*Uppercarriage*Hydraulic Instal Upper 1*Hydr.Instal.P.P-Servo*Hose, Servo Valves"/>
    <x v="8"/>
    <s v="Y"/>
    <n v="1"/>
    <s v="Hose, Servo Valves"/>
    <s v="Excavator (Liebherr 996)*Excavator (996)*Uppercarriage*Uppercarriage*Hydraulic Instal Upper 1*Hydr.Instal.P.P-Servo*Hose, Servo Valves"/>
    <n v="1"/>
    <s v="10002666"/>
    <s v="LIEBHERR"/>
    <n v="1"/>
  </r>
  <r>
    <s v="0120"/>
    <x v="7"/>
    <n v="45000014126"/>
    <s v="Excavator (Liebherr 996)*Excavator (996)*Stick*8M/5M STICK COMMON PARTS*Bushing, Stick Cylinder"/>
    <x v="8"/>
    <s v="Y"/>
    <n v="4"/>
    <s v="Bushing, Stick Cylinder"/>
    <s v="Excavator (Liebherr 996)*Excavator (996)*Stick*8M/5M STICK COMMON PARTS*Bushing, Stick Cylinder"/>
    <n v="4"/>
    <s v="11078620"/>
    <s v="LIEBHERR"/>
    <n v="1"/>
  </r>
  <r>
    <s v="0120"/>
    <x v="7"/>
    <n v="45000014128"/>
    <s v="Excavator (Liebherr 996)*Excavator (996)*Stick*8M/5M STICK COMMON PARTS*Lever Bushing"/>
    <x v="8"/>
    <s v="Y"/>
    <n v="2"/>
    <s v="Lever Bushing"/>
    <s v="Excavator (Liebherr 996)*Excavator (996)*Stick*8M/5M STICK COMMON PARTS*Lever Bushing"/>
    <n v="0"/>
    <s v="11078680"/>
    <s v="LIEBHERR"/>
    <n v="1"/>
  </r>
  <r>
    <s v="0120"/>
    <x v="7"/>
    <n v="45000014832"/>
    <s v="Excavator (Liebherr 996)*Excavator (996)*Hydraulic Hoses*Hydraulic Hose"/>
    <x v="8"/>
    <s v="Y"/>
    <n v="2"/>
    <s v="Hydraulic Hose"/>
    <s v="Excavator (Liebherr 996)*Excavator (996)*Hydraulic Hoses*Hydraulic Hose"/>
    <n v="4"/>
    <s v="5612005"/>
    <s v="LIEBHERR"/>
    <n v="1"/>
  </r>
  <r>
    <s v="0120"/>
    <x v="7"/>
    <n v="45000014833"/>
    <s v="Excavator (Liebherr 996)*Excavator (996)*Hydraulic Hoses*Hydraulic Hose"/>
    <x v="8"/>
    <s v="Y"/>
    <n v="3"/>
    <s v="Hydraulic Hose"/>
    <s v="Excavator (Liebherr 996)*Excavator (996)*Hydraulic Hoses*Hydraulic Hose"/>
    <n v="3"/>
    <s v="5613227"/>
    <s v="LIEBHERR"/>
    <n v="1"/>
  </r>
  <r>
    <s v="0120"/>
    <x v="7"/>
    <n v="45000015692"/>
    <s v="Boom Assist System*Boom Assist Winch*Cooling Fan*Motor, (10 HP)*Motor, 10 HP"/>
    <x v="88"/>
    <s v="Y"/>
    <n v="1"/>
    <s v="Motor, 10 HP"/>
    <s v="Boom Assist System*Boom Assist Winch*Cooling Fan*Motor, (10 HP)*Motor, 10 HP"/>
    <n v="1"/>
    <s v="AB34"/>
    <s v="EMERSON"/>
    <n v="1"/>
  </r>
  <r>
    <s v="0120"/>
    <x v="7"/>
    <n v="45000015694"/>
    <s v="Boom Assist System*Boom Assist Winch*Secondary Reduction Gear*Oil Circulating Pump Set*Oil Circulating Pump"/>
    <x v="88"/>
    <s v="Y"/>
    <n v="1"/>
    <s v="Oil Circulating Pump"/>
    <s v="Boom Assist System*Boom Assist Winch*Secondary Reduction Gear*Oil Circulating Pump Set*Oil Circulating Pump"/>
    <n v="1"/>
    <s v="3C2F-C-7"/>
    <s v="MARSHALL BOND PUMPS"/>
    <n v="1"/>
  </r>
  <r>
    <s v="0120"/>
    <x v="7"/>
    <n v="45000016326"/>
    <s v="Excavator (Liebherr 996)*Excavator (996)*Hydraulic Hoses*Hydraulic Hose"/>
    <x v="8"/>
    <s v="Y"/>
    <n v="1"/>
    <s v="Hydraulic Hose"/>
    <s v="Excavator (Liebherr 996)*Excavator (996)*Hydraulic Hoses*Hydraulic Hose"/>
    <n v="1"/>
    <s v="5612162"/>
    <s v="LIEBHERR"/>
    <n v="1"/>
  </r>
  <r>
    <s v="0120"/>
    <x v="7"/>
    <n v="45000016328"/>
    <s v="Excavator (Liebherr 996)*Excavator (996)*Hydraulic Hoses*Hydraulic Hose, Pos 41"/>
    <x v="8"/>
    <s v="Y"/>
    <n v="1"/>
    <s v="Hydraulic Hose, Pos 41"/>
    <s v="Excavator (Liebherr 996)*Excavator (996)*Hydraulic Hoses*Hydraulic Hose, Pos 41"/>
    <n v="1"/>
    <s v="5612164"/>
    <s v="LIEBHERR"/>
    <n v="1"/>
  </r>
  <r>
    <s v="0120"/>
    <x v="7"/>
    <n v="45000016329"/>
    <s v="Excavator (Liebherr 996)*Excavator (996)*Hydraulic Hoses*Hydraulic Hose"/>
    <x v="8"/>
    <s v="Y"/>
    <n v="3"/>
    <s v="Hydraulic Hose"/>
    <s v="Excavator (Liebherr 996)*Excavator (996)*Hydraulic Hoses*Hydraulic Hose"/>
    <n v="3"/>
    <s v="5612163"/>
    <s v="LIEBHERR"/>
    <n v="1"/>
  </r>
  <r>
    <s v="0120"/>
    <x v="7"/>
    <n v="45000016330"/>
    <s v="Excavator (Liebherr 996)*Excavator (996)*Hydraulic Hoses*Hydraulic Hose"/>
    <x v="8"/>
    <s v="Y"/>
    <n v="1"/>
    <s v="Hydraulic Hose"/>
    <s v="Excavator (Liebherr 996)*Excavator (996)*Hydraulic Hoses*Hydraulic Hose"/>
    <n v="0"/>
    <s v="5612161"/>
    <s v="LIEBHERR"/>
    <n v="1"/>
  </r>
  <r>
    <s v="0120"/>
    <x v="7"/>
    <n v="45000016331"/>
    <s v="Excavator (Liebherr 996)*Excavator (996)*Hydraulic Hoses*Hydraulic Hose"/>
    <x v="8"/>
    <s v="Y"/>
    <n v="1"/>
    <s v="Hydraulic Hose"/>
    <s v="Excavator (Liebherr 996)*Excavator (996)*Hydraulic Hoses*Hydraulic Hose"/>
    <n v="1"/>
    <s v="5612165"/>
    <s v="LIEBHERR"/>
    <n v="1"/>
  </r>
  <r>
    <s v="0120"/>
    <x v="7"/>
    <n v="45000016332"/>
    <s v="Excavator (Liebherr 996)*Excavator (996)*Hydraulic Hoses*Hydraulic Hose, (Pos 20)"/>
    <x v="8"/>
    <s v="Y"/>
    <n v="1"/>
    <s v="Hydraulic Hose, (Pos 20)"/>
    <s v="Excavator (Liebherr 996)*Excavator (996)*Hydraulic Hoses*Hydraulic Hose, (Pos 20)"/>
    <n v="0"/>
    <s v="5612166"/>
    <s v="LIEBHERR"/>
    <n v="1"/>
  </r>
  <r>
    <s v="0120"/>
    <x v="7"/>
    <n v="45000016333"/>
    <s v="Excavator (Liebherr 996)*Excavator (996)*Hydraulic Hoses*Hydraulic Hose"/>
    <x v="8"/>
    <s v="Y"/>
    <n v="1"/>
    <s v="Hydraulic Hose"/>
    <s v="Excavator (Liebherr 996)*Excavator (996)*Hydraulic Hoses*Hydraulic Hose"/>
    <n v="1"/>
    <s v="5612274"/>
    <s v="LIEBHERR"/>
    <n v="1"/>
  </r>
  <r>
    <s v="0120"/>
    <x v="7"/>
    <n v="45000016334"/>
    <s v="Excavator (Liebherr 996)*Excavator (996)*Hydraulic Hoses*Hydraulic Hose, Pos 21"/>
    <x v="8"/>
    <s v="Y"/>
    <n v="1"/>
    <s v="Hydraulic Hose, Pos 21"/>
    <s v="Excavator (Liebherr 996)*Excavator (996)*Hydraulic Hoses*Hydraulic Hose, Pos 21"/>
    <n v="2"/>
    <s v="5612167"/>
    <s v="LIEBHERR"/>
    <n v="1"/>
  </r>
  <r>
    <s v="0120"/>
    <x v="7"/>
    <n v="45000016341"/>
    <s v="Excavator (Liebherr 996)*Excavator (996)*Hydraulic Hoses*Hydraulic Hose"/>
    <x v="8"/>
    <s v="Y"/>
    <n v="1"/>
    <s v="Hydraulic Hose"/>
    <s v="Excavator (Liebherr 996)*Excavator (996)*Hydraulic Hoses*Hydraulic Hose"/>
    <n v="1"/>
    <s v="5612275"/>
    <s v="LIEBHERR"/>
    <n v="1"/>
  </r>
  <r>
    <s v="0120"/>
    <x v="7"/>
    <n v="45000016386"/>
    <s v="Generators*Generator (#2)*Generator Engine (#2) (Cummins)*Engine (Cummins NTA-855-G2)*Fuel Shut-Off Valve Solenoid"/>
    <x v="4"/>
    <s v="Y"/>
    <n v="1"/>
    <s v="Fuel Shut-Off Valve Solenoid"/>
    <s v="Generators*Generator (#2)*Generator Engine (#2) (Cummins)*Engine (Cummins NTA-855-G2)*Fuel Shut-Off Valve Solenoid"/>
    <n v="2"/>
    <s v="3054609"/>
    <s v="Cummins"/>
    <n v="2"/>
  </r>
  <r>
    <s v="0120"/>
    <x v="7"/>
    <n v="45000016387"/>
    <s v="Generators*Generator (#2)*Generator Engine (#2) (Cummins)*Engine (Cummins NTA-855-G2)*Starter"/>
    <x v="4"/>
    <s v="Y"/>
    <n v="2"/>
    <s v="Starter"/>
    <s v="Generators*Generator (#2)*Generator Engine (#2) (Cummins)*Engine (Cummins NTA-855-G2)*Starter"/>
    <n v="2"/>
    <s v="3604321RX"/>
    <s v="Cummins"/>
    <n v="2"/>
  </r>
  <r>
    <s v="0120"/>
    <x v="7"/>
    <n v="45000016389"/>
    <s v="Generators*Generator (#2)*Generator Engine (#2) (Cummins)*Engine (Cummins NTA-855-G2)*Magnetic Pick-Up"/>
    <x v="4"/>
    <s v="Y"/>
    <n v="2"/>
    <s v="Magnetic Pick-Up"/>
    <s v="Generators*Generator (#2)*Generator Engine (#2) (Cummins)*Engine (Cummins NTA-855-G2)*Magnetic Pick-Up"/>
    <n v="5"/>
    <s v="213272"/>
    <s v="Cummins"/>
    <n v="2"/>
  </r>
  <r>
    <s v="0120"/>
    <x v="7"/>
    <n v="45000016390"/>
    <s v="Generators*Generator (#2)*Generator Engine (#2) (Cummins)*Engine (Cummins NTA-855-G2)*Magnetic Pick-Up Wiring Harness"/>
    <x v="4"/>
    <s v="Y"/>
    <n v="1"/>
    <s v="Magnetic Pick-Up Wiring Harness"/>
    <s v="Generators*Generator (#2)*Generator Engine (#2) (Cummins)*Engine (Cummins NTA-855-G2)*Magnetic Pick-Up Wiring Harness"/>
    <n v="5"/>
    <s v="213273"/>
    <s v="Cummins"/>
    <n v="2"/>
  </r>
  <r>
    <s v="0120"/>
    <x v="7"/>
    <n v="45000016948"/>
    <s v="Spud System*Stbd Spud*Spud Casing (Stbd)*In Lead Sheave*Spud Sheave, Inlead-Guiding"/>
    <x v="73"/>
    <s v="Y"/>
    <n v="1"/>
    <s v="Spud Sheave, Inlead-Guiding"/>
    <s v="Spud System*Stbd Spud*Spud Casing (Stbd)*In Lead Sheave*Spud Sheave, Inlead-Guiding"/>
    <n v="1"/>
    <s v="120-06-0609"/>
    <s v="Gldd Dwg "/>
    <n v="1"/>
  </r>
  <r>
    <s v="0120"/>
    <x v="7"/>
    <n v="45000017964"/>
    <s v="Hydraulic System*Hytop System*Heat Exchanger*HEAT EXCHANGER, PLATE*Gasket, Channel Plate, Small"/>
    <x v="87"/>
    <s v="Y"/>
    <n v="1"/>
    <s v="Gasket, Channel Plate, Small"/>
    <s v="Hydraulic System*Hytop System*Heat Exchanger*HEAT EXCHANGER, PLATE*Gasket, Channel Plate, Small"/>
    <n v="2"/>
    <s v="3233014146"/>
    <s v="Alfa Laval"/>
    <n v="1"/>
  </r>
  <r>
    <s v="0120"/>
    <x v="7"/>
    <n v="45000017965"/>
    <s v="Hydraulic System*Hytop System*Heat Exchanger*HEAT EXCHANGER, PLATE*Gasket, Connecting Ring"/>
    <x v="87"/>
    <s v="Y"/>
    <n v="1"/>
    <s v="Gasket, Connecting Ring"/>
    <s v="Hydraulic System*Hytop System*Heat Exchanger*HEAT EXCHANGER, PLATE*Gasket, Connecting Ring"/>
    <n v="2"/>
    <s v="3450484901"/>
    <s v="Alfa Laval"/>
    <n v="1"/>
  </r>
  <r>
    <s v="0120"/>
    <x v="7"/>
    <n v="45000018739"/>
    <s v="Boom Assist System*Pull Back Winch*Pull Back Winch Assembly*Power Pack*Valve, Sun Cartridge Hydraulic"/>
    <x v="88"/>
    <s v="Y"/>
    <n v="1"/>
    <s v="Valve, Sun Cartridge Hydraulic"/>
    <s v="Boom Assist System*Pull Back Winch*Pull Back Winch Assembly*Power Pack*Valve, Sun Cartridge Hydraulic"/>
    <n v="0"/>
    <s v="RAH161530"/>
    <s v="SUN"/>
    <n v="1"/>
  </r>
  <r>
    <s v="0120"/>
    <x v="7"/>
    <n v="45000019391"/>
    <s v="Electrical*Boom Assist*Hoist Assist Drive/PLC*40A, 300Vdc Rectifier Fuse"/>
    <x v="61"/>
    <s v="Y"/>
    <n v="2"/>
    <s v="40A, 300Vdc Rectifier Fuse"/>
    <s v="Electrical*Boom Assist*Hoist Assist Drive/PLC*40A, 300Vdc Rectifier Fuse"/>
    <n v="4"/>
    <s v="A30QS-40-4"/>
    <s v="FERRAZ/SHAWMUT"/>
    <n v="1"/>
  </r>
  <r>
    <s v="0120"/>
    <x v="7"/>
    <n v="45000020052"/>
    <s v="Excavator (Liebherr 996)*Excavator (996)*Excavator Engine (#1) (Cummins)*Splitter Box (#1)*Splitter Box*Hydraulic Hose"/>
    <x v="8"/>
    <s v="Y"/>
    <n v="2"/>
    <s v="Hydraulic Hose"/>
    <s v="Excavator (Liebherr 996)*Excavator (996)*Excavator Engine (#1) (Cummins)*Splitter Box (#1)*Splitter Box*Hydraulic Hose"/>
    <n v="1"/>
    <s v="10286707"/>
    <s v="LIEBHERR"/>
    <n v="6"/>
  </r>
  <r>
    <s v="0120"/>
    <x v="7"/>
    <n v="45000020976"/>
    <s v="Excavator (Liebherr 996)*Excavator (996)*Stick*8M/5M STICK COMMON PARTS*Bushing, Stick"/>
    <x v="8"/>
    <s v="Y"/>
    <n v="4"/>
    <s v="Bushing, Stick"/>
    <s v="Excavator (Liebherr 996)*Excavator (996)*Stick*8M/5M STICK COMMON PARTS*Bushing, Stick"/>
    <n v="8"/>
    <s v="11078686"/>
    <s v="LIEBHERR"/>
    <n v="1"/>
  </r>
  <r>
    <s v="0120"/>
    <x v="7"/>
    <n v="45000021136"/>
    <s v="Boom Assist System*Boom Assist Motor*Brush Holder"/>
    <x v="88"/>
    <s v="Y"/>
    <n v="1"/>
    <s v="Brush Holder"/>
    <s v="Boom Assist System*Boom Assist Motor*Brush Holder"/>
    <n v="1"/>
    <s v="41C326667G1"/>
    <s v="ELECTRICAL SOURCE"/>
    <n v="1"/>
  </r>
  <r>
    <s v="0120"/>
    <x v="7"/>
    <n v="45000021172"/>
    <s v="Spud System*Walking Spud*Spud Carrier*Travel Winch*Drum Brake*Brake Cylinder, Travel Winch"/>
    <x v="73"/>
    <s v="Y"/>
    <n v="1"/>
    <s v="Brake Cylinder, Travel Winch"/>
    <s v="Spud System*Walking Spud*Spud Carrier*Travel Winch*Drum Brake*Brake Cylinder, Travel Winch"/>
    <n v="1"/>
    <s v="YS-110393-WLD-5X1.772X1"/>
    <s v="Yates Industries, Inc."/>
    <n v="1"/>
  </r>
  <r>
    <s v="0120"/>
    <x v="7"/>
    <n v="45000021254"/>
    <s v="Excavator (Liebherr 996)*Excavator (996)*Uppercarriage*Uppercarriage*Hydraulic Hose"/>
    <x v="8"/>
    <s v="Y"/>
    <n v="2"/>
    <s v="Hydraulic Hose"/>
    <s v="Excavator (Liebherr 996)*Excavator (996)*Uppercarriage*Uppercarriage*Hydraulic Hose"/>
    <n v="3"/>
    <s v="5614051"/>
    <s v="LIEBHERR"/>
    <n v="1"/>
  </r>
  <r>
    <s v="0120"/>
    <x v="7"/>
    <n v="45000022722"/>
    <s v="Production Instrumentation/Monitoring*Production Monitoring*Rotary Sensor Potentiometer"/>
    <x v="75"/>
    <s v="Y"/>
    <n v="1"/>
    <s v="Rotary Sensor Potentiometer"/>
    <s v="Production Instrumentation/Monitoring*Production Monitoring*Rotary Sensor Potentiometer"/>
    <n v="13"/>
    <s v="P-6501-A502"/>
    <s v="NOVOTECHNIK"/>
    <n v="1"/>
  </r>
  <r>
    <s v="0120"/>
    <x v="7"/>
    <n v="45000024294"/>
    <s v="Excavator (Liebherr 996)*Excavator (996)*Hydraulic Hoses*Hydraulic Hose"/>
    <x v="8"/>
    <s v="Y"/>
    <n v="2"/>
    <s v="Hydraulic Hose"/>
    <s v="Excavator (Liebherr 996)*Excavator (996)*Hydraulic Hoses*Hydraulic Hose"/>
    <n v="2"/>
    <s v="5617511"/>
    <s v="LIEBHERR"/>
    <n v="1"/>
  </r>
  <r>
    <s v="0120"/>
    <x v="7"/>
    <n v="45000024295"/>
    <s v="Excavator (Liebherr 996)*Excavator (996)*Hydraulic Hoses*Hydraulic Hose"/>
    <x v="8"/>
    <s v="Y"/>
    <n v="2"/>
    <s v="Hydraulic Hose"/>
    <s v="Excavator (Liebherr 996)*Excavator (996)*Hydraulic Hoses*Hydraulic Hose"/>
    <n v="3"/>
    <s v="5617510"/>
    <s v="LIEBHERR"/>
    <n v="1"/>
  </r>
  <r>
    <s v="0120"/>
    <x v="7"/>
    <n v="45000025002"/>
    <s v="Bilge/Ballast*Bilge/Ballast/Fire Pump Set (#1)*Pump, Goulds 3796 MTX*Coupling*Coupling, Dura-Flex 4"/>
    <x v="83"/>
    <s v="Y"/>
    <n v="2"/>
    <s v="Coupling, Dura-Flex 4"/>
    <s v="Bilge/Ballast*Bilge/Ballast/Fire Pump Set (#1)*Pump, Goulds 3796 MTX*Coupling*Coupling, Dura-Flex 4"/>
    <n v="3"/>
    <m/>
    <m/>
    <n v="2"/>
  </r>
  <r>
    <s v="0120"/>
    <x v="7"/>
    <n v="45000027651"/>
    <s v="Excavator (Liebherr 996)*Excavator (996)*Uppercarriage*Uppercarriage*Hydraulic Instal Upper 1*Hydr.Instal.P.P-Servo*Hose, Servo"/>
    <x v="8"/>
    <s v="Y"/>
    <n v="1"/>
    <s v="Hose, Servo"/>
    <s v="Excavator (Liebherr 996)*Excavator (996)*Uppercarriage*Uppercarriage*Hydraulic Instal Upper 1*Hydr.Instal.P.P-Servo*Hose, Servo"/>
    <n v="2"/>
    <s v="10353796"/>
    <s v="LIEBHERR"/>
    <n v="1"/>
  </r>
  <r>
    <s v="0120"/>
    <x v="7"/>
    <n v="45000027656"/>
    <s v="Excavator (Liebherr 996)*Excavator (996)*Gooseneck Boom*Gooseneck Boom*Hydraulic Hose"/>
    <x v="8"/>
    <s v="Y"/>
    <n v="2"/>
    <s v="Hydraulic Hose"/>
    <s v="Excavator (Liebherr 996)*Excavator (996)*Gooseneck Boom*Gooseneck Boom*Hydraulic Hose"/>
    <n v="3"/>
    <s v="10218901"/>
    <s v="LIEBHERR"/>
    <n v="1"/>
  </r>
  <r>
    <s v="0120"/>
    <x v="7"/>
    <n v="45000027864"/>
    <s v="Excavator (Liebherr 996)*Excavator (996)*Uppercarriage*Uppercarriage*Hose"/>
    <x v="8"/>
    <s v="Y"/>
    <n v="2"/>
    <s v="Hose"/>
    <s v="Excavator (Liebherr 996)*Excavator (996)*Uppercarriage*Uppercarriage*Hose"/>
    <n v="5"/>
    <s v="5613039"/>
    <s v="LIEBHERR"/>
    <n v="1"/>
  </r>
  <r>
    <s v="0120"/>
    <x v="7"/>
    <n v="45000027873"/>
    <s v="Excavator (Liebherr 996)*Excavator (996)*Hydraulic Hoses*Hydraulic Hose"/>
    <x v="8"/>
    <s v="Y"/>
    <n v="1"/>
    <s v="Hydraulic Hose"/>
    <s v="Excavator (Liebherr 996)*Excavator (996)*Hydraulic Hoses*Hydraulic Hose"/>
    <n v="0"/>
    <s v="5612280"/>
    <s v="LIEBHERR"/>
    <n v="1"/>
  </r>
  <r>
    <s v="0120"/>
    <x v="7"/>
    <n v="45000027874"/>
    <s v="Excavator (Liebherr 996)*Excavator (996)*Hydraulic Hoses*Hydraulic Hose"/>
    <x v="8"/>
    <s v="Y"/>
    <n v="1"/>
    <s v="Hydraulic Hose"/>
    <s v="Excavator (Liebherr 996)*Excavator (996)*Hydraulic Hoses*Hydraulic Hose"/>
    <n v="1"/>
    <s v="5614514"/>
    <s v="LIEBHERR"/>
    <n v="1"/>
  </r>
  <r>
    <s v="0120"/>
    <x v="7"/>
    <n v="45000027875"/>
    <s v="Excavator (Liebherr 996)*Excavator (996)*Hydraulic Hoses*Hydraulic Hose"/>
    <x v="8"/>
    <s v="Y"/>
    <n v="1"/>
    <s v="Hydraulic Hose"/>
    <s v="Excavator (Liebherr 996)*Excavator (996)*Hydraulic Hoses*Hydraulic Hose"/>
    <n v="1"/>
    <s v="5612330"/>
    <s v="LIEBHERR"/>
    <n v="1"/>
  </r>
  <r>
    <s v="0120"/>
    <x v="7"/>
    <n v="45000027876"/>
    <s v="Excavator (Liebherr 996)*Excavator (996)*Hydraulic Hoses*Hydraulic Hose"/>
    <x v="8"/>
    <s v="Y"/>
    <n v="1"/>
    <s v="Hydraulic Hose"/>
    <s v="Excavator (Liebherr 996)*Excavator (996)*Hydraulic Hoses*Hydraulic Hose"/>
    <n v="2"/>
    <s v="5612335"/>
    <s v="LIEBHERR"/>
    <n v="1"/>
  </r>
  <r>
    <s v="0120"/>
    <x v="7"/>
    <n v="45000028489"/>
    <s v="Excavator (Liebherr 996)*Excavator (996)*Stick*8M/5M STICK COMMON PARTS*Bushing"/>
    <x v="8"/>
    <s v="Y"/>
    <n v="2"/>
    <s v="Bushing"/>
    <s v="Excavator (Liebherr 996)*Excavator (996)*Stick*8M/5M STICK COMMON PARTS*Bushing"/>
    <n v="2"/>
    <s v="11078687"/>
    <s v="LIEBHERR"/>
    <n v="1"/>
  </r>
  <r>
    <s v="0120"/>
    <x v="7"/>
    <n v="45000030555"/>
    <s v="Excavator (Liebherr 996)*Excavator (996)*Stick*8M/5M STICK COMMON PARTS*Pin"/>
    <x v="8"/>
    <s v="Y"/>
    <n v="2"/>
    <s v="Pin"/>
    <s v="Excavator (Liebherr 996)*Excavator (996)*Stick*8M/5M STICK COMMON PARTS*Pin"/>
    <n v="2"/>
    <s v="9767158"/>
    <s v="LIEBHERR"/>
    <n v="1"/>
  </r>
  <r>
    <s v="0120"/>
    <x v="7"/>
    <n v="45000030740"/>
    <s v="Excavator (Liebherr 996)*Excavator (996)*Stick*Bushing, Steel"/>
    <x v="8"/>
    <s v="Y"/>
    <n v="4"/>
    <s v="Bushing, Steel"/>
    <s v="Excavator (Liebherr 996)*Excavator (996)*Stick*Bushing, Steel"/>
    <n v="3"/>
    <s v="11078618"/>
    <s v="LIEBHERR"/>
    <n v="1"/>
  </r>
  <r>
    <s v="0120"/>
    <x v="7"/>
    <n v="45000031521"/>
    <s v="Vessel Consumables*Dredge Wires*Wire, Pull Back Winch (1-1/2&quot; x 925')"/>
    <x v="78"/>
    <s v="Y"/>
    <n v="1"/>
    <s v="Wire, Pull Back Winch (1-1/2&quot; x 925')"/>
    <s v="Vessel Consumables*Dredge Wires*Wire, Pull Back Winch (1-1/2&quot; x 925')"/>
    <n v="1"/>
    <m/>
    <m/>
    <n v="1"/>
  </r>
  <r>
    <s v="0120"/>
    <x v="7"/>
    <n v="45000032278"/>
    <s v="Generators*Generator (#2)*Generator Engine (#2) (Cummins)*Engine (Cummins NTA-855-G2)*Alternator, Marine"/>
    <x v="4"/>
    <s v="Y"/>
    <n v="2"/>
    <s v="Alternator, Marine"/>
    <s v="Generators*Generator (#2)*Generator Engine (#2) (Cummins)*Engine (Cummins NTA-855-G2)*Alternator, Marine"/>
    <n v="2"/>
    <s v="4000590"/>
    <s v="Cummins"/>
    <n v="2"/>
  </r>
  <r>
    <s v="0120"/>
    <x v="7"/>
    <n v="45000032394"/>
    <s v="Generators*Generator Set (Boom Assist)*Generator Engine (Boom Assist) (Cat C32)*AIR INTAKE AND EXHAUST SYSTEM*AFTERCOOLER GP - RAW WATER*Coupling"/>
    <x v="4"/>
    <s v="Y"/>
    <n v="1"/>
    <s v="Coupling"/>
    <s v="Generators*Generator Set (Boom Assist)*Generator Engine (Boom Assist) (Cat C32)*AIR INTAKE AND EXHAUST SYSTEM*AFTERCOOLER GP - RAW WATER*Coupling"/>
    <n v="1"/>
    <s v="263-1846"/>
    <s v="Caterpillar"/>
    <n v="1"/>
  </r>
  <r>
    <s v="0120"/>
    <x v="7"/>
    <n v="45000032612"/>
    <s v="Generators*Generator Set (Boom Assist)*Generator Engine (Boom Assist) (Cat C32)*AIR INTAKE AND EXHAUST SYSTEM*TURBOCHARGER GP*Turbocharger GP"/>
    <x v="4"/>
    <s v="Y"/>
    <n v="1"/>
    <s v="Turbocharger GP"/>
    <s v="Generators*Generator Set (Boom Assist)*Generator Engine (Boom Assist) (Cat C32)*AIR INTAKE AND EXHAUST SYSTEM*TURBOCHARGER GP*Turbocharger GP"/>
    <n v="1"/>
    <s v="287-7210"/>
    <s v="Caterpillar"/>
    <n v="1"/>
  </r>
  <r>
    <s v="0120"/>
    <x v="7"/>
    <n v="45000033635"/>
    <s v="Generators*Generator (#1)*Regulator, Voltage"/>
    <x v="4"/>
    <s v="Y"/>
    <n v="3"/>
    <s v="Regulator, Voltage"/>
    <s v="Generators*Generator (#1)*Regulator, Voltage"/>
    <n v="6"/>
    <s v="MX341-2"/>
    <s v="STAMFORD"/>
    <n v="2"/>
  </r>
  <r>
    <s v="0120"/>
    <x v="7"/>
    <n v="45000033823"/>
    <s v="Electrical*Automation System*Winch Control System PLC*Touch Panel, Panelview 1250 Plus"/>
    <x v="61"/>
    <s v="Y"/>
    <n v="1"/>
    <s v="Touch Panel, Panelview 1250 Plus"/>
    <s v="Electrical*Automation System*Winch Control System PLC*Touch Panel, Panelview 1250 Plus"/>
    <n v="1"/>
    <s v="2711P-TP12C4D8"/>
    <s v="ALLEN-BRADLEY"/>
    <n v="1"/>
  </r>
  <r>
    <s v="0120"/>
    <x v="7"/>
    <n v="54000000982"/>
    <s v="Generators*Generator (#2)*Generator Engine (#2) (Cummins)*Pump, Fuel Injection"/>
    <x v="4"/>
    <s v="Y"/>
    <n v="1"/>
    <s v="Pump, Fuel Injection"/>
    <s v="Generators*Generator (#2)*Generator Engine (#2) (Cummins)*Pump, Fuel Injection"/>
    <n v="1"/>
    <s v="3021966"/>
    <s v="Cummins"/>
    <n v="2"/>
  </r>
  <r>
    <s v="0120"/>
    <x v="7"/>
    <n v="57200002760"/>
    <s v="Generators*Generator (#2)*Generator Engine (#2) (Cummins)*Heat Exchanger-Cummins 390"/>
    <x v="4"/>
    <s v="Y"/>
    <n v="1"/>
    <s v="Heat Exchanger-Cummins 390"/>
    <s v="Generators*Generator (#2)*Generator Engine (#2) (Cummins)*Heat Exchanger-Cummins 390"/>
    <n v="1"/>
    <s v="370420"/>
    <s v="Cummins"/>
    <n v="2"/>
  </r>
  <r>
    <s v="0120"/>
    <x v="7"/>
    <n v="60400000588"/>
    <s v="Generators*Generator (#2)*Generator Engine (#2) (Cummins)*Engine (Cummins NTA-855-G2)*Turbocharger"/>
    <x v="4"/>
    <s v="Y"/>
    <n v="1"/>
    <s v="Turbocharger"/>
    <s v="Generators*Generator (#2)*Generator Engine (#2) (Cummins)*Engine (Cummins NTA-855-G2)*Turbocharger"/>
    <n v="1"/>
    <s v="3803108RX"/>
    <s v="Cummins"/>
    <n v="2"/>
  </r>
  <r>
    <s v="0120"/>
    <x v="7"/>
    <n v="60400000629"/>
    <s v="Generators*Generator Set (Boom Assist)*Generator (Boom Assist) (Cat C32)*Coupling, Boom Assist Generator*Coupling"/>
    <x v="4"/>
    <s v="Y"/>
    <n v="1"/>
    <s v="Coupling"/>
    <s v="Generators*Generator Set (Boom Assist)*Generator (Boom Assist) (Cat C32)*Coupling, Boom Assist Generator*Coupling"/>
    <n v="2"/>
    <s v="2X 3418A007"/>
    <s v="VULKAN"/>
    <n v="1"/>
  </r>
  <r>
    <s v="0120"/>
    <x v="7"/>
    <n v="60400002049"/>
    <s v="Excavator (Liebherr 996)*Excavator (996)*Hydraulic Hoses*Hydraulic Hose"/>
    <x v="8"/>
    <s v="Y"/>
    <n v="2"/>
    <s v="Hydraulic Hose"/>
    <s v="Excavator (Liebherr 996)*Excavator (996)*Hydraulic Hoses*Hydraulic Hose"/>
    <n v="8"/>
    <s v="5618406"/>
    <s v="LIEBHERR"/>
    <n v="1"/>
  </r>
  <r>
    <s v="0120"/>
    <x v="7"/>
    <n v="60400003486"/>
    <s v="Hydraulic System*Hytop System*Heat Exchanger*HEAT EXCHANGER, PLATE*Seals, Cooler"/>
    <x v="87"/>
    <s v="Y"/>
    <n v="1"/>
    <s v="Seals, Cooler"/>
    <s v="Hydraulic System*Hytop System*Heat Exchanger*HEAT EXCHANGER, PLATE*Seals, Cooler"/>
    <n v="16"/>
    <s v="H3M-P10-33-TMTL7-LIQUID"/>
    <s v="IHC MERWEDE"/>
    <n v="1"/>
  </r>
  <r>
    <s v="0120"/>
    <x v="7"/>
    <n v="62400000258"/>
    <s v="Excavator (Liebherr 996)*Excavator (996)*Gooseneck Boom*Gooseneck Boom*Hose, Pos 2"/>
    <x v="8"/>
    <s v="Y"/>
    <n v="4"/>
    <s v="Hose, Pos 2"/>
    <s v="Excavator (Liebherr 996)*Excavator (996)*Gooseneck Boom*Gooseneck Boom*Hose, Pos 2"/>
    <n v="4"/>
    <s v="5612839"/>
    <s v="LIEBHERR"/>
    <n v="1"/>
  </r>
  <r>
    <s v="0120"/>
    <x v="7"/>
    <n v="62400001173"/>
    <s v="Electrical*Automation System*Generator Controls*Display, Multi Set, 10&quot;"/>
    <x v="61"/>
    <s v="Y"/>
    <n v="2"/>
    <s v="Display, Multi Set, 10&quot;"/>
    <s v="Electrical*Automation System*Generator Controls*Display, Multi Set, 10&quot;"/>
    <n v="2"/>
    <s v="8004"/>
    <s v="Deep Sea Electronics"/>
    <n v="1"/>
  </r>
  <r>
    <s v="0120"/>
    <x v="7"/>
    <n v="62400001174"/>
    <s v="Electrical*Automation System*Generator Controls*Display, Color, 7&quot;"/>
    <x v="61"/>
    <s v="Y"/>
    <n v="2"/>
    <s v="Display, Color, 7&quot;"/>
    <s v="Electrical*Automation System*Generator Controls*Display, Color, 7&quot;"/>
    <n v="3"/>
    <s v="8721"/>
    <s v="Deep Sea Electronics"/>
    <n v="1"/>
  </r>
  <r>
    <s v="0120"/>
    <x v="7"/>
    <n v="66200001453"/>
    <s v="Boom Assist System*Boom Assist Winch*Universal Flow Monitor"/>
    <x v="88"/>
    <s v="Y"/>
    <n v="1"/>
    <s v="Universal Flow Monitor"/>
    <s v="Boom Assist System*Boom Assist Winch*Universal Flow Monitor"/>
    <n v="2"/>
    <m/>
    <m/>
    <n v="1"/>
  </r>
  <r>
    <s v="0120"/>
    <x v="7"/>
    <n v="66200002152"/>
    <s v="Hydraulic System*Hytop System*Control Valve, Spud Directional"/>
    <x v="87"/>
    <s v="Y"/>
    <n v="1"/>
    <s v="Control Valve, Spud Directional"/>
    <s v="Hydraulic System*Hytop System*Control Valve, Spud Directional"/>
    <n v="2"/>
    <s v="D91FBE02EC1NJWO"/>
    <s v="PARKER-HANNIFIN"/>
    <n v="1"/>
  </r>
  <r>
    <s v="0120"/>
    <x v="7"/>
    <n v="66200006183"/>
    <s v="Generators*Generator Set (Boom Assist)*Generator Engine (Boom Assist) (Cat C32)*ELECTRICAL AND STARTING SYSTEM*Alternator (Rebuilt Model)"/>
    <x v="4"/>
    <s v="Y"/>
    <n v="1"/>
    <s v="Alternator (Rebuilt Model)"/>
    <s v="Generators*Generator Set (Boom Assist)*Generator Engine (Boom Assist) (Cat C32)*ELECTRICAL AND STARTING SYSTEM*Alternator (Rebuilt Model)"/>
    <n v="1"/>
    <s v="10R-8907"/>
    <s v="Caterpillar"/>
    <n v="1"/>
  </r>
  <r>
    <s v="0120"/>
    <x v="7"/>
    <n v="66200006775"/>
    <s v="Generators*Generator (#1)*Governor Controller"/>
    <x v="4"/>
    <s v="Y"/>
    <n v="2"/>
    <s v="Governor Controller"/>
    <s v="Generators*Generator (#1)*Governor Controller"/>
    <n v="6"/>
    <s v="EG3002"/>
    <s v="MCPHERSON CONTROLS"/>
    <n v="2"/>
  </r>
  <r>
    <s v="0120"/>
    <x v="7"/>
    <n v="66200009223"/>
    <s v="Vessel Consumables*Dredge Wires*Wire, Boom Assist (42 MM x 174'-4&quot;)"/>
    <x v="78"/>
    <s v="Y"/>
    <n v="5"/>
    <s v="Wire, Boom Assist (42 MM x 174'-4&quot;)"/>
    <s v="Vessel Consumables*Dredge Wires*Wire, Boom Assist (42 MM x 174'-4&quot;)"/>
    <n v="5"/>
    <m/>
    <m/>
    <n v="1"/>
  </r>
  <r>
    <s v="0120"/>
    <x v="7"/>
    <n v="66200010546"/>
    <s v="Excavator (Liebherr 996)*Excavator (996)*Excavator Engine (#1) (Cummins)*Splitter Box (#1)*Seal, Oil"/>
    <x v="8"/>
    <s v="Y"/>
    <n v="4"/>
    <s v="Seal, Oil"/>
    <s v="Excavator (Liebherr 996)*Excavator (996)*Excavator Engine (#1) (Cummins)*Splitter Box (#1)*Seal, Oil"/>
    <n v="4"/>
    <s v="TB – TCM (160X190X15TBV)"/>
    <s v="Viton"/>
    <n v="6"/>
  </r>
  <r>
    <s v="0120"/>
    <x v="7"/>
    <n v="66200011400"/>
    <s v="Excavator (Liebherr 996)*Excavator (996)*Excavator Engine (#1) (Cummins)*Splitter Box (#1)*Roller Bearing"/>
    <x v="8"/>
    <s v="Y"/>
    <n v="2"/>
    <s v="Roller Bearing"/>
    <s v="Excavator (Liebherr 996)*Excavator (996)*Excavator Engine (#1) (Cummins)*Splitter Box (#1)*Roller Bearing"/>
    <n v="1"/>
    <s v="6326MC3"/>
    <s v="FAG"/>
    <n v="6"/>
  </r>
  <r>
    <s v="0120"/>
    <x v="7"/>
    <n v="66200011518"/>
    <s v="Hydraulic System*Hytop System*Supply/Return Hyd Filter"/>
    <x v="87"/>
    <s v="Y"/>
    <n v="8"/>
    <s v="Supply/Return Hyd Filter"/>
    <s v="Hydraulic System*Hytop System*Supply/Return Hyd Filter"/>
    <n v="16"/>
    <s v="1253123"/>
    <s v="PARKER-HANNIFIN"/>
    <n v="1"/>
  </r>
  <r>
    <s v="0120"/>
    <x v="7"/>
    <n v="66200015458"/>
    <s v="Excavator (Liebherr 996)*Excavator (996)*Uppercarriage*Valve"/>
    <x v="8"/>
    <s v="Y"/>
    <n v="2"/>
    <s v="Valve"/>
    <s v="Excavator (Liebherr 996)*Excavator (996)*Uppercarriage*Valve"/>
    <n v="2"/>
    <s v="10003485"/>
    <s v="LIEBHERR"/>
    <n v="1"/>
  </r>
  <r>
    <s v="0120"/>
    <x v="7"/>
    <n v="66200016792"/>
    <s v="Excavator (Liebherr 996)*Excavator (996)*Excavator Engine (#1) (Cummins)*Splitter Box (#1)*Lip Seal, Viton"/>
    <x v="8"/>
    <s v="Y"/>
    <n v="4"/>
    <s v="Lip Seal, Viton"/>
    <s v="Excavator (Liebherr 996)*Excavator (996)*Excavator Engine (#1) (Cummins)*Splitter Box (#1)*Lip Seal, Viton"/>
    <n v="4"/>
    <s v="155 x 140 x 12"/>
    <s v="Viton"/>
    <n v="6"/>
  </r>
  <r>
    <s v="0120"/>
    <x v="7"/>
    <n v="66200016793"/>
    <s v="Excavator (Liebherr 996)*Excavator (996)*Excavator Engine (#1) (Cummins)*Splitter Box (#1)*Lip Seal, Viton"/>
    <x v="8"/>
    <s v="Y"/>
    <n v="2"/>
    <s v="Lip Seal, Viton"/>
    <s v="Excavator (Liebherr 996)*Excavator (996)*Excavator Engine (#1) (Cummins)*Splitter Box (#1)*Lip Seal, Viton"/>
    <n v="2"/>
    <s v="80 x 100 x 10"/>
    <s v="Viton"/>
    <n v="6"/>
  </r>
  <r>
    <s v="0120"/>
    <x v="7"/>
    <n v="66200016794"/>
    <s v="Excavator (Liebherr 996)*Excavator (996)*Excavator Engine (#1) (Cummins)*Splitter Box (#1)*O-Ring, Vulcanized, 100 x 3"/>
    <x v="8"/>
    <s v="Y"/>
    <n v="8"/>
    <s v="O-Ring, Vulcanized, 100 x 3"/>
    <s v="Excavator (Liebherr 996)*Excavator (996)*Excavator Engine (#1) (Cummins)*Splitter Box (#1)*O-Ring, Vulcanized, 100 x 3"/>
    <n v="8"/>
    <m/>
    <m/>
    <n v="6"/>
  </r>
  <r>
    <s v="0120"/>
    <x v="7"/>
    <n v="66200016795"/>
    <s v="Excavator (Liebherr 996)*Excavator (996)*Excavator Engine (#1) (Cummins)*Splitter Box (#1)*O-Ring, Vulcanized, 140 x 3"/>
    <x v="8"/>
    <s v="Y"/>
    <n v="2"/>
    <s v="O-Ring, Vulcanized, 140 x 3"/>
    <s v="Excavator (Liebherr 996)*Excavator (996)*Excavator Engine (#1) (Cummins)*Splitter Box (#1)*O-Ring, Vulcanized, 140 x 3"/>
    <n v="2"/>
    <m/>
    <m/>
    <n v="6"/>
  </r>
  <r>
    <s v="0120"/>
    <x v="7"/>
    <n v="66200016796"/>
    <s v="Excavator (Liebherr 996)*Excavator (996)*Excavator Engine (#1) (Cummins)*Splitter Box (#1)*O-Ring, Vulcanized, 150 x 3"/>
    <x v="8"/>
    <s v="Y"/>
    <n v="2"/>
    <s v="O-Ring, Vulcanized, 150 x 3"/>
    <s v="Excavator (Liebherr 996)*Excavator (996)*Excavator Engine (#1) (Cummins)*Splitter Box (#1)*O-Ring, Vulcanized, 150 x 3"/>
    <n v="2"/>
    <m/>
    <m/>
    <n v="6"/>
  </r>
  <r>
    <s v="0120"/>
    <x v="7"/>
    <n v="66200016797"/>
    <s v="Excavator (Liebherr 996)*Excavator (996)*Excavator Engine (#1) (Cummins)*Splitter Box (#1)*O-Ring, Vulcanized, 163 x 3"/>
    <x v="8"/>
    <s v="Y"/>
    <n v="2"/>
    <s v="O-Ring, Vulcanized, 163 x 3"/>
    <s v="Excavator (Liebherr 996)*Excavator (996)*Excavator Engine (#1) (Cummins)*Splitter Box (#1)*O-Ring, Vulcanized, 163 x 3"/>
    <n v="2"/>
    <m/>
    <m/>
    <n v="6"/>
  </r>
  <r>
    <s v="0120"/>
    <x v="7"/>
    <n v="66200016798"/>
    <s v="Excavator (Liebherr 996)*Excavator (996)*Excavator Engine (#1) (Cummins)*Splitter Box (#1)*O-Ring, Vulcanized, 330 x 4"/>
    <x v="8"/>
    <s v="Y"/>
    <n v="4"/>
    <s v="O-Ring, Vulcanized, 330 x 4"/>
    <s v="Excavator (Liebherr 996)*Excavator (996)*Excavator Engine (#1) (Cummins)*Splitter Box (#1)*O-Ring, Vulcanized, 330 x 4"/>
    <n v="4"/>
    <m/>
    <m/>
    <n v="6"/>
  </r>
  <r>
    <s v="0120"/>
    <x v="7"/>
    <n v="66200016799"/>
    <s v="Excavator (Liebherr 996)*Excavator (996)*Excavator Engine (#1) (Cummins)*Splitter Box (#1)*O-Ring, Vulcanized, 395 x 5"/>
    <x v="8"/>
    <s v="Y"/>
    <n v="4"/>
    <s v="O-Ring, Vulcanized, 395 x 5"/>
    <s v="Excavator (Liebherr 996)*Excavator (996)*Excavator Engine (#1) (Cummins)*Splitter Box (#1)*O-Ring, Vulcanized, 395 x 5"/>
    <n v="4"/>
    <m/>
    <m/>
    <n v="6"/>
  </r>
  <r>
    <s v="0120"/>
    <x v="7"/>
    <n v="66200016800"/>
    <s v="Excavator (Liebherr 996)*Excavator (996)*Excavator Engine (#1) (Cummins)*Splitter Box (#1)*O-Ring, Vulcanized, 410 x 4"/>
    <x v="8"/>
    <s v="Y"/>
    <n v="2"/>
    <s v="O-Ring, Vulcanized, 410 x 4"/>
    <s v="Excavator (Liebherr 996)*Excavator (996)*Excavator Engine (#1) (Cummins)*Splitter Box (#1)*O-Ring, Vulcanized, 410 x 4"/>
    <n v="2"/>
    <m/>
    <m/>
    <n v="6"/>
  </r>
  <r>
    <s v="0120"/>
    <x v="7"/>
    <n v="66200016801"/>
    <s v="Excavator (Liebherr 996)*Excavator (996)*Excavator Engine (#1) (Cummins)*Splitter Box (#1)*O-Ring, Vulcanized, 550 x 5"/>
    <x v="8"/>
    <s v="Y"/>
    <n v="4"/>
    <s v="O-Ring, Vulcanized, 550 x 5"/>
    <s v="Excavator (Liebherr 996)*Excavator (996)*Excavator Engine (#1) (Cummins)*Splitter Box (#1)*O-Ring, Vulcanized, 550 x 5"/>
    <n v="4"/>
    <m/>
    <m/>
    <n v="6"/>
  </r>
  <r>
    <s v="0120"/>
    <x v="7"/>
    <n v="66200016802"/>
    <s v="Excavator (Liebherr 996)*Excavator (996)*Excavator Engine (#1) (Cummins)*Splitter Box (#1)*Speedi Sleeve"/>
    <x v="8"/>
    <s v="Y"/>
    <n v="2"/>
    <s v="Speedi Sleeve"/>
    <s v="Excavator (Liebherr 996)*Excavator (996)*Excavator Engine (#1) (Cummins)*Splitter Box (#1)*Speedi Sleeve"/>
    <n v="1"/>
    <s v="99630"/>
    <s v="SKF"/>
    <n v="6"/>
  </r>
  <r>
    <s v="0120"/>
    <x v="7"/>
    <n v="66200016803"/>
    <s v="Excavator (Liebherr 996)*Excavator (996)*Excavator Engine (#1) (Cummins)*Splitter Box (#1)*Roller Bearing"/>
    <x v="8"/>
    <s v="Y"/>
    <n v="2"/>
    <s v="Roller Bearing"/>
    <s v="Excavator (Liebherr 996)*Excavator (996)*Excavator Engine (#1) (Cummins)*Splitter Box (#1)*Roller Bearing"/>
    <n v="1"/>
    <s v="NJ2220EM1C3"/>
    <s v="FAG"/>
    <n v="6"/>
  </r>
  <r>
    <s v="0120"/>
    <x v="7"/>
    <n v="66200020699"/>
    <s v="Generators*Generator (#2)*Generator Engine (#2) (Cummins)*Pump, Raw Water"/>
    <x v="4"/>
    <s v="Y"/>
    <n v="1"/>
    <s v="Pump, Raw Water"/>
    <s v="Generators*Generator (#2)*Generator Engine (#2) (Cummins)*Pump, Raw Water"/>
    <n v="0"/>
    <s v="44943-502SX"/>
    <s v="Cummins"/>
    <n v="2"/>
  </r>
  <r>
    <s v="0132"/>
    <x v="8"/>
    <n v="11"/>
    <s v="Generators*Main Genset*Main Generator (A20-N24)*Exciter*Holder, Brush"/>
    <x v="4"/>
    <s v="Y"/>
    <n v="1"/>
    <s v="Holder, Brush"/>
    <s v="Generators*Main Genset*Main Generator (A20-N24)*Exciter*Holder, Brush"/>
    <n v="1"/>
    <s v="5551980"/>
    <s v="EMD"/>
    <n v="1"/>
  </r>
  <r>
    <s v="0132"/>
    <x v="8"/>
    <n v="52"/>
    <s v="Generators*Main Genset*Main Generator (A20-N24)*Exciter*Exciter"/>
    <x v="4"/>
    <s v="Y"/>
    <n v="1"/>
    <s v="Exciter"/>
    <s v="Generators*Main Genset*Main Generator (A20-N24)*Exciter*Exciter"/>
    <n v="1"/>
    <s v="A8105A1"/>
    <s v="DELCO"/>
    <n v="1"/>
  </r>
  <r>
    <s v="0132"/>
    <x v="8"/>
    <n v="8739"/>
    <s v="Crane Boom*Boom*Boom Angle Indicator*Arm, Indicator"/>
    <x v="89"/>
    <s v="Y"/>
    <n v="1"/>
    <s v="Arm, Indicator"/>
    <s v="Crane Boom*Boom*Boom Angle Indicator*Arm, Indicator"/>
    <n v="1"/>
    <s v="1105401"/>
    <s v="AMERICAN CRANE"/>
    <n v="1"/>
  </r>
  <r>
    <s v="0132"/>
    <x v="8"/>
    <n v="11363"/>
    <s v="Crane Boom*Boom*Packing, Cup For Boom &amp; Swing"/>
    <x v="89"/>
    <s v="Y"/>
    <n v="10"/>
    <s v="Packing, Cup For Boom &amp; Swing"/>
    <s v="Crane Boom*Boom*Packing, Cup For Boom &amp; Swing"/>
    <n v="28"/>
    <s v="518827"/>
    <s v="WABCO"/>
    <n v="1"/>
  </r>
  <r>
    <s v="0132"/>
    <x v="8"/>
    <n v="11364"/>
    <s v="Crane Holding &amp; Closing*Main Hoist Winch*Cup Packing For Hold/Closing"/>
    <x v="90"/>
    <s v="Y"/>
    <n v="8"/>
    <s v="Cup Packing For Hold/Closing"/>
    <s v="Crane Holding &amp; Closing*Main Hoist Winch*Cup Packing For Hold/Closing"/>
    <n v="30"/>
    <s v="91000-100F"/>
    <s v="EPM"/>
    <n v="1"/>
  </r>
  <r>
    <s v="0132"/>
    <x v="8"/>
    <n v="11497"/>
    <s v="Vessel Consumables*Dredge Wires*Stern Spud Pickup Wire, 2&quot; x 249'"/>
    <x v="78"/>
    <s v="Y"/>
    <n v="1"/>
    <s v="Stern Spud Pickup Wire, 2&quot; x 249'"/>
    <s v="Vessel Consumables*Dredge Wires*Stern Spud Pickup Wire, 2&quot; x 249'"/>
    <n v="0"/>
    <m/>
    <m/>
    <n v="1"/>
  </r>
  <r>
    <s v="0132"/>
    <x v="8"/>
    <n v="11499"/>
    <s v="Vessel Consumables*Dredge Wires*Stern Spud Pinup Wire, 2&quot; x 238'"/>
    <x v="78"/>
    <s v="Y"/>
    <n v="1"/>
    <s v="Stern Spud Pinup Wire, 2&quot; x 238'"/>
    <s v="Vessel Consumables*Dredge Wires*Stern Spud Pinup Wire, 2&quot; x 238'"/>
    <n v="0"/>
    <m/>
    <m/>
    <n v="1"/>
  </r>
  <r>
    <s v="0132"/>
    <x v="8"/>
    <n v="11500"/>
    <s v="Vessel Consumables*Dredge Wires*Fwd Spud Pickup Wire, 2&quot; x 275'"/>
    <x v="78"/>
    <s v="Y"/>
    <n v="1"/>
    <s v="Fwd Spud Pickup Wire, 2&quot; x 275'"/>
    <s v="Vessel Consumables*Dredge Wires*Fwd Spud Pickup Wire, 2&quot; x 275'"/>
    <n v="0"/>
    <m/>
    <m/>
    <n v="1"/>
  </r>
  <r>
    <s v="0132"/>
    <x v="8"/>
    <n v="11502"/>
    <s v="Vessel Consumables*Dredge Wires*Fwd Spud Pinup Wire, 2&quot; x 265'"/>
    <x v="78"/>
    <s v="Y"/>
    <n v="1"/>
    <s v="Fwd Spud Pinup Wire, 2&quot; x 265'"/>
    <s v="Vessel Consumables*Dredge Wires*Fwd Spud Pinup Wire, 2&quot; x 265'"/>
    <n v="0"/>
    <m/>
    <m/>
    <n v="1"/>
  </r>
  <r>
    <s v="0132"/>
    <x v="8"/>
    <n v="12041"/>
    <s v="Spud System*Stern Spud*Spud Winch (Stern)*Stern Spud HPU*Hydraulic Power Unit*Pump, Vane, Item 6"/>
    <x v="73"/>
    <s v="Y"/>
    <n v="1"/>
    <s v="Pump, Vane, Item 6"/>
    <s v="Spud System*Stern Spud*Spud Winch (Stern)*Stern Spud HPU*Hydraulic Power Unit*Pump, Vane, Item 6"/>
    <n v="2"/>
    <s v="02-137117-1"/>
    <s v="PRICE ENGINEERING"/>
    <n v="1"/>
  </r>
  <r>
    <s v="0132"/>
    <x v="8"/>
    <n v="14215"/>
    <s v="Buckets*Bucket (469) (21 YD) Williams*Pin, Lower Sheave Block"/>
    <x v="33"/>
    <s v="Y"/>
    <n v="1"/>
    <s v="Pin, Lower Sheave Block"/>
    <s v="Buckets*Bucket (469) (21 YD) Williams*Pin, Lower Sheave Block"/>
    <n v="1"/>
    <m/>
    <m/>
    <n v="1"/>
  </r>
  <r>
    <s v="0132"/>
    <x v="8"/>
    <n v="15305"/>
    <s v="Crane Holding &amp; Closing*Main Hoist Winch*Link"/>
    <x v="90"/>
    <s v="Y"/>
    <n v="1"/>
    <s v="Link"/>
    <s v="Crane Holding &amp; Closing*Main Hoist Winch*Link"/>
    <n v="6"/>
    <s v="91578"/>
    <s v="PAGE ENGINEERING"/>
    <n v="1"/>
  </r>
  <r>
    <s v="0132"/>
    <x v="8"/>
    <n v="15306"/>
    <s v="Crane Holding &amp; Closing*Main Hoist Winch*Link"/>
    <x v="90"/>
    <s v="Y"/>
    <n v="1"/>
    <s v="Link"/>
    <s v="Crane Holding &amp; Closing*Main Hoist Winch*Link"/>
    <n v="1"/>
    <s v="G91587-0100P"/>
    <s v="PAGE ENGINEERING"/>
    <n v="1"/>
  </r>
  <r>
    <s v="0132"/>
    <x v="8"/>
    <n v="15308"/>
    <s v="Crane Swing Machinery*Swing Gearbox (#1)*Swing Motor (#1)  (94 HP)*Spring"/>
    <x v="91"/>
    <s v="Y"/>
    <n v="2"/>
    <s v="Spring"/>
    <s v="Crane Swing Machinery*Swing Gearbox (#1)*Swing Motor (#1)  (94 HP)*Spring"/>
    <n v="1"/>
    <s v="6314SP"/>
    <s v="PAGE ENGINEERING"/>
    <n v="3"/>
  </r>
  <r>
    <s v="0132"/>
    <x v="8"/>
    <n v="23087"/>
    <s v="Crane Boom*Sheaves*Guide Sheave, Closing"/>
    <x v="89"/>
    <s v="Y"/>
    <n v="1"/>
    <s v="Guide Sheave, Closing"/>
    <s v="Crane Boom*Sheaves*Guide Sheave, Closing"/>
    <n v="1"/>
    <s v="91200"/>
    <s v="PAGE ENGINEERING"/>
    <n v="1"/>
  </r>
  <r>
    <s v="0132"/>
    <x v="8"/>
    <n v="23088"/>
    <s v="Crane Boom*Sheaves*Guide Sheave, Closing*Bearing, Guide Sheave"/>
    <x v="89"/>
    <s v="Y"/>
    <n v="1"/>
    <s v="Bearing, Guide Sheave"/>
    <s v="Crane Boom*Sheaves*Guide Sheave, Closing*Bearing, Guide Sheave"/>
    <n v="1"/>
    <s v="35478"/>
    <s v="PAGE ENGINEERING"/>
    <n v="1"/>
  </r>
  <r>
    <s v="0132"/>
    <x v="8"/>
    <n v="23089"/>
    <s v="Crane Boom*Sheaves*Guide Sheave, Closing*Bushing, Guide Sheave"/>
    <x v="89"/>
    <s v="Y"/>
    <n v="1"/>
    <s v="Bushing, Guide Sheave"/>
    <s v="Crane Boom*Sheaves*Guide Sheave, Closing*Bushing, Guide Sheave"/>
    <n v="1"/>
    <s v="35478A"/>
    <s v="PAGE ENGINEERING"/>
    <n v="1"/>
  </r>
  <r>
    <s v="0132"/>
    <x v="8"/>
    <n v="25216"/>
    <s v="Vessel Consumables*Filters*Main Generator Engine (EMD)*Lube Oil Cart., Full Flow"/>
    <x v="78"/>
    <s v="Y"/>
    <n v="8"/>
    <s v="Lube Oil Cart., Full Flow"/>
    <s v="Vessel Consumables*Filters*Main Generator Engine (EMD)*Lube Oil Cart., Full Flow"/>
    <n v="17"/>
    <s v="MPL6964"/>
    <s v="MPL"/>
    <n v="1"/>
  </r>
  <r>
    <s v="0132"/>
    <x v="8"/>
    <n v="25335"/>
    <s v="Vessel Consumables*Filters*Main Generator Engine (EMD)*Air Filter Bag, Primary"/>
    <x v="78"/>
    <s v="Y"/>
    <n v="4"/>
    <s v="Air Filter Bag, Primary"/>
    <s v="Vessel Consumables*Filters*Main Generator Engine (EMD)*Air Filter Bag, Primary"/>
    <n v="12"/>
    <s v="MPL2500"/>
    <s v="MPL"/>
    <n v="1"/>
  </r>
  <r>
    <s v="0132"/>
    <x v="8"/>
    <n v="25336"/>
    <s v="Vessel Consumables*Filters*Main Generator Engine (EMD)*Fuel Spin-On, Primary"/>
    <x v="78"/>
    <s v="Y"/>
    <n v="12"/>
    <s v="Fuel Spin-On, Primary"/>
    <s v="Vessel Consumables*Filters*Main Generator Engine (EMD)*Fuel Spin-On, Primary"/>
    <n v="34"/>
    <s v="MPL408"/>
    <s v="MPL"/>
    <n v="1"/>
  </r>
  <r>
    <s v="0132"/>
    <x v="8"/>
    <n v="26114"/>
    <s v="Spud System*Port Spud*Spud Winch (Port)*Air Valve, Asco"/>
    <x v="73"/>
    <s v="Y"/>
    <n v="2"/>
    <s v="Air Valve, Asco"/>
    <s v="Spud System*Port Spud*Spud Winch (Port)*Air Valve, Asco"/>
    <n v="6"/>
    <s v="8316G14"/>
    <s v="GLDD"/>
    <n v="3"/>
  </r>
  <r>
    <s v="0132"/>
    <x v="8"/>
    <n v="32440"/>
    <s v="Generators*Main Genset*Main Generator Engine (EMD 645)*Flange, Coupling"/>
    <x v="4"/>
    <s v="Y"/>
    <n v="1"/>
    <s v="Flange, Coupling"/>
    <s v="Generators*Main Genset*Main Generator Engine (EMD 645)*Flange, Coupling"/>
    <n v="1"/>
    <s v="8081367"/>
    <s v="EMD"/>
    <n v="1"/>
  </r>
  <r>
    <s v="0132"/>
    <x v="8"/>
    <n v="32883"/>
    <s v="Electrical*Crane Electrical*Drive Cabinet*Processor"/>
    <x v="61"/>
    <s v="Y"/>
    <n v="1"/>
    <s v="Processor"/>
    <s v="Electrical*Crane Electrical*Drive Cabinet*Processor"/>
    <n v="1"/>
    <s v="1747-L543"/>
    <s v="Allen-Bradley"/>
    <n v="1"/>
  </r>
  <r>
    <s v="0132"/>
    <x v="8"/>
    <n v="32884"/>
    <s v="Electrical*Crane Electrical*Drive Cabinet*34VDC Input Card"/>
    <x v="61"/>
    <s v="Y"/>
    <n v="1"/>
    <s v="34VDC Input Card"/>
    <s v="Electrical*Crane Electrical*Drive Cabinet*34VDC Input Card"/>
    <n v="3"/>
    <s v="1746-IB16"/>
    <s v="Allen-Bradley"/>
    <n v="1"/>
  </r>
  <r>
    <s v="0132"/>
    <x v="8"/>
    <n v="32885"/>
    <s v="Electrical*Crane Electrical*Drive Cabinet*24VDC Output Card"/>
    <x v="61"/>
    <s v="Y"/>
    <n v="1"/>
    <s v="24VDC Output Card"/>
    <s v="Electrical*Crane Electrical*Drive Cabinet*24VDC Output Card"/>
    <n v="3"/>
    <s v="1746-OB16"/>
    <s v="Allen-Bradley"/>
    <n v="1"/>
  </r>
  <r>
    <s v="0132"/>
    <x v="8"/>
    <n v="32886"/>
    <s v="Electrical*Crane Electrical*Drive Cabinet*Analog Input Card"/>
    <x v="61"/>
    <s v="Y"/>
    <n v="1"/>
    <s v="Analog Input Card"/>
    <s v="Electrical*Crane Electrical*Drive Cabinet*Analog Input Card"/>
    <n v="4"/>
    <s v="1P10N30"/>
    <s v="REVERE ELECTRIC SUPPLY"/>
    <n v="1"/>
  </r>
  <r>
    <s v="0132"/>
    <x v="8"/>
    <n v="32887"/>
    <s v="Electrical*Crane Electrical*Drive Cabinet*Analog Output Card"/>
    <x v="61"/>
    <s v="Y"/>
    <n v="1"/>
    <s v="Analog Output Card"/>
    <s v="Electrical*Crane Electrical*Drive Cabinet*Analog Output Card"/>
    <n v="4"/>
    <s v="1746-NO4V"/>
    <s v="Allen-Bradley"/>
    <n v="1"/>
  </r>
  <r>
    <s v="0132"/>
    <x v="8"/>
    <n v="32888"/>
    <s v="Electrical*Crane Electrical*Drive Cabinet*Relay, 2 Pole"/>
    <x v="61"/>
    <s v="Y"/>
    <n v="2"/>
    <s v="Relay, 2 Pole"/>
    <s v="Electrical*Crane Electrical*Drive Cabinet*Relay, 2 Pole"/>
    <n v="4"/>
    <s v="700DC-P200Z24"/>
    <s v="Allen-Bradley"/>
    <n v="1"/>
  </r>
  <r>
    <s v="0132"/>
    <x v="8"/>
    <n v="32889"/>
    <s v="Electrical*Crane Electrical*Drive Cabinet*3 Isolators W/ DC/DC Converter"/>
    <x v="61"/>
    <s v="Y"/>
    <n v="1"/>
    <s v="3 Isolators W/ DC/DC Converter"/>
    <s v="Electrical*Crane Electrical*Drive Cabinet*3 Isolators W/ DC/DC Converter"/>
    <n v="1"/>
    <s v="TRI ISOLATOR"/>
    <s v="CROWN - ESA"/>
    <n v="1"/>
  </r>
  <r>
    <s v="0132"/>
    <x v="8"/>
    <n v="32890"/>
    <s v="Electrical*Crane Electrical*Drive Cabinet*Main Drive Contactor"/>
    <x v="61"/>
    <s v="Y"/>
    <n v="1"/>
    <s v="Main Drive Contactor"/>
    <s v="Electrical*Crane Electrical*Drive Cabinet*Main Drive Contactor"/>
    <n v="16"/>
    <s v="AE63-30-11-81"/>
    <s v="ABB Turbo Systems Ltd"/>
    <n v="1"/>
  </r>
  <r>
    <s v="0132"/>
    <x v="8"/>
    <n v="33968"/>
    <s v="Vessel Consumables*Filters*Day Tank (Facet)*Fuel Coalescer, Day Tank Primary"/>
    <x v="78"/>
    <s v="Y"/>
    <n v="4"/>
    <s v="Fuel Coalescer, Day Tank Primary"/>
    <s v="Vessel Consumables*Filters*Day Tank (Facet)*Fuel Coalescer, Day Tank Primary"/>
    <n v="12"/>
    <s v="CP14678"/>
    <s v="RACOR-PARKER"/>
    <n v="1"/>
  </r>
  <r>
    <s v="0132"/>
    <x v="8"/>
    <n v="34155"/>
    <s v="Spud System*Stern Spud*Spud Winch (Stern)*Stern Spud HPU*Hydraulic Power Unit*Coupling Half, Item 4A"/>
    <x v="73"/>
    <s v="Y"/>
    <n v="2"/>
    <s v="Coupling Half, Item 4A"/>
    <s v="Spud System*Stern Spud*Spud Winch (Stern)*Stern Spud HPU*Hydraulic Power Unit*Coupling Half, Item 4A"/>
    <n v="2"/>
    <s v="LJ41765"/>
    <s v="PRICE ENGINEERING"/>
    <n v="1"/>
  </r>
  <r>
    <s v="0132"/>
    <x v="8"/>
    <n v="34157"/>
    <s v="Spud System*Stern Spud*Spud Winch (Stern)*Stern Spud HPU*Hydraulic Power Unit*Coupling Half, Item 4B"/>
    <x v="73"/>
    <s v="Y"/>
    <n v="2"/>
    <s v="Coupling Half, Item 4B"/>
    <s v="Spud System*Stern Spud*Spud Winch (Stern)*Stern Spud HPU*Hydraulic Power Unit*Coupling Half, Item 4B"/>
    <n v="2"/>
    <s v="LJ41800"/>
    <s v="PRICE ENGINEERING"/>
    <n v="1"/>
  </r>
  <r>
    <s v="0132"/>
    <x v="8"/>
    <n v="34370"/>
    <s v="Electrical*Crane Electrical*Drive Cabinet*Main Panel, 150 Amp"/>
    <x v="61"/>
    <s v="Y"/>
    <n v="1"/>
    <s v="Main Panel, 150 Amp"/>
    <s v="Electrical*Crane Electrical*Drive Cabinet*Main Panel, 150 Amp"/>
    <n v="1"/>
    <s v="S3N150TW"/>
    <s v="ABB Turbo Systems Ltd"/>
    <n v="1"/>
  </r>
  <r>
    <s v="0132"/>
    <x v="8"/>
    <n v="34371"/>
    <s v="Electrical*Crane Electrical*Drive Cabinet*Drive Contactor"/>
    <x v="61"/>
    <s v="Y"/>
    <n v="1"/>
    <s v="Drive Contactor"/>
    <s v="Electrical*Crane Electrical*Drive Cabinet*Drive Contactor"/>
    <n v="6"/>
    <s v="AE63-30-10-81"/>
    <s v="ABB Turbo Systems Ltd"/>
    <n v="1"/>
  </r>
  <r>
    <s v="0132"/>
    <x v="8"/>
    <n v="34373"/>
    <s v="Electrical*Crane Electrical*Drive Cabinet*Fuse, 8 Amp"/>
    <x v="61"/>
    <s v="Y"/>
    <n v="10"/>
    <s v="Fuse, 8 Amp"/>
    <s v="Electrical*Crane Electrical*Drive Cabinet*Fuse, 8 Amp"/>
    <n v="12"/>
    <s v="TRS8R"/>
    <s v="GOULD"/>
    <n v="1"/>
  </r>
  <r>
    <s v="0132"/>
    <x v="8"/>
    <n v="34374"/>
    <s v="Electrical*Crane Electrical*Drive Cabinet*Fuse, 35 Amp"/>
    <x v="61"/>
    <s v="Y"/>
    <n v="10"/>
    <s v="Fuse, 35 Amp"/>
    <s v="Electrical*Crane Electrical*Drive Cabinet*Fuse, 35 Amp"/>
    <n v="18"/>
    <s v="TRS35R"/>
    <s v="GOULD"/>
    <n v="1"/>
  </r>
  <r>
    <s v="0132"/>
    <x v="8"/>
    <n v="34375"/>
    <s v="Electrical*Crane Electrical*Drive Cabinet*Fuse, 30 Amp"/>
    <x v="61"/>
    <s v="Y"/>
    <n v="10"/>
    <s v="Fuse, 30 Amp"/>
    <s v="Electrical*Crane Electrical*Drive Cabinet*Fuse, 30 Amp"/>
    <n v="25"/>
    <s v="TRS30R"/>
    <s v="GOULD"/>
    <n v="1"/>
  </r>
  <r>
    <s v="0132"/>
    <x v="8"/>
    <n v="34376"/>
    <s v="Electrical*Crane Electrical*Drive Cabinet*Fuse, 20 Amp"/>
    <x v="61"/>
    <s v="Y"/>
    <n v="10"/>
    <s v="Fuse, 20 Amp"/>
    <s v="Electrical*Crane Electrical*Drive Cabinet*Fuse, 20 Amp"/>
    <n v="27"/>
    <s v="TRS20R"/>
    <s v="GOULD"/>
    <n v="1"/>
  </r>
  <r>
    <s v="0132"/>
    <x v="8"/>
    <n v="34377"/>
    <s v="Electrical*Crane Electrical*Drive Cabinet*Relay, 2 Pole 24 VDC"/>
    <x v="61"/>
    <s v="Y"/>
    <n v="2"/>
    <s v="Relay, 2 Pole 24 VDC"/>
    <s v="Electrical*Crane Electrical*Drive Cabinet*Relay, 2 Pole 24 VDC"/>
    <n v="4"/>
    <s v="700DC-200Z24"/>
    <s v="Allen-Bradley"/>
    <n v="1"/>
  </r>
  <r>
    <s v="0132"/>
    <x v="8"/>
    <n v="34378"/>
    <s v="Electrical*Crane Electrical*Drive Cabinet*Relay, 6 Pole 24 VDC"/>
    <x v="61"/>
    <s v="Y"/>
    <n v="2"/>
    <s v="Relay, 6 Pole 24 VDC"/>
    <s v="Electrical*Crane Electrical*Drive Cabinet*Relay, 6 Pole 24 VDC"/>
    <n v="2"/>
    <s v="700DC-600Z24"/>
    <s v="Allen-Bradley"/>
    <n v="1"/>
  </r>
  <r>
    <s v="0132"/>
    <x v="8"/>
    <n v="34379"/>
    <s v="Electrical*Crane Electrical*Drive Cabinet*Input Module"/>
    <x v="61"/>
    <s v="Y"/>
    <n v="1"/>
    <s v="Input Module"/>
    <s v="Electrical*Crane Electrical*Drive Cabinet*Input Module"/>
    <n v="1"/>
    <s v="1746-IA8"/>
    <s v="Allen-Bradley"/>
    <n v="1"/>
  </r>
  <r>
    <s v="0132"/>
    <x v="8"/>
    <n v="34382"/>
    <s v="Electrical*Crane Electrical*Drive Cabinet*Relay, 4PDT"/>
    <x v="61"/>
    <s v="Y"/>
    <n v="2"/>
    <s v="Relay, 4PDT"/>
    <s v="Electrical*Crane Electrical*Drive Cabinet*Relay, 4PDT"/>
    <n v="3"/>
    <s v="700HC14A1-4"/>
    <s v="Allen-Bradley"/>
    <n v="1"/>
  </r>
  <r>
    <s v="0132"/>
    <x v="8"/>
    <n v="38678"/>
    <s v="Electrical*Crane Electrical*Drive Cabinet*Transformer Contactor"/>
    <x v="61"/>
    <s v="Y"/>
    <n v="4"/>
    <s v="Transformer Contactor"/>
    <s v="Electrical*Crane Electrical*Drive Cabinet*Transformer Contactor"/>
    <n v="19"/>
    <s v="AE63-30-11-81"/>
    <s v="ABB Turbo Systems Ltd"/>
    <n v="1"/>
  </r>
  <r>
    <s v="0132"/>
    <x v="8"/>
    <n v="38705"/>
    <s v="Generators*Main Genset*Main Generator Engine (EMD 645)*Coupling, Exciter"/>
    <x v="4"/>
    <s v="Y"/>
    <n v="1"/>
    <s v="Coupling, Exciter"/>
    <s v="Generators*Main Genset*Main Generator Engine (EMD 645)*Coupling, Exciter"/>
    <n v="1"/>
    <s v="8215533"/>
    <s v="EMD"/>
    <n v="1"/>
  </r>
  <r>
    <s v="0132"/>
    <x v="8"/>
    <n v="38706"/>
    <s v="Generators*Main Genset*Main Generator Engine (EMD 645)*Coupling, Exciter"/>
    <x v="4"/>
    <s v="Y"/>
    <n v="1"/>
    <s v="Coupling, Exciter"/>
    <s v="Generators*Main Genset*Main Generator Engine (EMD 645)*Coupling, Exciter"/>
    <n v="1"/>
    <s v="8460316"/>
    <s v="EMD"/>
    <n v="1"/>
  </r>
  <r>
    <s v="0132"/>
    <x v="8"/>
    <n v="39363"/>
    <s v="Spud System*Stern Spud*Spud Winch (Stern)*Stern Spud HPU*Hydraulic Power Unit*Spider Insert, Item 4C"/>
    <x v="73"/>
    <s v="Y"/>
    <n v="2"/>
    <s v="Spider Insert, Item 4C"/>
    <s v="Spud System*Stern Spud*Spud Winch (Stern)*Stern Spud HPU*Hydraulic Power Unit*Spider Insert, Item 4C"/>
    <n v="6"/>
    <s v="SPIDER"/>
    <s v="Motion Industries"/>
    <n v="1"/>
  </r>
  <r>
    <s v="0132"/>
    <x v="8"/>
    <n v="39549"/>
    <s v="Generators*Main Genset*Main Generator Engine (EMD 645)*Fuel System*FUEL RACK SYSTEM*Bearing"/>
    <x v="4"/>
    <s v="Y"/>
    <n v="2"/>
    <s v="Bearing"/>
    <s v="Generators*Main Genset*Main Generator Engine (EMD 645)*Fuel System*FUEL RACK SYSTEM*Bearing"/>
    <n v="15"/>
    <s v="40036565"/>
    <s v="EMD"/>
    <n v="1"/>
  </r>
  <r>
    <s v="0132"/>
    <x v="8"/>
    <n v="43194"/>
    <s v="Electrical*Crane Electrical*Tagline Control*Contactor Block"/>
    <x v="61"/>
    <s v="Y"/>
    <n v="2"/>
    <s v="Contactor Block"/>
    <s v="Electrical*Crane Electrical*Tagline Control*Contactor Block"/>
    <n v="7"/>
    <s v="AN16DNOAB"/>
    <s v="CUTLER HAMMER"/>
    <n v="1"/>
  </r>
  <r>
    <s v="0132"/>
    <x v="8"/>
    <n v="43200"/>
    <s v="Spud System*Port Spud*Spud Winch (Port)*Control Cabinet*Coil"/>
    <x v="73"/>
    <s v="Y"/>
    <n v="6"/>
    <s v="Coil"/>
    <s v="Spud System*Port Spud*Spud Winch (Port)*Control Cabinet*Coil"/>
    <n v="12"/>
    <s v="55-530249GO26"/>
    <s v="G.E."/>
    <n v="3"/>
  </r>
  <r>
    <s v="0132"/>
    <x v="8"/>
    <n v="43229"/>
    <s v="Generators*Main Genset*Main Generator (A20-N24)*Exciter*Holder, Brush"/>
    <x v="4"/>
    <s v="Y"/>
    <n v="1"/>
    <s v="Holder, Brush"/>
    <s v="Generators*Main Genset*Main Generator (A20-N24)*Exciter*Holder, Brush"/>
    <n v="1"/>
    <s v="5559510"/>
    <s v="EMD"/>
    <n v="1"/>
  </r>
  <r>
    <s v="0132"/>
    <x v="8"/>
    <n v="44158"/>
    <s v="Electrical*Bucket Depth Monitoring System*Angle Sensor, Boom"/>
    <x v="61"/>
    <s v="Y"/>
    <n v="1"/>
    <s v="Angle Sensor, Boom"/>
    <s v="Electrical*Bucket Depth Monitoring System*Angle Sensor, Boom"/>
    <n v="0"/>
    <s v="SSY0185-55"/>
    <s v="SPECTRON SYSTEMS TECH"/>
    <n v="1"/>
  </r>
  <r>
    <s v="0132"/>
    <x v="8"/>
    <n v="45582"/>
    <s v="Vessel Consumables*Dredge Wires*Deck Winch Wire, 1&quot; x 350'"/>
    <x v="78"/>
    <s v="Y"/>
    <n v="3"/>
    <s v="Deck Winch Wire, 1&quot; x 350'"/>
    <s v="Vessel Consumables*Dredge Wires*Deck Winch Wire, 1&quot; x 350'"/>
    <n v="4"/>
    <m/>
    <m/>
    <n v="1"/>
  </r>
  <r>
    <s v="0132"/>
    <x v="8"/>
    <n v="48023"/>
    <s v="Crane Holding &amp; Closing*Main Hoist Winch*Cup Packing For Hold/Closing"/>
    <x v="90"/>
    <s v="Y"/>
    <n v="8"/>
    <s v="Cup Packing For Hold/Closing"/>
    <s v="Crane Holding &amp; Closing*Main Hoist Winch*Cup Packing For Hold/Closing"/>
    <n v="57"/>
    <s v="518116"/>
    <s v="WABCO"/>
    <n v="1"/>
  </r>
  <r>
    <s v="0132"/>
    <x v="8"/>
    <n v="53782"/>
    <s v="Crane Holding &amp; Closing*Main Hoist Winch*Air Cyl, Parking Brake"/>
    <x v="90"/>
    <s v="Y"/>
    <n v="1"/>
    <s v="Air Cyl, Parking Brake"/>
    <s v="Crane Holding &amp; Closing*Main Hoist Winch*Air Cyl, Parking Brake"/>
    <n v="2"/>
    <s v="91602"/>
    <s v="P&amp;H/PAGE ENG 327"/>
    <n v="1"/>
  </r>
  <r>
    <s v="0132"/>
    <x v="8"/>
    <n v="53783"/>
    <s v="Crane Holding &amp; Closing*Main Hoist Winch*Air Cyl, Brake Band"/>
    <x v="90"/>
    <s v="Y"/>
    <n v="1"/>
    <s v="Air Cyl, Brake Band"/>
    <s v="Crane Holding &amp; Closing*Main Hoist Winch*Air Cyl, Brake Band"/>
    <n v="0"/>
    <s v="91601"/>
    <s v="P&amp;H/PAGE ENG 327"/>
    <n v="1"/>
  </r>
  <r>
    <s v="0132"/>
    <x v="8"/>
    <n v="53784"/>
    <s v="Crane Holding &amp; Closing*Main Hoist Winch*Air Cyl, Friction Band"/>
    <x v="90"/>
    <s v="Y"/>
    <n v="1"/>
    <s v="Air Cyl, Friction Band"/>
    <s v="Crane Holding &amp; Closing*Main Hoist Winch*Air Cyl, Friction Band"/>
    <n v="2"/>
    <s v="91592"/>
    <s v="P&amp;H/PAGE ENG 327"/>
    <n v="1"/>
  </r>
  <r>
    <s v="0132"/>
    <x v="8"/>
    <n v="54714"/>
    <s v="Generators*Main Genset*Main Generator Engine (EMD 645)*Fuel System*Injector, Eco Tip"/>
    <x v="4"/>
    <s v="Y"/>
    <n v="2"/>
    <s v="Injector, Eco Tip"/>
    <s v="Generators*Main Genset*Main Generator Engine (EMD 645)*Fuel System*Injector, Eco Tip"/>
    <n v="8"/>
    <s v="40078993-MP"/>
    <s v="EMD"/>
    <n v="1"/>
  </r>
  <r>
    <s v="0132"/>
    <x v="8"/>
    <n v="54898"/>
    <s v="Crane Holding &amp; Closing*Main Hoist Winch*Roto Seal, 1&quot; Output"/>
    <x v="90"/>
    <s v="Y"/>
    <n v="2"/>
    <s v="Roto Seal, 1&quot; Output"/>
    <s v="Crane Holding &amp; Closing*Main Hoist Winch*Roto Seal, 1&quot; Output"/>
    <n v="4"/>
    <s v="145107BG"/>
    <s v="FAWICK AIRFLEX"/>
    <n v="1"/>
  </r>
  <r>
    <s v="0132"/>
    <x v="8"/>
    <n v="55419"/>
    <s v="Crane Holding &amp; Closing*Main Hoist Winch*Brake Band, Main Hoist Winch"/>
    <x v="90"/>
    <s v="Y"/>
    <n v="1"/>
    <s v="Brake Band, Main Hoist Winch"/>
    <s v="Crane Holding &amp; Closing*Main Hoist Winch*Brake Band, Main Hoist Winch"/>
    <n v="2"/>
    <s v="91568"/>
    <s v="P&amp;H/PAGE ENG 327"/>
    <n v="1"/>
  </r>
  <r>
    <s v="0132"/>
    <x v="8"/>
    <n v="55422"/>
    <s v="Crane Holding &amp; Closing*Main Hoist Winch*Friction Band, Main Hoist"/>
    <x v="90"/>
    <s v="Y"/>
    <n v="1"/>
    <s v="Friction Band, Main Hoist"/>
    <s v="Crane Holding &amp; Closing*Main Hoist Winch*Friction Band, Main Hoist"/>
    <n v="1"/>
    <s v="91597-D"/>
    <s v="P&amp;H/PAGE ENG 327"/>
    <n v="1"/>
  </r>
  <r>
    <s v="0132"/>
    <x v="8"/>
    <n v="55423"/>
    <s v="Crane Holding &amp; Closing*Main Hoist Winch*Friction Band, Main Hoist*Bolt, Take Up"/>
    <x v="90"/>
    <s v="Y"/>
    <n v="2"/>
    <s v="Bolt, Take Up"/>
    <s v="Crane Holding &amp; Closing*Main Hoist Winch*Friction Band, Main Hoist*Bolt, Take Up"/>
    <n v="3"/>
    <s v="C6012"/>
    <s v="P&amp;H/PAGE ENG 327"/>
    <n v="1"/>
  </r>
  <r>
    <s v="0132"/>
    <x v="8"/>
    <n v="55424"/>
    <s v="Crane Holding &amp; Closing*Main Hoist Winch*Friction Band, Main Hoist*Bolt, Take Up*Spring, Take Up Bolt"/>
    <x v="90"/>
    <s v="Y"/>
    <n v="1"/>
    <s v="Spring, Take Up Bolt"/>
    <s v="Crane Holding &amp; Closing*Main Hoist Winch*Friction Band, Main Hoist*Bolt, Take Up*Spring, Take Up Bolt"/>
    <n v="4"/>
    <s v="8363-B"/>
    <s v="P&amp;H/PAGE ENG 327"/>
    <n v="1"/>
  </r>
  <r>
    <s v="0132"/>
    <x v="8"/>
    <n v="55425"/>
    <s v="Crane Holding &amp; Closing*Main Hoist Winch*Friction Band, Main Hoist*Spring, Band Release"/>
    <x v="90"/>
    <s v="Y"/>
    <n v="2"/>
    <s v="Spring, Band Release"/>
    <s v="Crane Holding &amp; Closing*Main Hoist Winch*Friction Band, Main Hoist*Spring, Band Release"/>
    <n v="6"/>
    <s v="91569-1"/>
    <s v="P&amp;H/PAGE ENG 327"/>
    <n v="1"/>
  </r>
  <r>
    <s v="0132"/>
    <x v="8"/>
    <n v="55426"/>
    <s v="Crane Holding &amp; Closing*Main Hoist Winch*Friction Band, Main Hoist*Link, Dead End"/>
    <x v="90"/>
    <s v="Y"/>
    <n v="1"/>
    <s v="Link, Dead End"/>
    <s v="Crane Holding &amp; Closing*Main Hoist Winch*Friction Band, Main Hoist*Link, Dead End"/>
    <n v="8"/>
    <s v="91586"/>
    <s v="P&amp;H/PAGE ENG 327"/>
    <n v="1"/>
  </r>
  <r>
    <s v="0132"/>
    <x v="8"/>
    <n v="55427"/>
    <s v="Crane Holding &amp; Closing*Main Hoist Winch*Friction Band, Main Hoist*Arm, Friction Band"/>
    <x v="90"/>
    <s v="Y"/>
    <n v="1"/>
    <s v="Arm, Friction Band"/>
    <s v="Crane Holding &amp; Closing*Main Hoist Winch*Friction Band, Main Hoist*Arm, Friction Band"/>
    <n v="3"/>
    <s v="91590"/>
    <s v="P&amp;H/PAGE ENG 327"/>
    <n v="1"/>
  </r>
  <r>
    <s v="0132"/>
    <x v="8"/>
    <n v="57013"/>
    <s v="Electrical*Crane Electrical*Drive Cabinet*Card AC, Input"/>
    <x v="61"/>
    <s v="Y"/>
    <n v="1"/>
    <s v="Card AC, Input"/>
    <s v="Electrical*Crane Electrical*Drive Cabinet*Card AC, Input"/>
    <n v="2"/>
    <s v="1746-IA16"/>
    <s v="ALLEN-BRADLEY"/>
    <n v="1"/>
  </r>
  <r>
    <s v="0132"/>
    <x v="8"/>
    <n v="57125"/>
    <s v="Electrical*Crane Electrical*Tagline Control*Contactor, Auxiliary"/>
    <x v="61"/>
    <s v="Y"/>
    <n v="2"/>
    <s v="Contactor, Auxiliary"/>
    <s v="Electrical*Crane Electrical*Tagline Control*Contactor, Auxiliary"/>
    <n v="11"/>
    <s v="C320KGS3"/>
    <s v="CUTLER HAMMER"/>
    <n v="1"/>
  </r>
  <r>
    <s v="0132"/>
    <x v="8"/>
    <n v="57371"/>
    <s v="Generators*Main Genset*Main Generator (A20-N24)*Brush, Generator"/>
    <x v="4"/>
    <s v="Y"/>
    <n v="24"/>
    <s v="Brush, Generator"/>
    <s v="Generators*Main Genset*Main Generator (A20-N24)*Brush, Generator"/>
    <n v="40"/>
    <s v="8218225"/>
    <s v="EMD"/>
    <n v="1"/>
  </r>
  <r>
    <s v="0132"/>
    <x v="8"/>
    <n v="57457"/>
    <s v="Generators*Main Genset*Main Generator (A20-N24)*Exciter*Brush, Exciter"/>
    <x v="4"/>
    <s v="Y"/>
    <n v="24"/>
    <s v="Brush, Exciter"/>
    <s v="Generators*Main Genset*Main Generator (A20-N24)*Exciter*Brush, Exciter"/>
    <n v="74"/>
    <s v="70-621020-730-3-01"/>
    <s v="HELWIG CARBON"/>
    <n v="1"/>
  </r>
  <r>
    <s v="0132"/>
    <x v="8"/>
    <n v="57500"/>
    <s v="Electrical*Crane Electrical*Tagline Control*Contactor Size 2"/>
    <x v="61"/>
    <s v="Y"/>
    <n v="2"/>
    <s v="Contactor Size 2"/>
    <s v="Electrical*Crane Electrical*Tagline Control*Contactor Size 2"/>
    <n v="3"/>
    <s v="AN16GNOAB"/>
    <s v="CUTLER HAMMER"/>
    <n v="1"/>
  </r>
  <r>
    <s v="0132"/>
    <x v="8"/>
    <n v="57503"/>
    <s v="Electrical*Crane Electrical*Tagline Control*Breaker 60 Amp 3 Pole"/>
    <x v="61"/>
    <s v="Y"/>
    <n v="1"/>
    <s v="Breaker 60 Amp 3 Pole"/>
    <s v="Electrical*Crane Electrical*Tagline Control*Breaker 60 Amp 3 Pole"/>
    <n v="1"/>
    <s v="EHD3060"/>
    <s v="CUTLER HAMMER"/>
    <n v="1"/>
  </r>
  <r>
    <s v="0132"/>
    <x v="8"/>
    <n v="7500004182"/>
    <s v="Crane Boom*Boom Hoist Winch*Brake, Boom Hoist Motor*Brake Shoe"/>
    <x v="89"/>
    <s v="Y"/>
    <n v="2"/>
    <s v="Brake Shoe"/>
    <s v="Crane Boom*Boom Hoist Winch*Brake, Boom Hoist Motor*Brake Shoe"/>
    <n v="4"/>
    <s v="35297"/>
    <s v="PAGE ENGINEERING"/>
    <n v="1"/>
  </r>
  <r>
    <s v="0132"/>
    <x v="8"/>
    <n v="7500004187"/>
    <s v="Crane Boom*Boom Hoist Winch*Brake, Boom Hoist Motor*Cylinder Packing"/>
    <x v="89"/>
    <s v="Y"/>
    <n v="2"/>
    <s v="Cylinder Packing"/>
    <s v="Crane Boom*Boom Hoist Winch*Brake, Boom Hoist Motor*Cylinder Packing"/>
    <n v="14"/>
    <s v="32551-41"/>
    <s v="PAGE ENGINEERING"/>
    <n v="1"/>
  </r>
  <r>
    <s v="0132"/>
    <x v="8"/>
    <n v="11500002827"/>
    <s v="Buckets*Bucket (484) (12 YD) Hawco*Closeline Socket"/>
    <x v="33"/>
    <s v="Y"/>
    <n v="1"/>
    <s v="Closeline Socket"/>
    <s v="Buckets*Bucket (484) (12 YD) Hawco*Closeline Socket"/>
    <n v="1"/>
    <s v="ITEM 15"/>
    <s v="HAWCO"/>
    <n v="2"/>
  </r>
  <r>
    <s v="0132"/>
    <x v="8"/>
    <n v="11500002828"/>
    <s v="Buckets*Bucket (484) (12 YD) Hawco*Closeline Socket Wedge"/>
    <x v="33"/>
    <s v="Y"/>
    <n v="1"/>
    <s v="Closeline Socket Wedge"/>
    <s v="Buckets*Bucket (484) (12 YD) Hawco*Closeline Socket Wedge"/>
    <n v="1"/>
    <s v="ITEM 16"/>
    <s v="HAWCO"/>
    <n v="2"/>
  </r>
  <r>
    <s v="0132"/>
    <x v="8"/>
    <n v="11500002829"/>
    <s v="Buckets*Bucket (484) (12 YD) Hawco*Closeline Socket Pin"/>
    <x v="33"/>
    <s v="Y"/>
    <n v="1"/>
    <s v="Closeline Socket Pin"/>
    <s v="Buckets*Bucket (484) (12 YD) Hawco*Closeline Socket Pin"/>
    <n v="1"/>
    <s v="ITEM 17"/>
    <s v="HAWCO"/>
    <n v="2"/>
  </r>
  <r>
    <s v="0132"/>
    <x v="8"/>
    <n v="13200000866"/>
    <s v="Crane Tagline*Tagline Winch*Tagline Motor (25 HP)*Tagline Motor, 25 HP"/>
    <x v="92"/>
    <s v="Y"/>
    <n v="1"/>
    <s v="Tagline Motor, 25 HP"/>
    <s v="Crane Tagline*Tagline Winch*Tagline Motor (25 HP)*Tagline Motor, 25 HP"/>
    <n v="1"/>
    <s v="AHFV"/>
    <s v="Westinghouse"/>
    <n v="1"/>
  </r>
  <r>
    <s v="0132"/>
    <x v="8"/>
    <n v="13200001633"/>
    <s v="Generators*Main Genset*Main Generator Engine (EMD 645)*Crankcase/Oil Pan/Block*Gasket, Hand Hole Covers"/>
    <x v="4"/>
    <s v="Y"/>
    <n v="4"/>
    <s v="Gasket, Hand Hole Covers"/>
    <s v="Generators*Main Genset*Main Generator Engine (EMD 645)*Crankcase/Oil Pan/Block*Gasket, Hand Hole Covers"/>
    <n v="21"/>
    <s v="8291349"/>
    <s v="EMD"/>
    <n v="1"/>
  </r>
  <r>
    <s v="0132"/>
    <x v="8"/>
    <n v="13200001639"/>
    <s v="Generators*Main Genset*Main Generator Engine (EMD 645)*STARTING SYSTEM*Starter, Air, Left Hand"/>
    <x v="4"/>
    <s v="Y"/>
    <n v="1"/>
    <s v="Starter, Air, Left Hand"/>
    <s v="Generators*Main Genset*Main Generator Engine (EMD 645)*STARTING SYSTEM*Starter, Air, Left Hand"/>
    <n v="3"/>
    <s v="8367694"/>
    <s v="EMD"/>
    <n v="1"/>
  </r>
  <r>
    <s v="0132"/>
    <x v="8"/>
    <n v="13200001654"/>
    <s v="Generators*Main Genset*Main Generator Engine (EMD 645)*STARTING SYSTEM*Starter, Air, Left Hand*Solenoid"/>
    <x v="4"/>
    <s v="Y"/>
    <n v="1"/>
    <s v="Solenoid"/>
    <s v="Generators*Main Genset*Main Generator Engine (EMD 645)*STARTING SYSTEM*Starter, Air, Left Hand*Solenoid"/>
    <n v="0"/>
    <s v="712-000"/>
    <s v="SALEM"/>
    <n v="1"/>
  </r>
  <r>
    <s v="0132"/>
    <x v="8"/>
    <n v="14500001381"/>
    <s v="Generators*Main Genset*Main Generator Engine (EMD 645)*Front End/Accesory Drive*Pump, Water, Left Hand, Right Bank"/>
    <x v="4"/>
    <s v="Y"/>
    <n v="1"/>
    <s v="Pump, Water, Left Hand, Right Bank"/>
    <s v="Generators*Main Genset*Main Generator Engine (EMD 645)*Front End/Accesory Drive*Pump, Water, Left Hand, Right Bank"/>
    <n v="0"/>
    <m/>
    <m/>
    <n v="1"/>
  </r>
  <r>
    <s v="0132"/>
    <x v="8"/>
    <n v="14500001382"/>
    <s v="Generators*Main Genset*Main Generator Engine (EMD 645)*Front End/Accesory Drive*Pump, Water, Left Hand, Left Bank"/>
    <x v="4"/>
    <s v="Y"/>
    <n v="1"/>
    <s v="Pump, Water, Left Hand, Left Bank"/>
    <s v="Generators*Main Genset*Main Generator Engine (EMD 645)*Front End/Accesory Drive*Pump, Water, Left Hand, Left Bank"/>
    <n v="1"/>
    <s v="8058624"/>
    <s v="EMD"/>
    <n v="1"/>
  </r>
  <r>
    <s v="0132"/>
    <x v="8"/>
    <n v="20100000021"/>
    <s v="Scow Fleeting*Deck Winch Port*Roto-Seal"/>
    <x v="93"/>
    <s v="Y"/>
    <n v="2"/>
    <s v="Roto-Seal"/>
    <s v="Scow Fleeting*Deck Winch Port*Roto-Seal"/>
    <n v="8"/>
    <s v="1115-000-002"/>
    <s v="DEUBLIN"/>
    <n v="2"/>
  </r>
  <r>
    <s v="0132"/>
    <x v="8"/>
    <n v="20100000094"/>
    <s v="Vessel Consumables*Dredge Wires*Holding Wire, 1-3/4&quot; x 530'"/>
    <x v="78"/>
    <s v="Y"/>
    <n v="1"/>
    <s v="Holding Wire, 1-3/4&quot; x 530'"/>
    <s v="Vessel Consumables*Dredge Wires*Holding Wire, 1-3/4&quot; x 530'"/>
    <n v="5"/>
    <m/>
    <m/>
    <n v="1"/>
  </r>
  <r>
    <s v="0132"/>
    <x v="8"/>
    <n v="20100000096"/>
    <s v="Vessel Consumables*Dredge Wires*Tag Line Wire, 1&quot; x 200'"/>
    <x v="78"/>
    <s v="Y"/>
    <n v="1"/>
    <s v="Tag Line Wire, 1&quot; x 200'"/>
    <s v="Vessel Consumables*Dredge Wires*Tag Line Wire, 1&quot; x 200'"/>
    <n v="0"/>
    <m/>
    <m/>
    <n v="1"/>
  </r>
  <r>
    <s v="0132"/>
    <x v="8"/>
    <n v="20100000098"/>
    <s v="Electrical*Crane Electrical*Hoist Controller"/>
    <x v="61"/>
    <s v="Y"/>
    <n v="1"/>
    <s v="Hoist Controller"/>
    <s v="Electrical*Crane Electrical*Hoist Controller"/>
    <n v="1"/>
    <s v="NS2KA-101.8109"/>
    <s v="J. R. MERRITT"/>
    <n v="1"/>
  </r>
  <r>
    <s v="0132"/>
    <x v="8"/>
    <n v="20100000099"/>
    <s v="Electrical*Crane Electrical*Swing Controller"/>
    <x v="61"/>
    <s v="Y"/>
    <n v="1"/>
    <s v="Swing Controller"/>
    <s v="Electrical*Crane Electrical*Swing Controller"/>
    <n v="1"/>
    <s v="NS2KA -101.8110"/>
    <s v="J. R. MERRITT"/>
    <n v="1"/>
  </r>
  <r>
    <s v="0132"/>
    <x v="8"/>
    <n v="20100000100"/>
    <s v="Electrical*Crane Electrical*Boom Controller"/>
    <x v="61"/>
    <s v="Y"/>
    <n v="1"/>
    <s v="Boom Controller"/>
    <s v="Electrical*Crane Electrical*Boom Controller"/>
    <n v="6"/>
    <s v="NS2KA 101.7405"/>
    <s v="J. R. MERRITT"/>
    <n v="1"/>
  </r>
  <r>
    <s v="0132"/>
    <x v="8"/>
    <n v="20100000111"/>
    <s v="Vessel Consumables*Filters*Day Tank (Facet)*Filter Elements, Day Tank Primary"/>
    <x v="78"/>
    <s v="Y"/>
    <n v="4"/>
    <s v="Filter Elements, Day Tank Primary"/>
    <s v="Vessel Consumables*Filters*Day Tank (Facet)*Filter Elements, Day Tank Primary"/>
    <n v="8"/>
    <s v="CP44658"/>
    <s v="MPL"/>
    <n v="1"/>
  </r>
  <r>
    <s v="0132"/>
    <x v="8"/>
    <n v="20100000119"/>
    <s v="Generators*Main Genset*Main Generator Engine (EMD 645)*Seal"/>
    <x v="4"/>
    <s v="Y"/>
    <n v="4"/>
    <s v="Seal"/>
    <s v="Generators*Main Genset*Main Generator Engine (EMD 645)*Seal"/>
    <n v="14"/>
    <s v="8305815"/>
    <s v="EMD"/>
    <n v="1"/>
  </r>
  <r>
    <s v="0132"/>
    <x v="8"/>
    <n v="20100000120"/>
    <s v="Generators*Main Genset*Main Generator Engine (EMD 645)*Gasket (Manifold To Water Inlet Tube)"/>
    <x v="4"/>
    <s v="Y"/>
    <n v="2"/>
    <s v="Gasket (Manifold To Water Inlet Tube)"/>
    <s v="Generators*Main Genset*Main Generator Engine (EMD 645)*Gasket (Manifold To Water Inlet Tube)"/>
    <n v="32"/>
    <s v="8142354"/>
    <s v="EMD"/>
    <n v="1"/>
  </r>
  <r>
    <s v="0132"/>
    <x v="8"/>
    <n v="20100000168"/>
    <s v="Crane Swing Machinery*Swing Gearbox (#1)*Swing Gear Lube Oil Pump*Lube Oil Pump, Swing Gearbox"/>
    <x v="91"/>
    <s v="Y"/>
    <n v="1"/>
    <s v="Lube Oil Pump, Swing Gearbox"/>
    <s v="Crane Swing Machinery*Swing Gearbox (#1)*Swing Gear Lube Oil Pump*Lube Oil Pump, Swing Gearbox"/>
    <n v="2"/>
    <s v="D3EBF-87"/>
    <s v="MOTION IND."/>
    <n v="2"/>
  </r>
  <r>
    <s v="0132"/>
    <x v="8"/>
    <n v="20100000277"/>
    <s v="Buckets*Bucket (469) (21 YD) Williams*Pin For Holding Line Wedge Socket"/>
    <x v="33"/>
    <s v="Y"/>
    <n v="2"/>
    <s v="Pin For Holding Line Wedge Socket"/>
    <s v="Buckets*Bucket (469) (21 YD) Williams*Pin For Holding Line Wedge Socket"/>
    <n v="2"/>
    <s v="109096"/>
    <s v="ANVIL ATTACHMENTS"/>
    <n v="1"/>
  </r>
  <r>
    <s v="0132"/>
    <x v="8"/>
    <n v="20100000287"/>
    <s v="Generators*Main Genset*Main Generator Engine (EMD 645)*Governor"/>
    <x v="4"/>
    <s v="Y"/>
    <n v="1"/>
    <s v="Governor"/>
    <s v="Generators*Main Genset*Main Generator Engine (EMD 645)*Governor"/>
    <n v="1"/>
    <s v="8241-693"/>
    <s v="EMD"/>
    <n v="1"/>
  </r>
  <r>
    <s v="0132"/>
    <x v="8"/>
    <n v="20100000307"/>
    <s v="Generators*Main Genset*Main Generator Engine (EMD 645)*Seal"/>
    <x v="4"/>
    <s v="Y"/>
    <n v="2"/>
    <s v="Seal"/>
    <s v="Generators*Main Genset*Main Generator Engine (EMD 645)*Seal"/>
    <n v="3"/>
    <s v="9095844"/>
    <s v="EMD"/>
    <n v="1"/>
  </r>
  <r>
    <s v="0132"/>
    <x v="8"/>
    <n v="20100000362"/>
    <s v="Generators*Main Genset*Main Generator Engine (EMD 645)*Seal ,4&quot; Flex Couplings"/>
    <x v="4"/>
    <s v="Y"/>
    <n v="1"/>
    <s v="Seal ,4&quot; Flex Couplings"/>
    <s v="Generators*Main Genset*Main Generator Engine (EMD 645)*Seal ,4&quot; Flex Couplings"/>
    <n v="2"/>
    <s v="8479604"/>
    <s v="EMD"/>
    <n v="1"/>
  </r>
  <r>
    <s v="0132"/>
    <x v="8"/>
    <n v="20100000571"/>
    <s v="Generators*Crane MG Set (#1)*Hoist Generator (#1)*Hoist Generator*Brush"/>
    <x v="4"/>
    <s v="Y"/>
    <n v="24"/>
    <s v="Brush"/>
    <s v="Generators*Crane MG Set (#1)*Hoist Generator (#1)*Hoist Generator*Brush"/>
    <n v="120"/>
    <s v="61049552"/>
    <s v="NATIONAL"/>
    <n v="2"/>
  </r>
  <r>
    <s v="0132"/>
    <x v="8"/>
    <n v="20100000578"/>
    <s v="Generators*Crane MG Set (#1)*Swing Generator (#1)*Swing Generator*Brush, Carbon"/>
    <x v="4"/>
    <s v="Y"/>
    <n v="44"/>
    <s v="Brush, Carbon"/>
    <s v="Generators*Crane MG Set (#1)*Swing Generator (#1)*Swing Generator*Brush, Carbon"/>
    <n v="0"/>
    <s v="61051919"/>
    <s v="National Carbon Brush Products"/>
    <n v="2"/>
  </r>
  <r>
    <s v="0132"/>
    <x v="8"/>
    <n v="20100000579"/>
    <s v="Crane Swing Machinery*Swing Gearbox (#1)*Swing Motor (#1)  (94 HP)*Brush, Swing Motor"/>
    <x v="91"/>
    <s v="Y"/>
    <n v="32"/>
    <s v="Brush, Swing Motor"/>
    <s v="Crane Swing Machinery*Swing Gearbox (#1)*Swing Motor (#1)  (94 HP)*Brush, Swing Motor"/>
    <n v="79"/>
    <s v="25C35P01"/>
    <s v="National Carbon Brush Products"/>
    <n v="3"/>
  </r>
  <r>
    <s v="0132"/>
    <x v="8"/>
    <n v="21800000643"/>
    <s v="Crane Holding &amp; Closing*Main Hoist Winch*Air Brake Valve (BENDIX)"/>
    <x v="90"/>
    <s v="Y"/>
    <n v="1"/>
    <s v="Air Brake Valve (BENDIX)"/>
    <s v="Crane Holding &amp; Closing*Main Hoist Winch*Air Brake Valve (BENDIX)"/>
    <n v="2"/>
    <s v="275242N"/>
    <s v="Bendix"/>
    <n v="1"/>
  </r>
  <r>
    <s v="0132"/>
    <x v="8"/>
    <n v="45000000074"/>
    <s v="Crane Swing Machinery*Swing Gearbox (#1)*Swing Motor (#1)  (94 HP)*Swing Brake Assembly*Cup Packing, 3&quot;"/>
    <x v="91"/>
    <s v="Y"/>
    <n v="6"/>
    <s v="Cup Packing, 3&quot;"/>
    <s v="Crane Swing Machinery*Swing Gearbox (#1)*Swing Motor (#1)  (94 HP)*Swing Brake Assembly*Cup Packing, 3&quot;"/>
    <n v="24"/>
    <s v="0518827"/>
    <s v="WABCO AMERICAN STANDARD"/>
    <n v="2"/>
  </r>
  <r>
    <s v="0132"/>
    <x v="8"/>
    <n v="45000001253"/>
    <s v="Electrical*Crane Electrical*Generator Field Controller"/>
    <x v="61"/>
    <s v="Y"/>
    <n v="1"/>
    <s v="Generator Field Controller"/>
    <s v="Electrical*Crane Electrical*Generator Field Controller"/>
    <n v="1"/>
    <s v="A28021"/>
    <s v="AVTRON"/>
    <n v="1"/>
  </r>
  <r>
    <s v="0132"/>
    <x v="8"/>
    <n v="45000001254"/>
    <s v="Electrical*Crane Electrical*Generator Field Controller*Bridge Interface Controller"/>
    <x v="61"/>
    <s v="Y"/>
    <n v="1"/>
    <s v="Bridge Interface Controller"/>
    <s v="Electrical*Crane Electrical*Generator Field Controller*Bridge Interface Controller"/>
    <n v="1"/>
    <s v="A18123-1"/>
    <s v="AVTRON"/>
    <n v="1"/>
  </r>
  <r>
    <s v="0132"/>
    <x v="8"/>
    <n v="45000001255"/>
    <s v="Electrical*Crane Electrical*Generator Field Controller*Microprocessor Board"/>
    <x v="61"/>
    <s v="Y"/>
    <n v="1"/>
    <s v="Microprocessor Board"/>
    <s v="Electrical*Crane Electrical*Generator Field Controller*Microprocessor Board"/>
    <n v="2"/>
    <s v="630264"/>
    <s v="AVTRON"/>
    <n v="1"/>
  </r>
  <r>
    <s v="0132"/>
    <x v="8"/>
    <n v="45000001288"/>
    <s v="Generators*Main Genset*Main Generator Engine (EMD 645)*Air Starter - Right Hand"/>
    <x v="4"/>
    <s v="Y"/>
    <n v="2"/>
    <s v="Air Starter - Right Hand"/>
    <s v="Generators*Main Genset*Main Generator Engine (EMD 645)*Air Starter - Right Hand"/>
    <n v="3"/>
    <s v="150BMPD88L54"/>
    <s v="A&amp;M AIR STARTERS"/>
    <n v="1"/>
  </r>
  <r>
    <s v="0132"/>
    <x v="8"/>
    <n v="45000004822"/>
    <s v="Electrical*Crane Electrical*Drive Cabinet*TCPIP/IP Interface"/>
    <x v="61"/>
    <s v="Y"/>
    <n v="1"/>
    <s v="TCPIP/IP Interface"/>
    <s v="Electrical*Crane Electrical*Drive Cabinet*TCPIP/IP Interface"/>
    <n v="1"/>
    <s v="DL 4500-EDH+"/>
    <s v="DATALINK TECHNOLOGIES GROUP"/>
    <n v="1"/>
  </r>
  <r>
    <s v="0132"/>
    <x v="8"/>
    <n v="45000004890"/>
    <s v="Crane Holding &amp; Closing*Main Hoist Winch*Friction Band, Small Link"/>
    <x v="90"/>
    <s v="Y"/>
    <n v="1"/>
    <s v="Friction Band, Small Link"/>
    <s v="Crane Holding &amp; Closing*Main Hoist Winch*Friction Band, Small Link"/>
    <n v="6"/>
    <s v="91587"/>
    <s v="P&amp;H/PAGE ENG 327"/>
    <n v="1"/>
  </r>
  <r>
    <s v="0132"/>
    <x v="8"/>
    <n v="45000004891"/>
    <s v="Crane Holding &amp; Closing*Main Hoist Winch*Friction Band, Arm Link"/>
    <x v="90"/>
    <s v="Y"/>
    <n v="1"/>
    <s v="Friction Band, Arm Link"/>
    <s v="Crane Holding &amp; Closing*Main Hoist Winch*Friction Band, Arm Link"/>
    <n v="2"/>
    <s v="91590"/>
    <s v="P&amp;H/PAGE ENG 327"/>
    <n v="1"/>
  </r>
  <r>
    <s v="0132"/>
    <x v="8"/>
    <n v="45000004892"/>
    <s v="Crane Holding &amp; Closing*Main Hoist Winch*Toggle Arm, Friction"/>
    <x v="90"/>
    <s v="Y"/>
    <n v="1"/>
    <s v="Toggle Arm, Friction"/>
    <s v="Crane Holding &amp; Closing*Main Hoist Winch*Toggle Arm, Friction"/>
    <n v="1"/>
    <s v="B128-140"/>
    <s v="MOBILE PULLEY"/>
    <n v="1"/>
  </r>
  <r>
    <s v="0132"/>
    <x v="8"/>
    <n v="45000008212"/>
    <s v="Scow Fleeting*Deck Winch Port*Air Control, Friction"/>
    <x v="93"/>
    <s v="Y"/>
    <n v="1"/>
    <s v="Air Control, Friction"/>
    <s v="Scow Fleeting*Deck Winch Port*Air Control, Friction"/>
    <n v="5"/>
    <s v="R431006571"/>
    <s v="Bosch Rexroth"/>
    <n v="2"/>
  </r>
  <r>
    <s v="0132"/>
    <x v="8"/>
    <n v="45000008213"/>
    <s v="Scow Fleeting*Deck Winch Port*Air Control, Brake"/>
    <x v="93"/>
    <s v="Y"/>
    <n v="1"/>
    <s v="Air Control, Brake"/>
    <s v="Scow Fleeting*Deck Winch Port*Air Control, Brake"/>
    <n v="2"/>
    <s v="850264 H-2-FX P50494-2"/>
    <s v="Westinghouse"/>
    <n v="2"/>
  </r>
  <r>
    <s v="0132"/>
    <x v="8"/>
    <n v="45000008275"/>
    <s v="Scow Fleeting*Deck Winch Port*Cylinder, Air"/>
    <x v="93"/>
    <s v="Y"/>
    <n v="1"/>
    <s v="Cylinder, Air"/>
    <s v="Scow Fleeting*Deck Winch Port*Cylinder, Air"/>
    <n v="4"/>
    <s v="R432021457"/>
    <s v="COLLINS MACHINE"/>
    <n v="2"/>
  </r>
  <r>
    <s v="0132"/>
    <x v="8"/>
    <n v="45000008676"/>
    <s v="Crane Swing Circle*Swing Circle Assembly*Bolt, Dolly Wheel"/>
    <x v="94"/>
    <s v="Y"/>
    <n v="6"/>
    <s v="Bolt, Dolly Wheel"/>
    <s v="Crane Swing Circle*Swing Circle Assembly*Bolt, Dolly Wheel"/>
    <n v="6"/>
    <s v="92147-1"/>
    <s v="PAGE ENGINEERING"/>
    <n v="1"/>
  </r>
  <r>
    <s v="0132"/>
    <x v="8"/>
    <n v="45000008677"/>
    <s v="Crane Swing Circle*Swing Circle Assembly*Bushing, Dolly Wheel"/>
    <x v="94"/>
    <s v="Y"/>
    <n v="6"/>
    <s v="Bushing, Dolly Wheel"/>
    <s v="Crane Swing Circle*Swing Circle Assembly*Bushing, Dolly Wheel"/>
    <n v="49"/>
    <s v="92148-1"/>
    <s v="PAGE ENGINEERING"/>
    <n v="1"/>
  </r>
  <r>
    <s v="0132"/>
    <x v="8"/>
    <n v="45000008680"/>
    <s v="Crane Swing Circle*Swing Circle Assembly*Dolly Wheel, Double Flange"/>
    <x v="94"/>
    <s v="Y"/>
    <n v="1"/>
    <s v="Dolly Wheel, Double Flange"/>
    <s v="Crane Swing Circle*Swing Circle Assembly*Dolly Wheel, Double Flange"/>
    <n v="5"/>
    <s v="35591"/>
    <s v="PAGE ENGINEERING"/>
    <n v="1"/>
  </r>
  <r>
    <s v="0132"/>
    <x v="8"/>
    <n v="45000008682"/>
    <s v="Crane Swing Circle*Swing Circle Assembly*Rail Clip, Swing Rail"/>
    <x v="94"/>
    <s v="Y"/>
    <n v="12"/>
    <s v="Rail Clip, Swing Rail"/>
    <s v="Crane Swing Circle*Swing Circle Assembly*Rail Clip, Swing Rail"/>
    <n v="19"/>
    <s v="35091"/>
    <s v="PAGE ENGINEERING"/>
    <n v="1"/>
  </r>
  <r>
    <s v="0132"/>
    <x v="8"/>
    <n v="45000011916"/>
    <s v="Crane Holding &amp; Closing*Main Hoist Winch*Air Valve, Rexroth"/>
    <x v="90"/>
    <s v="Y"/>
    <n v="6"/>
    <s v="Air Valve, Rexroth"/>
    <s v="Crane Holding &amp; Closing*Main Hoist Winch*Air Valve, Rexroth"/>
    <n v="5"/>
    <s v="R431000091"/>
    <s v="Bosch Rexroth"/>
    <n v="1"/>
  </r>
  <r>
    <s v="0132"/>
    <x v="8"/>
    <n v="45000012452"/>
    <s v="Scow Fleeting*Fairlead (MC-614)*Fairlead - (MD-614 Rebuild)*Seal, Grease"/>
    <x v="93"/>
    <s v="Y"/>
    <n v="2"/>
    <s v="Seal, Grease"/>
    <s v="Scow Fleeting*Fairlead (MC-614)*Fairlead - (MD-614 Rebuild)*Seal, Grease"/>
    <n v="4"/>
    <s v="A54848-003"/>
    <s v="Smith Berger"/>
    <n v="1"/>
  </r>
  <r>
    <s v="0132"/>
    <x v="8"/>
    <n v="45000012454"/>
    <s v="Scow Fleeting*Fairlead (MC-614)*Fairlead - (MD-614 Rebuild)*Bearing, Shank (Cup &amp; Cone)"/>
    <x v="93"/>
    <s v="Y"/>
    <n v="2"/>
    <s v="Bearing, Shank (Cup &amp; Cone)"/>
    <s v="Scow Fleeting*Fairlead (MC-614)*Fairlead - (MD-614 Rebuild)*Bearing, Shank (Cup &amp; Cone)"/>
    <n v="4"/>
    <s v="851389/ 851390"/>
    <s v="Smith Berger"/>
    <n v="1"/>
  </r>
  <r>
    <s v="0132"/>
    <x v="8"/>
    <n v="45000012456"/>
    <s v="Scow Fleeting*Fairlead (MC-614)*Fairlead - (MD-614 Rebuild)*Seal, Grease"/>
    <x v="93"/>
    <s v="Y"/>
    <n v="2"/>
    <s v="Seal, Grease"/>
    <s v="Scow Fleeting*Fairlead (MC-614)*Fairlead - (MD-614 Rebuild)*Seal, Grease"/>
    <n v="4"/>
    <s v="840744"/>
    <s v="Smith Berger"/>
    <n v="1"/>
  </r>
  <r>
    <s v="0132"/>
    <x v="8"/>
    <n v="45000015718"/>
    <s v="Compressed Air*Air Compressor Set (Dredge SVC)*Motor, 10 HP*Motor, 10 HP"/>
    <x v="79"/>
    <s v="Y"/>
    <n v="1"/>
    <s v="Motor, 10 HP"/>
    <s v="Compressed Air*Air Compressor Set (Dredge SVC)*Motor, 10 HP*Motor, 10 HP"/>
    <n v="1"/>
    <m/>
    <m/>
    <n v="1"/>
  </r>
  <r>
    <s v="0132"/>
    <x v="8"/>
    <n v="45000015728"/>
    <s v="Crane Holding &amp; Closing*Main Hoist Winch*Hoist Motor (Fwd)*Blower*Motor, 5 HP*Blower Motor, 5 HP"/>
    <x v="90"/>
    <s v="Y"/>
    <n v="1"/>
    <s v="Blower Motor, 5 HP"/>
    <s v="Crane Holding &amp; Closing*Main Hoist Winch*Hoist Motor (Fwd)*Blower*Motor, 5 HP*Blower Motor, 5 HP"/>
    <n v="1"/>
    <s v="M3308"/>
    <s v="Baldor"/>
    <n v="2"/>
  </r>
  <r>
    <s v="0132"/>
    <x v="8"/>
    <n v="45000015794"/>
    <s v="Fuel Oil Transfer*Fuel Oil Transfer Pump*Fuel Oil Pump/ Motor Complete"/>
    <x v="81"/>
    <s v="Y"/>
    <n v="1"/>
    <s v="Fuel Oil Pump/ Motor Complete"/>
    <s v="Fuel Oil Transfer*Fuel Oil Transfer Pump*Fuel Oil Pump/ Motor Complete"/>
    <n v="1"/>
    <m/>
    <m/>
    <n v="1"/>
  </r>
  <r>
    <s v="0132"/>
    <x v="8"/>
    <n v="45000015797"/>
    <s v="Generators*Main Genset*Main Generator Engine (EMD 645)*Pre-Lube Pump*Pre-Lube Pump And Motor Set (Complete)"/>
    <x v="4"/>
    <s v="Y"/>
    <n v="1"/>
    <s v="Pre-Lube Pump And Motor Set (Complete)"/>
    <s v="Generators*Main Genset*Main Generator Engine (EMD 645)*Pre-Lube Pump*Pre-Lube Pump And Motor Set (Complete)"/>
    <n v="0"/>
    <s v="HJ4195"/>
    <s v="VIKING PUMP"/>
    <n v="1"/>
  </r>
  <r>
    <s v="0132"/>
    <x v="8"/>
    <n v="45000015798"/>
    <s v="Generators*Main Genset*Main Generator Engine (EMD 645)*Pre-Lube Pump*Pre-Lube Pump (Pump Only)"/>
    <x v="4"/>
    <s v="Y"/>
    <n v="1"/>
    <s v="Pre-Lube Pump (Pump Only)"/>
    <s v="Generators*Main Genset*Main Generator Engine (EMD 645)*Pre-Lube Pump*Pre-Lube Pump (Pump Only)"/>
    <n v="1"/>
    <s v="HJ4195"/>
    <s v="VIKING PUMP"/>
    <n v="1"/>
  </r>
  <r>
    <s v="0132"/>
    <x v="8"/>
    <n v="45000016454"/>
    <s v="Compressed Air*Crane Air Compressor Set (Aft)*Discharge Flex Hose, 12&quot;"/>
    <x v="79"/>
    <s v="Y"/>
    <n v="2"/>
    <s v="Discharge Flex Hose, 12&quot;"/>
    <s v="Compressed Air*Crane Air Compressor Set (Aft)*Discharge Flex Hose, 12&quot;"/>
    <n v="3"/>
    <s v="5676T37"/>
    <s v="MC MASTER CARR"/>
    <n v="2"/>
  </r>
  <r>
    <s v="0132"/>
    <x v="8"/>
    <n v="45000017931"/>
    <s v="Scow Fleeting*Deck Winch Port*Control*Fuse, 300 AMP 500V AC/DC"/>
    <x v="93"/>
    <s v="Y"/>
    <n v="6"/>
    <s v="Fuse, 300 AMP 500V AC/DC"/>
    <s v="Scow Fleeting*Deck Winch Port*Control*Fuse, 300 AMP 500V AC/DC"/>
    <n v="11"/>
    <s v="FWH-300A"/>
    <s v="Bussmann"/>
    <n v="2"/>
  </r>
  <r>
    <s v="0132"/>
    <x v="8"/>
    <n v="45000017961"/>
    <s v="Scow Fleeting*Deck Winch Port*Control*Fuse, Time Delay"/>
    <x v="93"/>
    <s v="Y"/>
    <n v="6"/>
    <s v="Fuse, Time Delay"/>
    <s v="Scow Fleeting*Deck Winch Port*Control*Fuse, Time Delay"/>
    <n v="14"/>
    <s v="ATQR 1-1/4"/>
    <s v="FERRAZ SHAWMUT"/>
    <n v="2"/>
  </r>
  <r>
    <s v="0132"/>
    <x v="8"/>
    <n v="45000017963"/>
    <s v="Scow Fleeting*Deck Winch Port*Control*Fuse Glass"/>
    <x v="93"/>
    <s v="Y"/>
    <n v="8"/>
    <s v="Fuse Glass"/>
    <s v="Scow Fleeting*Deck Winch Port*Control*Fuse Glass"/>
    <n v="20"/>
    <s v="GGC1/2"/>
    <s v="FERRAZ SHAWMUT"/>
    <n v="2"/>
  </r>
  <r>
    <s v="0132"/>
    <x v="8"/>
    <n v="45000017981"/>
    <s v="Scow Fleeting*Deck Winch Port*Control*Joystick"/>
    <x v="93"/>
    <s v="Y"/>
    <n v="2"/>
    <s v="Joystick"/>
    <s v="Scow Fleeting*Deck Winch Port*Control*Joystick"/>
    <n v="6"/>
    <s v="NS2KA-101.7405"/>
    <s v="J.R. MERRIT"/>
    <n v="2"/>
  </r>
  <r>
    <s v="0132"/>
    <x v="8"/>
    <n v="45000019129"/>
    <s v="Electrical*Crane Electrical*Drive Cabinet*Relay, Control, 2 Pole, 120 VAC"/>
    <x v="61"/>
    <s v="Y"/>
    <n v="2"/>
    <s v="Relay, Control, 2 Pole, 120 VAC"/>
    <s v="Electrical*Crane Electrical*Drive Cabinet*Relay, Control, 2 Pole, 120 VAC"/>
    <n v="3"/>
    <s v="700P200A1"/>
    <s v="ALLEN-BRADLEY"/>
    <n v="1"/>
  </r>
  <r>
    <s v="0132"/>
    <x v="8"/>
    <n v="45000019132"/>
    <s v="Electrical*Crane Electrical*Drive Cabinet*Scr, Hoist Main Field, 56 Amp"/>
    <x v="61"/>
    <s v="Y"/>
    <n v="2"/>
    <s v="Scr, Hoist Main Field, 56 Amp"/>
    <s v="Electrical*Crane Electrical*Drive Cabinet*Scr, Hoist Main Field, 56 Amp"/>
    <n v="14"/>
    <s v="354886"/>
    <s v="AVTRON"/>
    <n v="1"/>
  </r>
  <r>
    <s v="0132"/>
    <x v="8"/>
    <n v="45000019359"/>
    <s v="Vessel Consumables*Filters*Air Compressor (Quincy)*Filter, Oil"/>
    <x v="78"/>
    <s v="Y"/>
    <n v="4"/>
    <s v="Filter, Oil"/>
    <s v="Vessel Consumables*Filters*Air Compressor (Quincy)*Filter, Oil"/>
    <n v="15"/>
    <s v="LF3964"/>
    <s v="MARINE FILTRATION SERVICES"/>
    <n v="1"/>
  </r>
  <r>
    <s v="0132"/>
    <x v="8"/>
    <n v="45000020462"/>
    <s v="Compressed Air*Air Compressor Set (Dredge SVC)*Belt, Drive"/>
    <x v="79"/>
    <s v="Y"/>
    <n v="1"/>
    <s v="Belt, Drive"/>
    <s v="Compressed Air*Air Compressor Set (Dredge SVC)*Belt, Drive"/>
    <n v="10"/>
    <s v="B97"/>
    <s v="NAPA"/>
    <n v="1"/>
  </r>
  <r>
    <s v="0132"/>
    <x v="8"/>
    <n v="45000022428"/>
    <s v="Vessel Consumables*Filters*Hydraulic System (Stern Spud Ram)*Filter, Hydraulic Oil (Spin-On)"/>
    <x v="78"/>
    <s v="Y"/>
    <n v="1"/>
    <s v="Filter, Hydraulic Oil (Spin-On)"/>
    <s v="Vessel Consumables*Filters*Hydraulic System (Stern Spud Ram)*Filter, Hydraulic Oil (Spin-On)"/>
    <n v="5"/>
    <s v="HF6135"/>
    <s v="MPL"/>
    <n v="1"/>
  </r>
  <r>
    <s v="0132"/>
    <x v="8"/>
    <n v="45000023123"/>
    <s v="Compressed Air*Air Compressor Set (M.E. Starting)*Start Air Compressor*Discharge Valve Assembly"/>
    <x v="79"/>
    <s v="Y"/>
    <n v="1"/>
    <s v="Discharge Valve Assembly"/>
    <s v="Compressed Air*Air Compressor Set (M.E. Starting)*Start Air Compressor*Discharge Valve Assembly"/>
    <n v="2"/>
    <s v="6670X01"/>
    <s v="NATIONAL PUMP AND COMPRESSOR"/>
    <n v="2"/>
  </r>
  <r>
    <s v="0132"/>
    <x v="8"/>
    <n v="45000023131"/>
    <s v="Compressed Air*Crane Air Compressor Set (Aft)*Suction Valve Assembly"/>
    <x v="79"/>
    <s v="Y"/>
    <n v="2"/>
    <s v="Suction Valve Assembly"/>
    <s v="Compressed Air*Crane Air Compressor Set (Aft)*Suction Valve Assembly"/>
    <n v="10"/>
    <s v="6671X"/>
    <s v="QUINCY"/>
    <n v="2"/>
  </r>
  <r>
    <s v="0132"/>
    <x v="8"/>
    <n v="45000023132"/>
    <s v="Compressed Air*Crane Air Compressor Set (Aft)*Suction Valve and Pin Assembly"/>
    <x v="79"/>
    <s v="Y"/>
    <n v="4"/>
    <s v="Suction Valve and Pin Assembly"/>
    <s v="Compressed Air*Crane Air Compressor Set (Aft)*Suction Valve and Pin Assembly"/>
    <n v="0"/>
    <s v="6671XU"/>
    <s v="QUINCY"/>
    <n v="2"/>
  </r>
  <r>
    <s v="0132"/>
    <x v="8"/>
    <n v="45000023133"/>
    <s v="Compressed Air*Crane Air Compressor Set (Aft)*Discharge Valve Assembly"/>
    <x v="79"/>
    <s v="Y"/>
    <n v="4"/>
    <s v="Discharge Valve Assembly"/>
    <s v="Compressed Air*Crane Air Compressor Set (Aft)*Discharge Valve Assembly"/>
    <n v="6"/>
    <s v="6670X01"/>
    <s v="QUINCY"/>
    <n v="2"/>
  </r>
  <r>
    <s v="0132"/>
    <x v="8"/>
    <n v="45000023134"/>
    <s v="Compressed Air*Crane Air Compressor Set (Aft)*Unloader Assembly"/>
    <x v="79"/>
    <s v="Y"/>
    <n v="2"/>
    <s v="Unloader Assembly"/>
    <s v="Compressed Air*Crane Air Compressor Set (Aft)*Unloader Assembly"/>
    <n v="4"/>
    <s v="7483X"/>
    <s v="QUINCY"/>
    <n v="2"/>
  </r>
  <r>
    <s v="0132"/>
    <x v="8"/>
    <n v="45000023135"/>
    <s v="Compressed Air*Crane Air Compressor Set (Aft)*Pneumatic Unloader Assembly"/>
    <x v="79"/>
    <s v="Y"/>
    <n v="4"/>
    <s v="Pneumatic Unloader Assembly"/>
    <s v="Compressed Air*Crane Air Compressor Set (Aft)*Pneumatic Unloader Assembly"/>
    <n v="4"/>
    <s v="8272X"/>
    <s v="QUINCY"/>
    <n v="2"/>
  </r>
  <r>
    <s v="0132"/>
    <x v="8"/>
    <n v="45000023138"/>
    <s v="Compressed Air*Crane Air Compressor Set (Aft)*Unloader Diaphragm"/>
    <x v="79"/>
    <s v="Y"/>
    <n v="5"/>
    <s v="Unloader Diaphragm"/>
    <s v="Compressed Air*Crane Air Compressor Set (Aft)*Unloader Diaphragm"/>
    <n v="0"/>
    <s v="1855"/>
    <s v="QUINCY"/>
    <n v="2"/>
  </r>
  <r>
    <s v="0132"/>
    <x v="8"/>
    <n v="45000023139"/>
    <s v="Compressed Air*Crane Air Compressor Set (Aft)*Oil Pressure Gauge"/>
    <x v="79"/>
    <s v="Y"/>
    <n v="1"/>
    <s v="Oil Pressure Gauge"/>
    <s v="Compressed Air*Crane Air Compressor Set (Aft)*Oil Pressure Gauge"/>
    <n v="0"/>
    <s v="110822"/>
    <s v="QUINCY"/>
    <n v="2"/>
  </r>
  <r>
    <s v="0132"/>
    <x v="8"/>
    <n v="45000023140"/>
    <s v="Compressed Air*Crane Air Compressor Set (Aft)*Pressure Relief Valve"/>
    <x v="79"/>
    <s v="Y"/>
    <n v="4"/>
    <s v="Pressure Relief Valve"/>
    <s v="Compressed Air*Crane Air Compressor Set (Aft)*Pressure Relief Valve"/>
    <n v="1"/>
    <s v="2961-100"/>
    <s v="QUINCY"/>
    <n v="2"/>
  </r>
  <r>
    <s v="0132"/>
    <x v="8"/>
    <n v="45000024859"/>
    <s v="Electrical*Crane Electrical*Operator Console*Meter, Bucket Depth"/>
    <x v="61"/>
    <s v="Y"/>
    <n v="1"/>
    <s v="Meter, Bucket Depth"/>
    <s v="Electrical*Crane Electrical*Operator Console*Meter, Bucket Depth"/>
    <n v="0"/>
    <m/>
    <m/>
    <n v="1"/>
  </r>
  <r>
    <s v="0132"/>
    <x v="8"/>
    <n v="45000024860"/>
    <s v="Electrical*Crane Electrical*Operator Console*Meter, Spud Amps"/>
    <x v="61"/>
    <s v="Y"/>
    <n v="1"/>
    <s v="Meter, Spud Amps"/>
    <s v="Electrical*Crane Electrical*Operator Console*Meter, Spud Amps"/>
    <n v="2"/>
    <s v="24512460"/>
    <s v="WOLF AUTOMATION"/>
    <n v="1"/>
  </r>
  <r>
    <s v="0132"/>
    <x v="8"/>
    <n v="45000028448"/>
    <s v="Generators*Main Genset*Main Generator Engine (EMD 645)*Magnetic Pick Up Kit"/>
    <x v="4"/>
    <s v="Y"/>
    <n v="2"/>
    <s v="Magnetic Pick Up Kit"/>
    <s v="Generators*Main Genset*Main Generator Engine (EMD 645)*Magnetic Pick Up Kit"/>
    <n v="2"/>
    <s v="5430-929"/>
    <s v="Woodward"/>
    <n v="1"/>
  </r>
  <r>
    <s v="0132"/>
    <x v="8"/>
    <n v="45000028622"/>
    <s v="Electrical*Crane Electrical*Drive Cabinet*Fuse, 60 Amp"/>
    <x v="61"/>
    <s v="Y"/>
    <n v="5"/>
    <s v="Fuse, 60 Amp"/>
    <s v="Electrical*Crane Electrical*Drive Cabinet*Fuse, 60 Amp"/>
    <n v="25"/>
    <s v="FWH-60B"/>
    <s v="Bussmann"/>
    <n v="1"/>
  </r>
  <r>
    <s v="0132"/>
    <x v="8"/>
    <n v="45000029893"/>
    <s v="Electrical*Motor Control Centers*Contactor, IEC"/>
    <x v="61"/>
    <s v="Y"/>
    <n v="1"/>
    <s v="Contactor, IEC"/>
    <s v="Electrical*Motor Control Centers*Contactor, IEC"/>
    <n v="1"/>
    <s v="3DB25"/>
    <s v="Grainger"/>
    <n v="1"/>
  </r>
  <r>
    <s v="0132"/>
    <x v="8"/>
    <n v="45000029894"/>
    <s v="Electrical*Motor Control Centers*Relay, Overload, IEC"/>
    <x v="61"/>
    <s v="Y"/>
    <n v="1"/>
    <s v="Relay, Overload, IEC"/>
    <s v="Electrical*Motor Control Centers*Relay, Overload, IEC"/>
    <n v="1"/>
    <s v="3DE30"/>
    <s v="Grainger"/>
    <n v="1"/>
  </r>
  <r>
    <s v="0132"/>
    <x v="8"/>
    <n v="45000033632"/>
    <s v="Electrical*Motor Control Centers*Contactor*Coil"/>
    <x v="61"/>
    <s v="Y"/>
    <n v="2"/>
    <s v="Coil"/>
    <s v="Electrical*Motor Control Centers*Contactor*Coil"/>
    <n v="2"/>
    <s v="GE01120"/>
    <s v="Electrical Source USA"/>
    <n v="1"/>
  </r>
  <r>
    <s v="0132"/>
    <x v="8"/>
    <n v="45000033633"/>
    <s v="Electrical*Motor Control Centers*Transformer, .075 KVA"/>
    <x v="61"/>
    <s v="Y"/>
    <n v="2"/>
    <s v="Transformer, .075 KVA"/>
    <s v="Electrical*Motor Control Centers*Transformer, .075 KVA"/>
    <n v="1"/>
    <s v="9T58K2803MODIFIED"/>
    <s v="Electrical Source USA"/>
    <n v="1"/>
  </r>
  <r>
    <s v="0132"/>
    <x v="8"/>
    <n v="45000034227"/>
    <s v="Buckets*Bucket Teeth*Plow Bolt, Tooth Base"/>
    <x v="33"/>
    <s v="Y"/>
    <n v="100"/>
    <s v="Plow Bolt, Tooth Base"/>
    <s v="Buckets*Bucket Teeth*Plow Bolt, Tooth Base"/>
    <n v="444"/>
    <s v="ITEM 44"/>
    <s v="HAWCO"/>
    <n v="1"/>
  </r>
  <r>
    <s v="0132"/>
    <x v="8"/>
    <n v="60400000166"/>
    <s v="Vessel Consumables*Filters*Swing Gear Box*Filter, Gear Oil (Swing Gear Box)"/>
    <x v="78"/>
    <s v="Y"/>
    <n v="2"/>
    <s v="Filter, Gear Oil (Swing Gear Box)"/>
    <s v="Vessel Consumables*Filters*Swing Gear Box*Filter, Gear Oil (Swing Gear Box)"/>
    <n v="27"/>
    <s v="HF6520"/>
    <s v="MPL"/>
    <n v="1"/>
  </r>
  <r>
    <s v="0132"/>
    <x v="8"/>
    <n v="60400000173"/>
    <s v="Buckets*Bucket Teeth*Adapter (44D Style) (Bolt-On)"/>
    <x v="33"/>
    <s v="Y"/>
    <n v="24"/>
    <s v="Adapter (44D Style) (Bolt-On)"/>
    <s v="Buckets*Bucket Teeth*Adapter (44D Style) (Bolt-On)"/>
    <n v="43"/>
    <s v="1714-44D"/>
    <s v="ESC0"/>
    <n v="1"/>
  </r>
  <r>
    <s v="0132"/>
    <x v="8"/>
    <n v="60400000208"/>
    <s v="Compressed Air*Crane Air Compressor Set (Aft)*Valve Assy/Press. Switch, Hyd. Unloader"/>
    <x v="79"/>
    <s v="Y"/>
    <n v="4"/>
    <s v="Valve Assy/Press. Switch, Hyd. Unloader"/>
    <s v="Compressed Air*Crane Air Compressor Set (Aft)*Valve Assy/Press. Switch, Hyd. Unloader"/>
    <n v="4"/>
    <s v="110827"/>
    <s v="QUINCY"/>
    <n v="2"/>
  </r>
  <r>
    <s v="0132"/>
    <x v="8"/>
    <n v="60400002587"/>
    <s v="Vessel Consumables*Filters*Air Compressor (Quincy)*Filter, Air Compressor, Element"/>
    <x v="78"/>
    <s v="Y"/>
    <n v="4"/>
    <s v="Filter, Air Compressor, Element"/>
    <s v="Vessel Consumables*Filters*Air Compressor (Quincy)*Filter, Air Compressor, Element"/>
    <n v="13"/>
    <s v="11037E200"/>
    <s v="QUINCY"/>
    <n v="1"/>
  </r>
  <r>
    <s v="0132"/>
    <x v="8"/>
    <n v="60400002588"/>
    <s v="Vessel Consumables*Filters*Air Compressor (Quincy)*Filter, Air Compressor, Complete"/>
    <x v="78"/>
    <s v="Y"/>
    <n v="1"/>
    <s v="Filter, Air Compressor, Complete"/>
    <s v="Vessel Consumables*Filters*Air Compressor (Quincy)*Filter, Air Compressor, Complete"/>
    <n v="16"/>
    <s v="11037F200"/>
    <s v="QUINCY"/>
    <n v="1"/>
  </r>
  <r>
    <s v="0132"/>
    <x v="8"/>
    <n v="60400003144"/>
    <s v="Vessel Consumables*Filters*Generator/ John Deere - Stand By*Filter, Oil (JD/Stand By)"/>
    <x v="78"/>
    <s v="Y"/>
    <n v="2"/>
    <s v="Filter, Oil (JD/Stand By)"/>
    <s v="Vessel Consumables*Filters*Generator/ John Deere - Stand By*Filter, Oil (JD/Stand By)"/>
    <n v="2"/>
    <s v="LF16243"/>
    <s v="Fleet Guard"/>
    <n v="1"/>
  </r>
  <r>
    <s v="0132"/>
    <x v="8"/>
    <n v="60400003145"/>
    <s v="Vessel Consumables*Filters*Generator/ John Deere - Stand By*Filter, Fuel (JD/Stand By)"/>
    <x v="78"/>
    <s v="Y"/>
    <n v="2"/>
    <s v="Filter, Fuel (JD/Stand By)"/>
    <s v="Vessel Consumables*Filters*Generator/ John Deere - Stand By*Filter, Fuel (JD/Stand By)"/>
    <n v="13"/>
    <s v="FK48001"/>
    <s v="Fleet Guard"/>
    <n v="1"/>
  </r>
  <r>
    <s v="0132"/>
    <x v="8"/>
    <n v="60400003146"/>
    <s v="Vessel Consumables*Filters*Generator/ John Deere - Stand By*Filter, Air (JD/Stand By)"/>
    <x v="78"/>
    <s v="Y"/>
    <n v="1"/>
    <s v="Filter, Air (JD/Stand By)"/>
    <s v="Vessel Consumables*Filters*Generator/ John Deere - Stand By*Filter, Air (JD/Stand By)"/>
    <n v="1"/>
    <s v="AF M8050"/>
    <s v="RACOR"/>
    <n v="1"/>
  </r>
  <r>
    <s v="0132"/>
    <x v="8"/>
    <n v="60400003147"/>
    <s v="Vessel Consumables*Filters*Generator/ John Deere - Stand By*Element, Crank Case (JD/Stand By)"/>
    <x v="78"/>
    <s v="Y"/>
    <n v="1"/>
    <s v="Element, Crank Case (JD/Stand By)"/>
    <s v="Vessel Consumables*Filters*Generator/ John Deere - Stand By*Element, Crank Case (JD/Stand By)"/>
    <n v="5"/>
    <s v="RE502284"/>
    <s v="JOHN DEERE"/>
    <n v="1"/>
  </r>
  <r>
    <s v="0132"/>
    <x v="8"/>
    <n v="60400005928"/>
    <s v="Crane Holding &amp; Closing*Main Hoist Winch*Cup Packing, Leather, For Hold/Closing"/>
    <x v="90"/>
    <s v="Y"/>
    <n v="8"/>
    <s v="Cup Packing, Leather, For Hold/Closing"/>
    <s v="Crane Holding &amp; Closing*Main Hoist Winch*Cup Packing, Leather, For Hold/Closing"/>
    <n v="29"/>
    <s v="17131015"/>
    <s v="PAGE ENGINEERING"/>
    <n v="1"/>
  </r>
  <r>
    <s v="0132"/>
    <x v="8"/>
    <n v="62400000183"/>
    <s v="Generators*Main Genset*Main Generator Engine (EMD 645)*Gasket kit, Water pump"/>
    <x v="4"/>
    <s v="Y"/>
    <n v="1"/>
    <s v="Gasket kit, Water pump"/>
    <s v="Generators*Main Genset*Main Generator Engine (EMD 645)*Gasket kit, Water pump"/>
    <n v="4"/>
    <s v="1-09580724"/>
    <s v="EMD"/>
    <n v="1"/>
  </r>
  <r>
    <s v="0132"/>
    <x v="8"/>
    <n v="62400000434"/>
    <s v="Crane Holding &amp; Closing*Main Hoist Winch*Reduction Gear, Main Hoist Winch*Coupling (Aft)*Coupling, Grid (Falk 1130T10 B)"/>
    <x v="90"/>
    <s v="Y"/>
    <n v="2"/>
    <s v="Coupling, Grid (Falk 1130T10 B)"/>
    <s v="Crane Holding &amp; Closing*Main Hoist Winch*Reduction Gear, Main Hoist Winch*Coupling (Aft)*Coupling, Grid (Falk 1130T10 B)"/>
    <n v="3"/>
    <s v="0776212"/>
    <s v="Falk"/>
    <n v="1"/>
  </r>
  <r>
    <s v="0132"/>
    <x v="8"/>
    <n v="62400000560"/>
    <s v="Crane Holding &amp; Closing*Main Hoist Winch*Reduction Gear, Main Hoist Winch*Coupling (Aft)*Grid"/>
    <x v="90"/>
    <s v="Y"/>
    <n v="2"/>
    <s v="Grid"/>
    <s v="Crane Holding &amp; Closing*Main Hoist Winch*Reduction Gear, Main Hoist Winch*Coupling (Aft)*Grid"/>
    <n v="4"/>
    <s v="0758256"/>
    <s v="Falk"/>
    <n v="1"/>
  </r>
  <r>
    <s v="0132"/>
    <x v="8"/>
    <n v="62400000606"/>
    <s v="Crane Holding &amp; Closing*Main Hoist Winch*Reduction Gear, Main Hoist Winch*Coupling (Aft)*Seal Kit"/>
    <x v="90"/>
    <s v="Y"/>
    <n v="4"/>
    <s v="Seal Kit"/>
    <s v="Crane Holding &amp; Closing*Main Hoist Winch*Reduction Gear, Main Hoist Winch*Coupling (Aft)*Seal Kit"/>
    <n v="6"/>
    <s v="0707192"/>
    <s v="Falk"/>
    <n v="1"/>
  </r>
  <r>
    <s v="0132"/>
    <x v="8"/>
    <n v="62400001419"/>
    <s v="Generators*Main Genset*Main Generator Engine (EMD 645)*Coupling, Flexible"/>
    <x v="4"/>
    <s v="Y"/>
    <n v="1"/>
    <s v="Coupling, Flexible"/>
    <s v="Generators*Main Genset*Main Generator Engine (EMD 645)*Coupling, Flexible"/>
    <n v="3"/>
    <s v="1-8268280"/>
    <s v="EMD"/>
    <n v="1"/>
  </r>
  <r>
    <s v="0132"/>
    <x v="8"/>
    <n v="62400001653"/>
    <s v="Crane Tagline*Tagline Winch*Coupling, Tagline Winch*Element, Coupling"/>
    <x v="92"/>
    <s v="Y"/>
    <n v="1"/>
    <s v="Element, Coupling"/>
    <s v="Crane Tagline*Tagline Winch*Coupling, Tagline Winch*Element, Coupling"/>
    <n v="3"/>
    <s v="01066888"/>
    <s v="Motion Industries"/>
    <n v="1"/>
  </r>
  <r>
    <s v="0132"/>
    <x v="8"/>
    <n v="62400004927"/>
    <s v="Crane Swing Machinery*Swing Gearbox (#1)*Swing Motor (#1)  (94 HP)*Band, Brake"/>
    <x v="91"/>
    <s v="Y"/>
    <n v="1"/>
    <s v="Band, Brake"/>
    <s v="Crane Swing Machinery*Swing Gearbox (#1)*Swing Motor (#1)  (94 HP)*Band, Brake"/>
    <n v="2"/>
    <s v="5812"/>
    <s v="PAGE ENGINEERING"/>
    <n v="3"/>
  </r>
  <r>
    <s v="0132"/>
    <x v="8"/>
    <n v="66200008205"/>
    <s v="Survey Equipment*Survey Equipment*KVM Extender Box (Remote)"/>
    <x v="95"/>
    <s v="Y"/>
    <n v="1"/>
    <s v="KVM Extender Box (Remote)"/>
    <s v="Survey Equipment*Survey Equipment*KVM Extender Box (Remote)"/>
    <n v="2"/>
    <s v="ACU5122A"/>
    <s v="BLACK BOX"/>
    <n v="1"/>
  </r>
  <r>
    <s v="0132"/>
    <x v="8"/>
    <n v="66200008206"/>
    <s v="Survey Equipment*Survey Equipment*KVM Extender Box (Local)"/>
    <x v="95"/>
    <s v="Y"/>
    <n v="1"/>
    <s v="KVM Extender Box (Local)"/>
    <s v="Survey Equipment*Survey Equipment*KVM Extender Box (Local)"/>
    <n v="2"/>
    <s v="ACU5122A"/>
    <s v="BLACK BOX"/>
    <n v="1"/>
  </r>
  <r>
    <s v="0132"/>
    <x v="8"/>
    <n v="66200008207"/>
    <s v="Survey Equipment*Survey Equipment*USB To PS/2 Flashable Converter"/>
    <x v="95"/>
    <s v="Y"/>
    <n v="2"/>
    <s v="USB To PS/2 Flashable Converter"/>
    <s v="Survey Equipment*Survey Equipment*USB To PS/2 Flashable Converter"/>
    <n v="2"/>
    <s v="KVUSB"/>
    <s v="BLACK BOX"/>
    <n v="1"/>
  </r>
  <r>
    <s v="0132"/>
    <x v="8"/>
    <n v="66200009574"/>
    <s v="Crane Boom*Anti-2-Block Wireless System*External Alarm Light/Buzzer"/>
    <x v="89"/>
    <s v="Y"/>
    <n v="1"/>
    <s v="External Alarm Light/Buzzer"/>
    <s v="Crane Boom*Anti-2-Block Wireless System*External Alarm Light/Buzzer"/>
    <n v="1"/>
    <s v="5822T48"/>
    <s v="McMaster-Carr"/>
    <n v="1"/>
  </r>
  <r>
    <s v="0132"/>
    <x v="8"/>
    <n v="66200010221"/>
    <s v="Crane Boom*Boom Hoist Winch*Roto-Chamber, Boom Dog, Type 16N"/>
    <x v="89"/>
    <s v="Y"/>
    <n v="2"/>
    <s v="Roto-Chamber, Boom Dog, Type 16N"/>
    <s v="Crane Boom*Boom Hoist Winch*Roto-Chamber, Boom Dog, Type 16N"/>
    <n v="0"/>
    <s v="229816N"/>
    <s v="BENDIX-WEST"/>
    <n v="1"/>
  </r>
  <r>
    <s v="0132"/>
    <x v="8"/>
    <n v="66200010792"/>
    <s v="Production Instrumentation/Monitoring*Position Computer KVM CATx Extender*Black Box ACU6001A KVM"/>
    <x v="75"/>
    <s v="Y"/>
    <n v="1"/>
    <s v="Black Box ACU6001A KVM"/>
    <s v="Production Instrumentation/Monitoring*Position Computer KVM CATx Extender*Black Box ACU6001A KVM"/>
    <n v="0"/>
    <s v="ACU6001A"/>
    <s v="CDW"/>
    <n v="1"/>
  </r>
  <r>
    <s v="0132"/>
    <x v="8"/>
    <n v="66200013987"/>
    <s v="Scow Fleeting*Deck Winch Port*Fuse, FWH-300A"/>
    <x v="93"/>
    <s v="Y"/>
    <n v="3"/>
    <s v="Fuse, FWH-300A"/>
    <s v="Scow Fleeting*Deck Winch Port*Fuse, FWH-300A"/>
    <n v="6"/>
    <s v="FWH-300A 500V ac/dc"/>
    <s v="Bussmann"/>
    <n v="2"/>
  </r>
  <r>
    <s v="0133"/>
    <x v="9"/>
    <n v="8738"/>
    <s v="Crane Boom*Boom Structure*Boom Angle Indicator*Panel, Indicator"/>
    <x v="89"/>
    <s v="Y"/>
    <n v="1"/>
    <s v="Panel, Indicator"/>
    <s v="Crane Boom*Boom Structure*Boom Angle Indicator*Panel, Indicator"/>
    <n v="2"/>
    <s v="1105775"/>
    <s v="AMERICAN CRANE"/>
    <n v="1"/>
  </r>
  <r>
    <s v="0133"/>
    <x v="9"/>
    <n v="8739"/>
    <s v="Crane Boom*Boom Structure*Boom Angle Indicator*Arm, Indicator"/>
    <x v="89"/>
    <s v="Y"/>
    <n v="1"/>
    <s v="Arm, Indicator"/>
    <s v="Crane Boom*Boom Structure*Boom Angle Indicator*Arm, Indicator"/>
    <n v="1"/>
    <s v="1105401"/>
    <s v="AMERICAN CRANE"/>
    <n v="1"/>
  </r>
  <r>
    <s v="0133"/>
    <x v="9"/>
    <n v="11208"/>
    <s v="Generators*Crane Main Genset (#2)*Crane Main Generator Engine (#2) (CAT 3512)*Radiator Fan Assembly"/>
    <x v="4"/>
    <s v="Y"/>
    <n v="1"/>
    <s v="Radiator Fan Assembly"/>
    <s v="Generators*Crane Main Genset (#2)*Crane Main Generator Engine (#2) (CAT 3512)*Radiator Fan Assembly"/>
    <n v="1"/>
    <s v="6L-3165"/>
    <s v="Caterpillar"/>
    <n v="2"/>
  </r>
  <r>
    <s v="0133"/>
    <x v="9"/>
    <n v="11209"/>
    <s v="Generators*Crane Main Genset (#2)*Crane Main Generator Engine (#2) (CAT 3512)*Radiator Fan Assembly*Bearing Assembly"/>
    <x v="4"/>
    <s v="Y"/>
    <n v="2"/>
    <s v="Bearing Assembly"/>
    <s v="Generators*Crane Main Genset (#2)*Crane Main Generator Engine (#2) (CAT 3512)*Radiator Fan Assembly*Bearing Assembly"/>
    <n v="4"/>
    <s v="5S9587"/>
    <s v="Caterpillar"/>
    <n v="2"/>
  </r>
  <r>
    <s v="0133"/>
    <x v="9"/>
    <n v="11211"/>
    <s v="Generators*Crane Main Genset (#2)*Crane Main Generator Engine (#2) (CAT 3512)*Radiator Fan Assembly*Bearing Assembly"/>
    <x v="4"/>
    <s v="Y"/>
    <n v="2"/>
    <s v="Bearing Assembly"/>
    <s v="Generators*Crane Main Genset (#2)*Crane Main Generator Engine (#2) (CAT 3512)*Radiator Fan Assembly*Bearing Assembly"/>
    <n v="2"/>
    <s v="1P0015"/>
    <s v="Caterpillar"/>
    <n v="2"/>
  </r>
  <r>
    <s v="0133"/>
    <x v="9"/>
    <n v="15481"/>
    <s v="Crane Boom*Winch, Boom Hoist*Motor, Boom Hoist Winch*Motor, Boom Hoist 150 HP"/>
    <x v="89"/>
    <s v="Y"/>
    <n v="1"/>
    <s v="Motor, Boom Hoist 150 HP"/>
    <s v="Crane Boom*Winch, Boom Hoist*Motor, Boom Hoist Winch*Motor, Boom Hoist 150 HP"/>
    <n v="0"/>
    <s v="5CDL409AT"/>
    <s v="General Electric"/>
    <n v="1"/>
  </r>
  <r>
    <s v="0133"/>
    <x v="9"/>
    <n v="15521"/>
    <s v="Crane Holding &amp; Closing*Winch, Closing*Motor, Closing Winch, (800 HP)*Brush Holder, With Spring"/>
    <x v="90"/>
    <s v="Y"/>
    <n v="6"/>
    <s v="Brush Holder, With Spring"/>
    <s v="Crane Holding &amp; Closing*Winch, Closing*Motor, Closing Winch, (800 HP)*Brush Holder, With Spring"/>
    <n v="0"/>
    <s v="36A160423AA-GO6"/>
    <s v="General Electric"/>
    <n v="2"/>
  </r>
  <r>
    <s v="0133"/>
    <x v="9"/>
    <n v="19110"/>
    <s v="Generators*Crane Main Genset (#2)*Crane Main Generator (#2)*Generator, Cat Model Sr-4*Voltage Regulator, VR6"/>
    <x v="4"/>
    <s v="Y"/>
    <n v="2"/>
    <s v="Voltage Regulator, VR6"/>
    <s v="Generators*Crane Main Genset (#2)*Crane Main Generator (#2)*Generator, Cat Model Sr-4*Voltage Regulator, VR6"/>
    <n v="2"/>
    <s v="202-8634"/>
    <s v="Caterpillar"/>
    <n v="2"/>
  </r>
  <r>
    <s v="0133"/>
    <x v="9"/>
    <n v="32276"/>
    <s v="Scow Fleeting*Deck Winches*Deck Winch, Port*Controls (Winch)*Roto Chamber, Deck Winch"/>
    <x v="93"/>
    <s v="Y"/>
    <n v="3"/>
    <s v="Roto Chamber, Deck Winch"/>
    <s v="Scow Fleeting*Deck Winches*Deck Winch, Port*Controls (Winch)*Roto Chamber, Deck Winch"/>
    <n v="0"/>
    <s v="229816"/>
    <s v="WABCO"/>
    <n v="2"/>
  </r>
  <r>
    <s v="0133"/>
    <x v="9"/>
    <n v="32623"/>
    <s v="Electrical*Crane Electrical*Hold / Close Drive Cabinet*Fan"/>
    <x v="61"/>
    <s v="Y"/>
    <n v="2"/>
    <s v="Fan"/>
    <s v="Electrical*Crane Electrical*Hold / Close Drive Cabinet*Fan"/>
    <n v="5"/>
    <s v="3VU71"/>
    <s v="Grainger"/>
    <n v="1"/>
  </r>
  <r>
    <s v="0133"/>
    <x v="9"/>
    <n v="34394"/>
    <s v="Electrical*Crane Electrical*PLC Cabinet*Close Joystick"/>
    <x v="61"/>
    <s v="Y"/>
    <n v="1"/>
    <s v="Close Joystick"/>
    <s v="Electrical*Crane Electrical*PLC Cabinet*Close Joystick"/>
    <n v="2"/>
    <s v="NS2KA-101.7404"/>
    <s v="JR MERRIT"/>
    <n v="1"/>
  </r>
  <r>
    <s v="0133"/>
    <x v="9"/>
    <n v="34397"/>
    <s v="Electrical*Crane Electrical*PLC Cabinet*PLC-Power Supply"/>
    <x v="61"/>
    <s v="Y"/>
    <n v="1"/>
    <s v="PLC-Power Supply"/>
    <s v="Electrical*Crane Electrical*PLC Cabinet*PLC-Power Supply"/>
    <n v="2"/>
    <s v="1746-P7"/>
    <s v="Allen-Bradley"/>
    <n v="1"/>
  </r>
  <r>
    <s v="0133"/>
    <x v="9"/>
    <n v="34398"/>
    <s v="Electrical*Crane Electrical*PLC Cabinet*Processor"/>
    <x v="61"/>
    <s v="Y"/>
    <n v="1"/>
    <s v="Processor"/>
    <s v="Electrical*Crane Electrical*PLC Cabinet*Processor"/>
    <n v="1"/>
    <s v="1747-L553"/>
    <s v="Allen-Bradley"/>
    <n v="1"/>
  </r>
  <r>
    <s v="0133"/>
    <x v="9"/>
    <n v="34399"/>
    <s v="Electrical*Crane Electrical*PLC Cabinet*24 Vdc Input Card"/>
    <x v="61"/>
    <s v="Y"/>
    <n v="2"/>
    <s v="24 Vdc Input Card"/>
    <s v="Electrical*Crane Electrical*PLC Cabinet*24 Vdc Input Card"/>
    <n v="3"/>
    <s v="1746-IB16"/>
    <s v="Allen-Bradley"/>
    <n v="1"/>
  </r>
  <r>
    <s v="0133"/>
    <x v="9"/>
    <n v="34400"/>
    <s v="Electrical*Crane Electrical*PLC Cabinet*24 Vdc Output Card"/>
    <x v="61"/>
    <s v="Y"/>
    <n v="2"/>
    <s v="24 Vdc Output Card"/>
    <s v="Electrical*Crane Electrical*PLC Cabinet*24 Vdc Output Card"/>
    <n v="4"/>
    <s v="1746-OB16"/>
    <s v="Allen-Bradley"/>
    <n v="1"/>
  </r>
  <r>
    <s v="0133"/>
    <x v="9"/>
    <n v="34401"/>
    <s v="Electrical*Crane Electrical*PLC Cabinet*Analog Output Card"/>
    <x v="61"/>
    <s v="Y"/>
    <n v="1"/>
    <s v="Analog Output Card"/>
    <s v="Electrical*Crane Electrical*PLC Cabinet*Analog Output Card"/>
    <n v="2"/>
    <s v="1746-NO8V"/>
    <s v="Allen-Bradley"/>
    <n v="1"/>
  </r>
  <r>
    <s v="0133"/>
    <x v="9"/>
    <n v="34402"/>
    <s v="Electrical*Crane Electrical*PLC Cabinet*Analog Input Card"/>
    <x v="61"/>
    <s v="Y"/>
    <n v="5"/>
    <s v="Analog Input Card"/>
    <s v="Electrical*Crane Electrical*PLC Cabinet*Analog Input Card"/>
    <n v="5"/>
    <s v="1746-NI16V"/>
    <s v="Allen-Bradley"/>
    <n v="1"/>
  </r>
  <r>
    <s v="0133"/>
    <x v="9"/>
    <n v="34403"/>
    <s v="Electrical*Crane Electrical*PLC Cabinet*Relay, 4 Pole"/>
    <x v="61"/>
    <s v="Y"/>
    <n v="4"/>
    <s v="Relay, 4 Pole"/>
    <s v="Electrical*Crane Electrical*PLC Cabinet*Relay, 4 Pole"/>
    <n v="4"/>
    <s v="700DC-P400Z24"/>
    <s v="Allen-Bradley"/>
    <n v="1"/>
  </r>
  <r>
    <s v="0133"/>
    <x v="9"/>
    <n v="34412"/>
    <s v="Electrical*Crane Electrical*PLC Cabinet*Converter, Dual Ind. DC-DC"/>
    <x v="61"/>
    <s v="Y"/>
    <n v="1"/>
    <s v="Converter, Dual Ind. DC-DC"/>
    <s v="Electrical*Crane Electrical*PLC Cabinet*Converter, Dual Ind. DC-DC"/>
    <n v="1"/>
    <s v="SCD30D15-DN"/>
    <s v="SOLA"/>
    <n v="1"/>
  </r>
  <r>
    <s v="0133"/>
    <x v="9"/>
    <n v="45331"/>
    <s v="Electrical*Crane Electrical*PLC Cabinet*Fuse, 500A, 500 VAC"/>
    <x v="61"/>
    <s v="Y"/>
    <n v="5"/>
    <s v="Fuse, 500A, 500 VAC"/>
    <s v="Electrical*Crane Electrical*PLC Cabinet*Fuse, 500A, 500 VAC"/>
    <n v="5"/>
    <s v="FWH-500A"/>
    <s v="Bussmann"/>
    <n v="1"/>
  </r>
  <r>
    <s v="0133"/>
    <x v="9"/>
    <n v="45332"/>
    <s v="Electrical*Crane Electrical*PLC Cabinet*Fuse, 500A, 700 VAC"/>
    <x v="61"/>
    <s v="Y"/>
    <n v="6"/>
    <s v="Fuse, 500A, 700 VAC"/>
    <s v="Electrical*Crane Electrical*PLC Cabinet*Fuse, 500A, 700 VAC"/>
    <n v="6"/>
    <s v="FWP-500A"/>
    <s v="Bussmann"/>
    <n v="1"/>
  </r>
  <r>
    <s v="0133"/>
    <x v="9"/>
    <n v="45333"/>
    <s v="Scow Fleeting*Deck Winches*Deck Winch, Port*Controls (Winch)*Air Control Valve, Deck Winch"/>
    <x v="93"/>
    <s v="Y"/>
    <n v="1"/>
    <s v="Air Control Valve, Deck Winch"/>
    <s v="Scow Fleeting*Deck Winches*Deck Winch, Port*Controls (Winch)*Air Control Valve, Deck Winch"/>
    <n v="0"/>
    <s v="P-052935-00004"/>
    <s v="WABCO"/>
    <n v="2"/>
  </r>
  <r>
    <s v="0133"/>
    <x v="9"/>
    <n v="49442"/>
    <s v="Spud System*Controls*Joystick, Spud Controls"/>
    <x v="73"/>
    <s v="Y"/>
    <n v="1"/>
    <s v="Joystick, Spud Controls"/>
    <s v="Spud System*Controls*Joystick, Spud Controls"/>
    <n v="1"/>
    <s v="2EL80"/>
    <s v="Grainger"/>
    <n v="1"/>
  </r>
  <r>
    <s v="0133"/>
    <x v="9"/>
    <n v="49443"/>
    <s v="Spud System*Controls*Contact Block, Spud Controls"/>
    <x v="73"/>
    <s v="Y"/>
    <n v="1"/>
    <s v="Contact Block, Spud Controls"/>
    <s v="Spud System*Controls*Contact Block, Spud Controls"/>
    <n v="1"/>
    <s v="5B536"/>
    <s v="Grainger"/>
    <n v="1"/>
  </r>
  <r>
    <s v="0133"/>
    <x v="9"/>
    <n v="49706"/>
    <s v="Crane Swing Machinery*Swing Motor #2*Brush Holder Assembly"/>
    <x v="91"/>
    <s v="Y"/>
    <n v="2"/>
    <s v="Brush Holder Assembly"/>
    <s v="Crane Swing Machinery*Swing Motor #2*Brush Holder Assembly"/>
    <n v="2"/>
    <s v="50B3089D1"/>
    <s v="HELWIG CARBON"/>
    <n v="2"/>
  </r>
  <r>
    <s v="0133"/>
    <x v="9"/>
    <n v="52181"/>
    <s v="Spud System*Port Spud*Spud*Sheave, Spud, Lower"/>
    <x v="73"/>
    <s v="Y"/>
    <n v="1"/>
    <s v="Sheave, Spud, Lower"/>
    <s v="Spud System*Port Spud*Spud*Sheave, Spud, Lower"/>
    <n v="0"/>
    <s v="134-03-0252"/>
    <s v="Gldd Dwg "/>
    <n v="3"/>
  </r>
  <r>
    <s v="0133"/>
    <x v="9"/>
    <n v="54021"/>
    <s v="Electrical*Crane Electrical*PLC Cabinet*Panelview"/>
    <x v="61"/>
    <s v="Y"/>
    <n v="1"/>
    <s v="Panelview"/>
    <s v="Electrical*Crane Electrical*PLC Cabinet*Panelview"/>
    <n v="1"/>
    <s v="2711-K10C20L1"/>
    <s v="Allen-Bradley"/>
    <n v="1"/>
  </r>
  <r>
    <s v="0133"/>
    <x v="9"/>
    <n v="54407"/>
    <s v="Spud System*Port Spud*Spud Winch Port*Spud Winch (Port)*Hose, Spud Winch"/>
    <x v="73"/>
    <s v="Y"/>
    <n v="1"/>
    <s v="Hose, Spud Winch"/>
    <s v="Spud System*Port Spud*Spud Winch Port*Spud Winch (Port)*Hose, Spud Winch"/>
    <n v="0"/>
    <s v="4SHKW24-24FJ-24J-216"/>
    <s v="IMPERIAL"/>
    <n v="3"/>
  </r>
  <r>
    <s v="0133"/>
    <x v="9"/>
    <n v="54408"/>
    <s v="Spud System*Port Spud*Spud Winch Port*Spud Winch (Port)*Hose, Spud Winch"/>
    <x v="73"/>
    <s v="Y"/>
    <n v="1"/>
    <s v="Hose, Spud Winch"/>
    <s v="Spud System*Port Spud*Spud Winch Port*Spud Winch (Port)*Hose, Spud Winch"/>
    <n v="0"/>
    <s v="4SHHKW24-24FJ-24FJ"/>
    <s v="IMPERIAL"/>
    <n v="3"/>
  </r>
  <r>
    <s v="0133"/>
    <x v="9"/>
    <n v="54411"/>
    <s v="Spud System*Port Spud*Spud Winch Port*Spud Winch (Port)*Hose, Spud Winch"/>
    <x v="73"/>
    <s v="Y"/>
    <n v="1"/>
    <s v="Hose, Spud Winch"/>
    <s v="Spud System*Port Spud*Spud Winch Port*Spud Winch (Port)*Hose, Spud Winch"/>
    <n v="0"/>
    <s v="4SHKW20-20FJ-20FJ"/>
    <s v="IMPERIAL"/>
    <n v="3"/>
  </r>
  <r>
    <s v="0133"/>
    <x v="9"/>
    <n v="1100004770"/>
    <s v="Crane Swing Circle*Swing Circle Assembly*Track Wheel Assembly (Complete)"/>
    <x v="94"/>
    <s v="Y"/>
    <n v="2"/>
    <s v="Track Wheel Assembly (Complete)"/>
    <s v="Crane Swing Circle*Swing Circle Assembly*Track Wheel Assembly (Complete)"/>
    <n v="1"/>
    <s v="B\P "/>
    <s v="XTEK-INC"/>
    <n v="1"/>
  </r>
  <r>
    <s v="0133"/>
    <x v="9"/>
    <n v="3600000011"/>
    <s v="Crane Tagline*Winch, Tagline*Reduction Gear"/>
    <x v="92"/>
    <s v="Y"/>
    <n v="1"/>
    <s v="Reduction Gear"/>
    <s v="Crane Tagline*Winch, Tagline*Reduction Gear"/>
    <n v="0"/>
    <m/>
    <m/>
    <n v="1"/>
  </r>
  <r>
    <s v="0133"/>
    <x v="9"/>
    <n v="9500000306"/>
    <s v="Scow Fleeting*Deck Winches*Deck Winch Hydraulic Unit*Pump, Hydraulic, Deck Winch HPU*Hydraulic Motor, Deck Winch"/>
    <x v="93"/>
    <s v="Y"/>
    <n v="1"/>
    <s v="Hydraulic Motor, Deck Winch"/>
    <s v="Scow Fleeting*Deck Winches*Deck Winch Hydraulic Unit*Pump, Hydraulic, Deck Winch HPU*Hydraulic Motor, Deck Winch"/>
    <n v="1"/>
    <s v="M11G3N1D 02"/>
    <s v="DENISON"/>
    <n v="1"/>
  </r>
  <r>
    <s v="0133"/>
    <x v="9"/>
    <n v="13200000029"/>
    <s v="Spud System*Port Spud*Spud Winch Port*Spud Winch (Port)*Hydraulic Motor, Spud Winch"/>
    <x v="73"/>
    <s v="Y"/>
    <n v="1"/>
    <s v="Hydraulic Motor, Spud Winch"/>
    <s v="Spud System*Port Spud*Spud Winch Port*Spud Winch (Port)*Hydraulic Motor, Spud Winch"/>
    <n v="2"/>
    <s v="178 1322-410"/>
    <s v="HAGGLUNDS"/>
    <n v="3"/>
  </r>
  <r>
    <s v="0133"/>
    <x v="9"/>
    <n v="13200000031"/>
    <s v="Spud System*Port Spud*Spud Winch Port*Spud Winch (Port)*Hydraulic Motor, Spud Winch*2-Speed Valve, Spud Winch"/>
    <x v="73"/>
    <s v="Y"/>
    <n v="1"/>
    <s v="2-Speed Valve, Spud Winch"/>
    <s v="Spud System*Port Spud*Spud Winch Port*Spud Winch (Port)*Hydraulic Motor, Spud Winch*2-Speed Valve, Spud Winch"/>
    <n v="2"/>
    <s v="1780076-801"/>
    <s v="HAGGLUNDS"/>
    <n v="3"/>
  </r>
  <r>
    <s v="0133"/>
    <x v="9"/>
    <n v="13200001177"/>
    <s v="Crane Holding &amp; Closing*Winch, Closing*Motor, Closing Winch, (800 HP)*Blower, Closing Winch Motor*Motor, Closing Winch Blower (7.5 HP)*Motor, Blower (7.5 HP)"/>
    <x v="90"/>
    <s v="Y"/>
    <n v="1"/>
    <s v="Motor, Blower (7.5 HP)"/>
    <s v="Crane Holding &amp; Closing*Winch, Closing*Motor, Closing Winch, (800 HP)*Blower, Closing Winch Motor*Motor, Closing Winch Blower (7.5 HP)*Motor, Blower (7.5 HP)"/>
    <n v="1"/>
    <s v="5K213SL2722"/>
    <s v="General Electric"/>
    <n v="2"/>
  </r>
  <r>
    <s v="0133"/>
    <x v="9"/>
    <n v="13200001178"/>
    <s v="Crane Boom*Winch, Boom Hoist*Motor, Boom Hoist Winch*Brake Drum"/>
    <x v="89"/>
    <s v="Y"/>
    <n v="1"/>
    <s v="Brake Drum"/>
    <s v="Crane Boom*Winch, Boom Hoist*Motor, Boom Hoist Winch*Brake Drum"/>
    <n v="0"/>
    <m/>
    <m/>
    <n v="1"/>
  </r>
  <r>
    <s v="0133"/>
    <x v="9"/>
    <n v="13200001179"/>
    <s v="Crane Boom*Winch, Boom Hoist*Motor, Boom Hoist Winch*Brake Drum*Solenoid, Air"/>
    <x v="89"/>
    <s v="Y"/>
    <n v="1"/>
    <s v="Solenoid, Air"/>
    <s v="Crane Boom*Winch, Boom Hoist*Motor, Boom Hoist Winch*Brake Drum*Solenoid, Air"/>
    <n v="0"/>
    <s v="VSG-4522"/>
    <s v="VERSA"/>
    <n v="1"/>
  </r>
  <r>
    <s v="0133"/>
    <x v="9"/>
    <n v="13200001182"/>
    <s v="Crane Swing Machinery*Swing Motor #2*Motor, Blower"/>
    <x v="91"/>
    <s v="Y"/>
    <n v="1"/>
    <s v="Motor, Blower"/>
    <s v="Crane Swing Machinery*Swing Motor #2*Motor, Blower"/>
    <n v="1"/>
    <s v="7738664G72"/>
    <s v="Westinghouse"/>
    <n v="2"/>
  </r>
  <r>
    <s v="0133"/>
    <x v="9"/>
    <n v="13200001186"/>
    <s v="Crane Swing Machinery*Swing Motor #2*Disc Brake*Air Solenoid"/>
    <x v="91"/>
    <s v="Y"/>
    <n v="1"/>
    <s v="Air Solenoid"/>
    <s v="Crane Swing Machinery*Swing Motor #2*Disc Brake*Air Solenoid"/>
    <n v="2"/>
    <s v="3UM06"/>
    <s v="Grainger"/>
    <n v="2"/>
  </r>
  <r>
    <s v="0133"/>
    <x v="9"/>
    <n v="13200001187"/>
    <s v="Generators*Crane Main Genset (#2)*Crane Main Generator Engine (#2) (CAT 3512)*Radiator, Perfex"/>
    <x v="4"/>
    <s v="Y"/>
    <n v="1"/>
    <s v="Radiator, Perfex"/>
    <s v="Generators*Crane Main Genset (#2)*Crane Main Generator Engine (#2) (CAT 3512)*Radiator, Perfex"/>
    <n v="1"/>
    <s v="1W-3024"/>
    <s v="PERFEX"/>
    <n v="2"/>
  </r>
  <r>
    <s v="0133"/>
    <x v="9"/>
    <n v="13200001191"/>
    <s v="Compressed Air*Air Compressor (Crane)*Air Compressor (Crane)*Regulator"/>
    <x v="79"/>
    <s v="Y"/>
    <n v="1"/>
    <s v="Regulator"/>
    <s v="Compressed Air*Air Compressor (Crane)*Air Compressor (Crane)*Regulator"/>
    <n v="4"/>
    <s v="7612"/>
    <s v="ALEMITE-STEWART-WARNER"/>
    <n v="1"/>
  </r>
  <r>
    <s v="0133"/>
    <x v="9"/>
    <n v="13200001192"/>
    <s v="Compressed Air*Air Compressor (Crane)*Air Compressor (Crane)*Solenoid, Shut Off"/>
    <x v="79"/>
    <s v="Y"/>
    <n v="1"/>
    <s v="Solenoid, Shut Off"/>
    <s v="Compressed Air*Air Compressor (Crane)*Air Compressor (Crane)*Solenoid, Shut Off"/>
    <n v="1"/>
    <s v="8317A35"/>
    <s v="ASCO"/>
    <n v="1"/>
  </r>
  <r>
    <s v="0133"/>
    <x v="9"/>
    <n v="13200001505"/>
    <s v="Crane Holding &amp; Closing*Winch, Closing*Motor, Closing Winch, (800 HP)*Stud"/>
    <x v="90"/>
    <s v="Y"/>
    <n v="2"/>
    <s v="Stud"/>
    <s v="Crane Holding &amp; Closing*Winch, Closing*Motor, Closing Winch, (800 HP)*Stud"/>
    <n v="0"/>
    <s v="36A164501AA-001"/>
    <s v="General Electric"/>
    <n v="2"/>
  </r>
  <r>
    <s v="0133"/>
    <x v="9"/>
    <n v="13200001506"/>
    <s v="Crane Holding &amp; Closing*Winch, Closing*Motor, Closing Winch, (800 HP)*Brush, GE Type Holder"/>
    <x v="90"/>
    <s v="Y"/>
    <n v="24"/>
    <s v="Brush, GE Type Holder"/>
    <s v="Crane Holding &amp; Closing*Winch, Closing*Motor, Closing Winch, (800 HP)*Brush, GE Type Holder"/>
    <n v="124"/>
    <s v="10-101592"/>
    <s v="HELWIG"/>
    <n v="2"/>
  </r>
  <r>
    <s v="0133"/>
    <x v="9"/>
    <n v="13200001524"/>
    <s v="Generators*Crane Main Genset (#2)*Crane Main Generator Engine (#2) (CAT 3512)*Fuel Transfer Pump Group*Coupling"/>
    <x v="4"/>
    <s v="Y"/>
    <n v="1"/>
    <s v="Coupling"/>
    <s v="Generators*Crane Main Genset (#2)*Crane Main Generator Engine (#2) (CAT 3512)*Fuel Transfer Pump Group*Coupling"/>
    <n v="1"/>
    <s v="1N4636"/>
    <s v="Caterpillar"/>
    <n v="2"/>
  </r>
  <r>
    <s v="0133"/>
    <x v="9"/>
    <n v="13200001526"/>
    <s v="Generators*Crane Main Genset (#2)*Crane Main Generator Engine (#2) (CAT 3512)*Fuel Transfer Pump Group*Pump Group"/>
    <x v="4"/>
    <s v="Y"/>
    <n v="2"/>
    <s v="Pump Group"/>
    <s v="Generators*Crane Main Genset (#2)*Crane Main Generator Engine (#2) (CAT 3512)*Fuel Transfer Pump Group*Pump Group"/>
    <n v="3"/>
    <s v="313-7770"/>
    <s v="Caterpillar"/>
    <n v="2"/>
  </r>
  <r>
    <s v="0133"/>
    <x v="9"/>
    <n v="13200001529"/>
    <s v="Generators*Crane Main Genset (#2)*Crane Main Generator Engine (#2) (CAT 3512)*Fuel Injection Lines Group"/>
    <x v="4"/>
    <s v="Y"/>
    <n v="1"/>
    <s v="Fuel Injection Lines Group"/>
    <s v="Generators*Crane Main Genset (#2)*Crane Main Generator Engine (#2) (CAT 3512)*Fuel Injection Lines Group"/>
    <n v="1"/>
    <s v="234-8723"/>
    <s v="Caterpillar"/>
    <n v="2"/>
  </r>
  <r>
    <s v="0133"/>
    <x v="9"/>
    <n v="13200001550"/>
    <s v="Generators*Crane Main Genset (#2)*Crane Main Generator Engine (#2) (CAT 3512)*Governor Fastener Group*Magnetic Pick Up Assembly"/>
    <x v="4"/>
    <s v="Y"/>
    <n v="2"/>
    <s v="Magnetic Pick Up Assembly"/>
    <s v="Generators*Crane Main Genset (#2)*Crane Main Generator Engine (#2) (CAT 3512)*Governor Fastener Group*Magnetic Pick Up Assembly"/>
    <n v="2"/>
    <s v="8L-4171"/>
    <s v="Caterpillar"/>
    <n v="2"/>
  </r>
  <r>
    <s v="0133"/>
    <x v="9"/>
    <n v="13200001570"/>
    <s v="Generators*Crane Main Genset (#2)*Crane Main Generator Engine (#2) (CAT 3512)*Water Pump Group"/>
    <x v="4"/>
    <s v="Y"/>
    <n v="1"/>
    <s v="Water Pump Group"/>
    <s v="Generators*Crane Main Genset (#2)*Crane Main Generator Engine (#2) (CAT 3512)*Water Pump Group"/>
    <n v="1"/>
    <s v="7N-4757"/>
    <s v="Caterpillar"/>
    <n v="2"/>
  </r>
  <r>
    <s v="0133"/>
    <x v="9"/>
    <n v="13200001592"/>
    <s v="Generators*Crane Main Genset (#2)*Crane Main Generator Engine (#2) (CAT 3512)*Fuel Injection Group*Injector Assembly"/>
    <x v="4"/>
    <s v="Y"/>
    <n v="12"/>
    <s v="Injector Assembly"/>
    <s v="Generators*Crane Main Genset (#2)*Crane Main Generator Engine (#2) (CAT 3512)*Fuel Injection Group*Injector Assembly"/>
    <n v="12"/>
    <s v="7N5427/ 2W5201"/>
    <s v="Caterpillar"/>
    <n v="2"/>
  </r>
  <r>
    <s v="0133"/>
    <x v="9"/>
    <n v="13200001594"/>
    <s v="Crane Swing Circle*Swing Circle Assembly*Rail Section*Rail Splice, Inside"/>
    <x v="94"/>
    <s v="Y"/>
    <n v="6"/>
    <s v="Rail Splice, Inside"/>
    <s v="Crane Swing Circle*Swing Circle Assembly*Rail Section*Rail Splice, Inside"/>
    <n v="12"/>
    <s v="7-376132-CA"/>
    <s v="XTEK-INC"/>
    <n v="1"/>
  </r>
  <r>
    <s v="0133"/>
    <x v="9"/>
    <n v="13200001595"/>
    <s v="Crane Swing Circle*Swing Circle Assembly*Rail Section*Rail Splice, Outside"/>
    <x v="94"/>
    <s v="Y"/>
    <n v="6"/>
    <s v="Rail Splice, Outside"/>
    <s v="Crane Swing Circle*Swing Circle Assembly*Rail Section*Rail Splice, Outside"/>
    <n v="16"/>
    <s v="6-37612-CA"/>
    <s v="XTEK-INC"/>
    <n v="1"/>
  </r>
  <r>
    <s v="0133"/>
    <x v="9"/>
    <n v="13200001596"/>
    <s v="Crane Swing Circle*Swing Circle Assembly*Rail Section*Bolt, 7/8&quot; X 4-1/2&quot;"/>
    <x v="94"/>
    <s v="Y"/>
    <n v="16"/>
    <s v="Bolt, 7/8&quot; X 4-1/2&quot;"/>
    <s v="Crane Swing Circle*Swing Circle Assembly*Rail Section*Bolt, 7/8&quot; X 4-1/2&quot;"/>
    <n v="16"/>
    <m/>
    <m/>
    <n v="1"/>
  </r>
  <r>
    <s v="0133"/>
    <x v="9"/>
    <n v="13200001597"/>
    <s v="Crane Swing Circle*Swing Circle Assembly*Rail Section*Bolt, 7/8&quot; X 3-12&quot;"/>
    <x v="94"/>
    <s v="Y"/>
    <n v="16"/>
    <s v="Bolt, 7/8&quot; X 3-12&quot;"/>
    <s v="Crane Swing Circle*Swing Circle Assembly*Rail Section*Bolt, 7/8&quot; X 3-12&quot;"/>
    <n v="16"/>
    <m/>
    <m/>
    <n v="1"/>
  </r>
  <r>
    <s v="0133"/>
    <x v="9"/>
    <n v="13200001598"/>
    <s v="Crane Swing Circle*Swing Circle Assembly*Rail Section*Washer, 7/8&quot; (Beveled)"/>
    <x v="94"/>
    <s v="Y"/>
    <n v="20"/>
    <s v="Washer, 7/8&quot; (Beveled)"/>
    <s v="Crane Swing Circle*Swing Circle Assembly*Rail Section*Washer, 7/8&quot; (Beveled)"/>
    <n v="20"/>
    <m/>
    <m/>
    <n v="1"/>
  </r>
  <r>
    <s v="0133"/>
    <x v="9"/>
    <n v="13200001604"/>
    <s v="Crane Swing Circle*Swing Circle Assembly*Track Wheel Assembly (Complete)*Seal Plate (Item 6)"/>
    <x v="94"/>
    <s v="Y"/>
    <n v="4"/>
    <s v="Seal Plate (Item 6)"/>
    <s v="Crane Swing Circle*Swing Circle Assembly*Track Wheel Assembly (Complete)*Seal Plate (Item 6)"/>
    <n v="0"/>
    <s v="93853-49"/>
    <s v="XTEK-INC"/>
    <n v="1"/>
  </r>
  <r>
    <s v="0133"/>
    <x v="9"/>
    <n v="13200001605"/>
    <s v="Crane Swing Circle*Swing Circle Assembly*Track Wheel Assembly (Complete)*End Plate"/>
    <x v="94"/>
    <s v="Y"/>
    <n v="4"/>
    <s v="End Plate"/>
    <s v="Crane Swing Circle*Swing Circle Assembly*Track Wheel Assembly (Complete)*End Plate"/>
    <n v="0"/>
    <s v="93854-49"/>
    <s v="XTEK-INC"/>
    <n v="1"/>
  </r>
  <r>
    <s v="0133"/>
    <x v="9"/>
    <n v="13200001607"/>
    <s v="Crane Swing Circle*Swing Circle Assembly*Track Wheel Assembly (Complete)*Seal Plate (Item 7)"/>
    <x v="94"/>
    <s v="Y"/>
    <n v="4"/>
    <s v="Seal Plate (Item 7)"/>
    <s v="Crane Swing Circle*Swing Circle Assembly*Track Wheel Assembly (Complete)*Seal Plate (Item 7)"/>
    <n v="0"/>
    <s v="93853-49"/>
    <s v="XTEK-INC"/>
    <n v="1"/>
  </r>
  <r>
    <s v="0133"/>
    <x v="9"/>
    <n v="18500000018"/>
    <s v="Compressed Air*Air Compressor (Crane)*Air Compressor (Crane)*AIR DRYER"/>
    <x v="79"/>
    <s v="Y"/>
    <n v="1"/>
    <s v="AIR DRYER"/>
    <s v="Compressed Air*Air Compressor (Crane)*Air Compressor (Crane)*AIR DRYER"/>
    <n v="1"/>
    <s v="F30-08-000 M 00"/>
    <s v="Wilkerson"/>
    <n v="1"/>
  </r>
  <r>
    <s v="0133"/>
    <x v="9"/>
    <n v="18500000048"/>
    <s v="Spud System*Port Spud*Spud Winch Port*Spud Winch (Port)*HPU, Spud Winch*Heat Exchanger, Spud Wich HPU"/>
    <x v="73"/>
    <s v="Y"/>
    <n v="1"/>
    <s v="Heat Exchanger, Spud Wich HPU"/>
    <s v="Spud System*Port Spud*Spud Winch Port*Spud Winch (Port)*HPU, Spud Winch*Heat Exchanger, Spud Wich HPU"/>
    <n v="0"/>
    <s v="V015200"/>
    <s v="PERFEX"/>
    <n v="3"/>
  </r>
  <r>
    <s v="0133"/>
    <x v="9"/>
    <n v="18500000050"/>
    <s v="Spud System*Port Spud*Spud Winch Port*Spud Winch (Port)*Switch, Temperature, Spud Winch"/>
    <x v="73"/>
    <s v="Y"/>
    <n v="1"/>
    <s v="Switch, Temperature, Spud Winch"/>
    <s v="Spud System*Port Spud*Spud Winch Port*Spud Winch (Port)*Switch, Temperature, Spud Winch"/>
    <n v="0"/>
    <s v="TZH-5251-3-A"/>
    <s v="DELAVAL"/>
    <n v="3"/>
  </r>
  <r>
    <s v="0133"/>
    <x v="9"/>
    <n v="18500000051"/>
    <s v="Spud System*Port Spud*Spud Winch Port*Spud Winch (Port)*Switch, Pressure, Spud Winch"/>
    <x v="73"/>
    <s v="Y"/>
    <n v="1"/>
    <s v="Switch, Pressure, Spud Winch"/>
    <s v="Spud System*Port Spud*Spud Winch Port*Spud Winch (Port)*Switch, Pressure, Spud Winch"/>
    <n v="0"/>
    <s v="604PA1Z"/>
    <s v="CUSTOM CONTROL SENSORS"/>
    <n v="3"/>
  </r>
  <r>
    <s v="0133"/>
    <x v="9"/>
    <n v="18500000052"/>
    <s v="Spud System*Port Spud*Spud Winch Port*Spud Winch (Port)*Controller"/>
    <x v="73"/>
    <s v="Y"/>
    <n v="1"/>
    <s v="Controller"/>
    <s v="Spud System*Port Spud*Spud Winch Port*Spud Winch (Port)*Controller"/>
    <n v="1"/>
    <s v="63-507"/>
    <s v="MOOG"/>
    <n v="3"/>
  </r>
  <r>
    <s v="0133"/>
    <x v="9"/>
    <n v="18500000053"/>
    <s v="Spud System*Port Spud*Spud Winch Port*Spud Winch (Port)*Switch, Level, Spud Winch"/>
    <x v="73"/>
    <s v="Y"/>
    <n v="1"/>
    <s v="Switch, Level, Spud Winch"/>
    <s v="Spud System*Port Spud*Spud Winch Port*Spud Winch (Port)*Switch, Level, Spud Winch"/>
    <n v="0"/>
    <s v="30288"/>
    <s v="DELAVAL"/>
    <n v="3"/>
  </r>
  <r>
    <s v="0133"/>
    <x v="9"/>
    <n v="18500000054"/>
    <s v="Spud System*Port Spud*Spud Winch Port*Spud Winch (Port)*Solenoid, Brake, Spud Winch"/>
    <x v="73"/>
    <s v="Y"/>
    <n v="1"/>
    <s v="Solenoid, Brake, Spud Winch"/>
    <s v="Spud System*Port Spud*Spud Winch Port*Spud Winch (Port)*Solenoid, Brake, Spud Winch"/>
    <n v="0"/>
    <s v="QJ-5-C-10A1LK"/>
    <s v="DOUBLE A"/>
    <n v="3"/>
  </r>
  <r>
    <s v="0133"/>
    <x v="9"/>
    <n v="18500000056"/>
    <s v="Spud System*Port Spud*Spud Winch Port*Spud Winch (Port)*Hand Pump, Brake, Spud Winch"/>
    <x v="73"/>
    <s v="Y"/>
    <n v="1"/>
    <s v="Hand Pump, Brake, Spud Winch"/>
    <s v="Spud System*Port Spud*Spud Winch Port*Spud Winch (Port)*Hand Pump, Brake, Spud Winch"/>
    <n v="1"/>
    <s v="P-25"/>
    <s v="ENERPAC"/>
    <n v="3"/>
  </r>
  <r>
    <s v="0133"/>
    <x v="9"/>
    <n v="18500000057"/>
    <s v="Spud System*Port Spud*Spud Winch Port*Spud Winch (Port)*Solenoid, Float, Spud Winch"/>
    <x v="73"/>
    <s v="Y"/>
    <n v="1"/>
    <s v="Solenoid, Float, Spud Winch"/>
    <s v="Spud System*Port Spud*Spud Winch Port*Spud Winch (Port)*Solenoid, Float, Spud Winch"/>
    <n v="0"/>
    <s v="QG-5M-C10AZ"/>
    <s v="DOUBLE A"/>
    <n v="3"/>
  </r>
  <r>
    <s v="0133"/>
    <x v="9"/>
    <n v="18500000065"/>
    <s v="Scow Fleeting*Deck Winches*Deck Winch Hydraulic Unit*Pump, Hydraulic, Deck Winch HPU"/>
    <x v="93"/>
    <s v="Y"/>
    <n v="1"/>
    <s v="Pump, Hydraulic, Deck Winch HPU"/>
    <s v="Scow Fleeting*Deck Winches*Deck Winch Hydraulic Unit*Pump, Hydraulic, Deck Winch HPU"/>
    <n v="0"/>
    <s v="890987"/>
    <s v="DYNAPOWER"/>
    <n v="1"/>
  </r>
  <r>
    <s v="0133"/>
    <x v="9"/>
    <n v="18500000071"/>
    <s v="Scow Fleeting*Deck Winches*Deck Winch, Port*Controls (House)*Air Control Valve, Deck Winch"/>
    <x v="93"/>
    <s v="Y"/>
    <n v="1"/>
    <s v="Air Control Valve, Deck Winch"/>
    <s v="Scow Fleeting*Deck Winches*Deck Winch, Port*Controls (House)*Air Control Valve, Deck Winch"/>
    <n v="0"/>
    <s v="P60400-0002"/>
    <s v="WABCO"/>
    <n v="2"/>
  </r>
  <r>
    <s v="0133"/>
    <x v="9"/>
    <n v="18500000072"/>
    <s v="Scow Fleeting*Deck Winches*Deck Winch, Port*Controls (House)*Air Conytrol Valve, Deck Winch"/>
    <x v="93"/>
    <s v="Y"/>
    <n v="1"/>
    <s v="Air Conytrol Valve, Deck Winch"/>
    <s v="Scow Fleeting*Deck Winches*Deck Winch, Port*Controls (House)*Air Conytrol Valve, Deck Winch"/>
    <n v="0"/>
    <s v="P59331"/>
    <s v="WABCO"/>
    <n v="2"/>
  </r>
  <r>
    <s v="0133"/>
    <x v="9"/>
    <n v="18500000073"/>
    <s v="Scow Fleeting*Deck Winches*Deck Winch, Port*Controls (House)*Air Control Valve, Deck Winch"/>
    <x v="93"/>
    <s v="Y"/>
    <n v="1"/>
    <s v="Air Control Valve, Deck Winch"/>
    <s v="Scow Fleeting*Deck Winches*Deck Winch, Port*Controls (House)*Air Control Valve, Deck Winch"/>
    <n v="0"/>
    <s v="P61142-1"/>
    <s v="WABCO"/>
    <n v="2"/>
  </r>
  <r>
    <s v="0133"/>
    <x v="9"/>
    <n v="18500000075"/>
    <s v="Scow Fleeting*Deck Winches*Deck Winch, Port*Controls (Winch)*Air Control Valve, Deck Winch"/>
    <x v="93"/>
    <s v="Y"/>
    <n v="1"/>
    <s v="Air Control Valve, Deck Winch"/>
    <s v="Scow Fleeting*Deck Winches*Deck Winch, Port*Controls (Winch)*Air Control Valve, Deck Winch"/>
    <n v="0"/>
    <s v="P50494-15 L1485"/>
    <s v="WABCO"/>
    <n v="2"/>
  </r>
  <r>
    <s v="0133"/>
    <x v="9"/>
    <n v="18500000076"/>
    <s v="Scow Fleeting*Deck Winches*Deck Winch, Port*Controls (Winch)*Air Control Valve, Deck Winch"/>
    <x v="93"/>
    <s v="Y"/>
    <n v="1"/>
    <s v="Air Control Valve, Deck Winch"/>
    <s v="Scow Fleeting*Deck Winches*Deck Winch, Port*Controls (Winch)*Air Control Valve, Deck Winch"/>
    <n v="0"/>
    <s v="P61142-2 LI485"/>
    <s v="WABCO"/>
    <n v="2"/>
  </r>
  <r>
    <s v="0133"/>
    <x v="9"/>
    <n v="18500000081"/>
    <s v="Fuel Oil Transfer*Fuel Oil Transfer Pump*Fuel Oil Transfer Pump"/>
    <x v="81"/>
    <s v="Y"/>
    <n v="1"/>
    <s v="Fuel Oil Transfer Pump"/>
    <s v="Fuel Oil Transfer*Fuel Oil Transfer Pump*Fuel Oil Transfer Pump"/>
    <n v="1"/>
    <s v="1020705130001"/>
    <s v="PACIFIC PUMP CO."/>
    <n v="1"/>
  </r>
  <r>
    <s v="0133"/>
    <x v="9"/>
    <n v="18500000082"/>
    <s v="Fuel Oil Transfer*Fuel Oil Transfer Pump*Motor, 2 HP*Motor, 2 HP*Motor, 2 HP"/>
    <x v="81"/>
    <s v="Y"/>
    <n v="1"/>
    <s v="Motor, 2 HP"/>
    <s v="Fuel Oil Transfer*Fuel Oil Transfer Pump*Motor, 2 HP*Motor, 2 HP*Motor, 2 HP"/>
    <n v="1"/>
    <s v="5K145DL2266"/>
    <s v="General Electric"/>
    <n v="1"/>
  </r>
  <r>
    <s v="0133"/>
    <x v="9"/>
    <n v="18500000095"/>
    <s v="Electrical*Breaker Panel (Stern)*Breaker, 175A"/>
    <x v="61"/>
    <s v="Y"/>
    <n v="1"/>
    <s v="Breaker, 175A"/>
    <s v="Electrical*Breaker Panel (Stern)*Breaker, 175A"/>
    <n v="2"/>
    <s v="JB3175W"/>
    <s v="Westinghouse"/>
    <n v="1"/>
  </r>
  <r>
    <s v="0133"/>
    <x v="9"/>
    <n v="18500000125"/>
    <s v="Crane Swing Machinery*Swing Motor #2*Gearbox, Swing Motor #2*Pump, Swing G-Box Lube*Pump, Gear Oil"/>
    <x v="91"/>
    <s v="Y"/>
    <n v="1"/>
    <s v="Pump, Gear Oil"/>
    <s v="Crane Swing Machinery*Swing Motor #2*Gearbox, Swing Motor #2*Pump, Swing G-Box Lube*Pump, Gear Oil"/>
    <n v="1"/>
    <s v="1GAM, MNN8245"/>
    <s v="WORTHINGTON"/>
    <n v="1"/>
  </r>
  <r>
    <s v="0133"/>
    <x v="9"/>
    <n v="18500000131"/>
    <s v="Generators*Crane Main Genset (#2)*Crane Main Generator Engine (#2) (CAT 3512)*Actuator"/>
    <x v="4"/>
    <s v="Y"/>
    <n v="1"/>
    <s v="Actuator"/>
    <s v="Generators*Crane Main Genset (#2)*Crane Main Generator Engine (#2) (CAT 3512)*Actuator"/>
    <n v="2"/>
    <s v="7W-6722"/>
    <s v="Caterpillar"/>
    <n v="2"/>
  </r>
  <r>
    <s v="0133"/>
    <x v="9"/>
    <n v="18500000148"/>
    <s v="Crane Swing Circle*Swing Circle Assembly*Track Wheel Assembly (Complete)*Track Wheel Bearing (Cone)"/>
    <x v="94"/>
    <s v="Y"/>
    <n v="4"/>
    <s v="Track Wheel Bearing (Cone)"/>
    <s v="Crane Swing Circle*Swing Circle Assembly*Track Wheel Assembly (Complete)*Track Wheel Bearing (Cone)"/>
    <n v="6"/>
    <s v="HH228349"/>
    <s v="TIMKEN"/>
    <n v="1"/>
  </r>
  <r>
    <s v="0133"/>
    <x v="9"/>
    <n v="24600000012"/>
    <s v="Generators*Crane Main Genset (#2)*Crane Main Generator Engine (#2) (CAT 3512)*Pump Assembly Hand Priming Pump"/>
    <x v="4"/>
    <s v="Y"/>
    <n v="2"/>
    <s v="Pump Assembly Hand Priming Pump"/>
    <s v="Generators*Crane Main Genset (#2)*Crane Main Generator Engine (#2) (CAT 3512)*Pump Assembly Hand Priming Pump"/>
    <n v="3"/>
    <s v="162-3906"/>
    <s v="Caterpillar"/>
    <n v="2"/>
  </r>
  <r>
    <s v="0133"/>
    <x v="9"/>
    <n v="24600000023"/>
    <s v="Crane Holding &amp; Closing*Winch, Holding*Disc Brake (Kobelt)*Foot*Lever"/>
    <x v="90"/>
    <s v="Y"/>
    <n v="6"/>
    <s v="Lever"/>
    <s v="Crane Holding &amp; Closing*Winch, Holding*Disc Brake (Kobelt)*Foot*Lever"/>
    <n v="6"/>
    <s v="5021-0004"/>
    <s v="KOBELT"/>
    <n v="1"/>
  </r>
  <r>
    <s v="0133"/>
    <x v="9"/>
    <n v="24600000030"/>
    <s v="Crane Holding &amp; Closing*Winch, Holding*Disc Brake (Kobelt)*Foot*Lever*Shoe*Outside Bearing"/>
    <x v="90"/>
    <s v="Y"/>
    <n v="2"/>
    <s v="Outside Bearing"/>
    <s v="Crane Holding &amp; Closing*Winch, Holding*Disc Brake (Kobelt)*Foot*Lever*Shoe*Outside Bearing"/>
    <n v="13"/>
    <s v="5022-0014"/>
    <s v="KOBELT"/>
    <n v="1"/>
  </r>
  <r>
    <s v="0133"/>
    <x v="9"/>
    <n v="24600000034"/>
    <s v="Crane Holding &amp; Closing*Winch, Holding*Disc Brake (Kobelt)*Foot*Saddle Pin"/>
    <x v="90"/>
    <s v="Y"/>
    <n v="6"/>
    <s v="Saddle Pin"/>
    <s v="Crane Holding &amp; Closing*Winch, Holding*Disc Brake (Kobelt)*Foot*Saddle Pin"/>
    <n v="6"/>
    <s v="5022-0022"/>
    <s v="KOBELT"/>
    <n v="1"/>
  </r>
  <r>
    <s v="0133"/>
    <x v="9"/>
    <n v="24600000043"/>
    <s v="Crane Holding &amp; Closing*Winch, Holding*Disc Brake (Kobelt)*Piston House Bushing"/>
    <x v="90"/>
    <s v="Y"/>
    <n v="2"/>
    <s v="Piston House Bushing"/>
    <s v="Crane Holding &amp; Closing*Winch, Holding*Disc Brake (Kobelt)*Piston House Bushing"/>
    <n v="2"/>
    <s v="6212-PHB"/>
    <s v="KOBELT"/>
    <n v="1"/>
  </r>
  <r>
    <s v="0133"/>
    <x v="9"/>
    <n v="24600000044"/>
    <s v="Crane Holding &amp; Closing*Winch, Holding*Disc Brake (Kobelt)*Repair Kit"/>
    <x v="90"/>
    <s v="Y"/>
    <n v="6"/>
    <s v="Repair Kit"/>
    <s v="Crane Holding &amp; Closing*Winch, Holding*Disc Brake (Kobelt)*Repair Kit"/>
    <n v="6"/>
    <s v="6212-RK"/>
    <s v="KOBELT"/>
    <n v="1"/>
  </r>
  <r>
    <s v="0133"/>
    <x v="9"/>
    <n v="24600000060"/>
    <s v="Electrical*SCR Panels (Crane)*SA.4, Hold*Fuse FRS-R-35"/>
    <x v="61"/>
    <s v="Y"/>
    <n v="4"/>
    <s v="Fuse FRS-R-35"/>
    <s v="Electrical*SCR Panels (Crane)*SA.4, Hold*Fuse FRS-R-35"/>
    <n v="4"/>
    <s v="6A833"/>
    <s v="Grainger"/>
    <n v="1"/>
  </r>
  <r>
    <s v="0133"/>
    <x v="9"/>
    <n v="24600000075"/>
    <s v="Scow Fleeting*Deck Winches*Deck Winch, Port*Controls (Winch)*Rotary Air Unit, Deck Winch"/>
    <x v="93"/>
    <s v="Y"/>
    <n v="2"/>
    <s v="Rotary Air Unit, Deck Winch"/>
    <s v="Scow Fleeting*Deck Winches*Deck Winch, Port*Controls (Winch)*Rotary Air Unit, Deck Winch"/>
    <n v="6"/>
    <s v="11020-70-081"/>
    <s v="DEUBLIN"/>
    <n v="2"/>
  </r>
  <r>
    <s v="0133"/>
    <x v="9"/>
    <n v="24600000109"/>
    <s v="Scow Fleeting*Deck Winches*Deck Winch, Port*Clutch Assembly*Friction Band, Deck Winch"/>
    <x v="93"/>
    <s v="Y"/>
    <n v="4"/>
    <s v="Friction Band, Deck Winch"/>
    <s v="Scow Fleeting*Deck Winches*Deck Winch, Port*Clutch Assembly*Friction Band, Deck Winch"/>
    <n v="0"/>
    <s v="110H15"/>
    <s v="CLYDE"/>
    <n v="2"/>
  </r>
  <r>
    <s v="0133"/>
    <x v="9"/>
    <n v="24600000141"/>
    <s v="Compressed Air*Service Air Compressor*Air Compressor*Filter, Oil"/>
    <x v="79"/>
    <s v="Y"/>
    <n v="1"/>
    <s v="Filter, Oil"/>
    <s v="Compressed Air*Service Air Compressor*Air Compressor*Filter, Oil"/>
    <n v="1"/>
    <s v="110814"/>
    <s v="QUINCY"/>
    <n v="1"/>
  </r>
  <r>
    <s v="0133"/>
    <x v="9"/>
    <n v="24600000142"/>
    <s v="Compressed Air*Service Air Compressor*Air Compressor*Filter, Air"/>
    <x v="79"/>
    <s v="Y"/>
    <n v="2"/>
    <s v="Filter, Air"/>
    <s v="Compressed Air*Service Air Compressor*Air Compressor*Filter, Air"/>
    <n v="2"/>
    <s v="110377E100"/>
    <s v="QUINCY"/>
    <n v="1"/>
  </r>
  <r>
    <s v="0133"/>
    <x v="9"/>
    <n v="45000001188"/>
    <s v="Electrical*Crane Electrical*Hold / Close Drive Cabinet*Fuse"/>
    <x v="61"/>
    <s v="Y"/>
    <n v="3"/>
    <s v="Fuse"/>
    <s v="Electrical*Crane Electrical*Hold / Close Drive Cabinet*Fuse"/>
    <n v="3"/>
    <s v="Q302487"/>
    <s v="FERRAZ SHAWUT"/>
    <n v="1"/>
  </r>
  <r>
    <s v="0133"/>
    <x v="9"/>
    <n v="45000001219"/>
    <s v="Electrical*Crane Electrical*Hold / Close Drive Cabinet*Hoist Scr"/>
    <x v="61"/>
    <s v="Y"/>
    <n v="12"/>
    <s v="Hoist Scr"/>
    <s v="Electrical*Crane Electrical*Hold / Close Drive Cabinet*Hoist Scr"/>
    <n v="3"/>
    <s v="MYS170101-AF"/>
    <s v="MRO ELECTRONICS"/>
    <n v="1"/>
  </r>
  <r>
    <s v="0133"/>
    <x v="9"/>
    <n v="45000001240"/>
    <s v="Electrical*Crane Electrical*Hold / Close Drive Cabinet*Bridge Firing Board"/>
    <x v="61"/>
    <s v="Y"/>
    <n v="12"/>
    <s v="Bridge Firing Board"/>
    <s v="Electrical*Crane Electrical*Hold / Close Drive Cabinet*Bridge Firing Board"/>
    <n v="12"/>
    <s v="22004    REVC"/>
    <s v="AVTRON"/>
    <n v="1"/>
  </r>
  <r>
    <s v="0133"/>
    <x v="9"/>
    <n v="45000001241"/>
    <s v="Electrical*Crane Electrical*Hold / Close Drive Cabinet*Bridge Interface Board"/>
    <x v="61"/>
    <s v="Y"/>
    <n v="3"/>
    <s v="Bridge Interface Board"/>
    <s v="Electrical*Crane Electrical*Hold / Close Drive Cabinet*Bridge Interface Board"/>
    <n v="1"/>
    <s v="A19273-1   REV M"/>
    <s v="AVTRON"/>
    <n v="1"/>
  </r>
  <r>
    <s v="0133"/>
    <x v="9"/>
    <n v="45000001246"/>
    <s v="Electrical*Crane Electrical*Swing Drive Cabinet*Bridge Interface Board"/>
    <x v="61"/>
    <s v="Y"/>
    <n v="2"/>
    <s v="Bridge Interface Board"/>
    <s v="Electrical*Crane Electrical*Swing Drive Cabinet*Bridge Interface Board"/>
    <n v="1"/>
    <s v="A18123-1"/>
    <s v="AVTRON"/>
    <n v="1"/>
  </r>
  <r>
    <s v="0133"/>
    <x v="9"/>
    <n v="45000001247"/>
    <s v="Electrical*Crane Electrical*Swing Drive Cabinet*Board, Microprocessor"/>
    <x v="61"/>
    <s v="Y"/>
    <n v="2"/>
    <s v="Board, Microprocessor"/>
    <s v="Electrical*Crane Electrical*Swing Drive Cabinet*Board, Microprocessor"/>
    <n v="2"/>
    <s v="630264"/>
    <s v="AVTRON"/>
    <n v="1"/>
  </r>
  <r>
    <s v="0133"/>
    <x v="9"/>
    <n v="45000005071"/>
    <s v="Generators*Crane Main Genset (#2)*Crane Main Generator Engine (#2) (CAT 3512)*Radiator Fan Assembly*Pillow Block"/>
    <x v="4"/>
    <s v="Y"/>
    <n v="1"/>
    <s v="Pillow Block"/>
    <s v="Generators*Crane Main Genset (#2)*Crane Main Generator Engine (#2) (CAT 3512)*Radiator Fan Assembly*Pillow Block"/>
    <n v="3"/>
    <s v="6L1525"/>
    <s v="Caterpillar"/>
    <n v="2"/>
  </r>
  <r>
    <s v="0133"/>
    <x v="9"/>
    <n v="45000009035"/>
    <s v="Generators*Crane Main Genset (#2)*Crane Main Generator Engine (#2) (CAT 3512)*Belts, Fan"/>
    <x v="4"/>
    <s v="Y"/>
    <n v="2"/>
    <s v="Belts, Fan"/>
    <s v="Generators*Crane Main Genset (#2)*Crane Main Generator Engine (#2) (CAT 3512)*Belts, Fan"/>
    <n v="2"/>
    <s v="4W-8511"/>
    <s v="Caterpillar"/>
    <n v="2"/>
  </r>
  <r>
    <s v="0133"/>
    <x v="9"/>
    <n v="45000010043"/>
    <s v="Crane Swing Machinery*Swing Motor #2*Brush, Swing Motor"/>
    <x v="91"/>
    <s v="Y"/>
    <n v="8"/>
    <s v="Brush, Swing Motor"/>
    <s v="Crane Swing Machinery*Swing Motor #2*Brush, Swing Motor"/>
    <n v="32"/>
    <m/>
    <m/>
    <n v="2"/>
  </r>
  <r>
    <s v="0133"/>
    <x v="9"/>
    <n v="45000010657"/>
    <s v="Generators*Crane Main Genset (#2)*Crane Main Generator Engine (#2) (CAT 3512)*Relays, Enercon Slave"/>
    <x v="4"/>
    <s v="Y"/>
    <n v="2"/>
    <s v="Relays, Enercon Slave"/>
    <s v="Generators*Crane Main Genset (#2)*Crane Main Generator Engine (#2) (CAT 3512)*Relays, Enercon Slave"/>
    <n v="0"/>
    <s v="2N-2915"/>
    <s v="Caterpillar"/>
    <n v="2"/>
  </r>
  <r>
    <s v="0133"/>
    <x v="9"/>
    <n v="45000010658"/>
    <s v="Generators*Crane Main Genset (#2)*Crane Main Generator Engine (#2) (CAT 3512)*Relay, Pinion Start"/>
    <x v="4"/>
    <s v="Y"/>
    <n v="2"/>
    <s v="Relay, Pinion Start"/>
    <s v="Generators*Crane Main Genset (#2)*Crane Main Generator Engine (#2) (CAT 3512)*Relay, Pinion Start"/>
    <n v="6"/>
    <s v="9F-3099"/>
    <s v="Caterpillar"/>
    <n v="2"/>
  </r>
  <r>
    <s v="0133"/>
    <x v="9"/>
    <n v="45000010659"/>
    <s v="Generators*Crane Main Genset (#2)*Crane Main Generator Engine (#2) (CAT 3512)*Sensor, Magnetic"/>
    <x v="4"/>
    <s v="Y"/>
    <n v="2"/>
    <s v="Sensor, Magnetic"/>
    <s v="Generators*Crane Main Genset (#2)*Crane Main Generator Engine (#2) (CAT 3512)*Sensor, Magnetic"/>
    <n v="2"/>
    <s v="8L-4171"/>
    <s v="Caterpillar"/>
    <n v="2"/>
  </r>
  <r>
    <s v="0133"/>
    <x v="9"/>
    <n v="45000010661"/>
    <s v="Generators*Crane Main Genset (#2)*Crane Main Generator Engine (#2) (CAT 3512)*Switch, Oil Pressure"/>
    <x v="4"/>
    <s v="Y"/>
    <n v="2"/>
    <s v="Switch, Oil Pressure"/>
    <s v="Generators*Crane Main Genset (#2)*Crane Main Generator Engine (#2) (CAT 3512)*Switch, Oil Pressure"/>
    <n v="2"/>
    <s v="67750"/>
    <s v="Caterpillar"/>
    <n v="2"/>
  </r>
  <r>
    <s v="0133"/>
    <x v="9"/>
    <n v="45000010663"/>
    <s v="Generators*Crane Main Genset (#2)*Crane Main Generator Engine (#2) (CAT 3512)*Relay, Time Delay"/>
    <x v="4"/>
    <s v="Y"/>
    <n v="2"/>
    <s v="Relay, Time Delay"/>
    <s v="Generators*Crane Main Genset (#2)*Crane Main Generator Engine (#2) (CAT 3512)*Relay, Time Delay"/>
    <n v="2"/>
    <s v="4W-8471"/>
    <s v="Caterpillar"/>
    <n v="2"/>
  </r>
  <r>
    <s v="0133"/>
    <x v="9"/>
    <n v="45000012209"/>
    <s v="Generators*Crane Main Genset (#2)*Crane Main Generator Engine (#2) (CAT 3512)*Electrical Starting Group*Starter, 24 Volt"/>
    <x v="4"/>
    <s v="Y"/>
    <n v="1"/>
    <s v="Starter, 24 Volt"/>
    <s v="Generators*Crane Main Genset (#2)*Crane Main Generator Engine (#2) (CAT 3512)*Electrical Starting Group*Starter, 24 Volt"/>
    <n v="1"/>
    <s v="10R-1852"/>
    <s v="Caterpillar"/>
    <n v="2"/>
  </r>
  <r>
    <s v="0133"/>
    <x v="9"/>
    <n v="45000012210"/>
    <s v="Generators*Crane Main Genset (#2)*Crane Main Generator Engine (#2) (CAT 3512)*Electrical Starting Group*Solenoid, Starter 24 Volt"/>
    <x v="4"/>
    <s v="Y"/>
    <n v="1"/>
    <s v="Solenoid, Starter 24 Volt"/>
    <s v="Generators*Crane Main Genset (#2)*Crane Main Generator Engine (#2) (CAT 3512)*Electrical Starting Group*Solenoid, Starter 24 Volt"/>
    <n v="4"/>
    <s v="3182082"/>
    <s v="Caterpillar"/>
    <n v="2"/>
  </r>
  <r>
    <s v="0133"/>
    <x v="9"/>
    <n v="45000012314"/>
    <s v="Crane Boom*Boom Structure*Boom Angle Indicator*Bracket Assembly"/>
    <x v="89"/>
    <s v="Y"/>
    <n v="1"/>
    <s v="Bracket Assembly"/>
    <s v="Crane Boom*Boom Structure*Boom Angle Indicator*Bracket Assembly"/>
    <n v="1"/>
    <s v="1105776"/>
    <s v="AMERICAN CRANE"/>
    <n v="1"/>
  </r>
  <r>
    <s v="0133"/>
    <x v="9"/>
    <n v="45000012510"/>
    <s v="Crane Boom*Boom Structure*Boom Angle Indicator*Angle Indicator, Boom"/>
    <x v="89"/>
    <s v="Y"/>
    <n v="1"/>
    <s v="Angle Indicator, Boom"/>
    <s v="Crane Boom*Boom Structure*Boom Angle Indicator*Angle Indicator, Boom"/>
    <n v="1"/>
    <s v="1106439"/>
    <s v="AMERICAN CRANE"/>
    <n v="1"/>
  </r>
  <r>
    <s v="0133"/>
    <x v="9"/>
    <n v="45000012760"/>
    <s v="Crane Holding &amp; Closing*Winch, Holding*Disc Brake (Kobelt)*Saddle"/>
    <x v="90"/>
    <s v="Y"/>
    <n v="2"/>
    <s v="Saddle"/>
    <s v="Crane Holding &amp; Closing*Winch, Holding*Disc Brake (Kobelt)*Saddle"/>
    <n v="2"/>
    <s v="5021-0002"/>
    <s v="KOBELT"/>
    <n v="1"/>
  </r>
  <r>
    <s v="0133"/>
    <x v="9"/>
    <n v="45000012771"/>
    <s v="Crane Holding &amp; Closing*Winch, Holding*Disc Brake (Kobelt)*Outside Bearing"/>
    <x v="90"/>
    <s v="Y"/>
    <n v="2"/>
    <s v="Outside Bearing"/>
    <s v="Crane Holding &amp; Closing*Winch, Holding*Disc Brake (Kobelt)*Outside Bearing"/>
    <n v="2"/>
    <s v="5022-0014"/>
    <s v="KOBELT"/>
    <n v="1"/>
  </r>
  <r>
    <s v="0133"/>
    <x v="9"/>
    <n v="45000012777"/>
    <s v="Crane Holding &amp; Closing*Winch, Holding*Disc Brake (Kobelt)*Saddle Pin"/>
    <x v="90"/>
    <s v="Y"/>
    <n v="6"/>
    <s v="Saddle Pin"/>
    <s v="Crane Holding &amp; Closing*Winch, Holding*Disc Brake (Kobelt)*Saddle Pin"/>
    <n v="6"/>
    <s v="5022-0022"/>
    <s v="KOBELT"/>
    <n v="1"/>
  </r>
  <r>
    <s v="0133"/>
    <x v="9"/>
    <n v="45000012793"/>
    <s v="Crane Holding &amp; Closing*Winch, Holding*Disc Brake (Kobelt)*O-Ring"/>
    <x v="90"/>
    <s v="Y"/>
    <n v="6"/>
    <s v="O-Ring"/>
    <s v="Crane Holding &amp; Closing*Winch, Holding*Disc Brake (Kobelt)*O-Ring"/>
    <n v="6"/>
    <s v="1101-0214"/>
    <s v="KOBELT"/>
    <n v="1"/>
  </r>
  <r>
    <s v="0133"/>
    <x v="9"/>
    <n v="45000012794"/>
    <s v="Crane Holding &amp; Closing*Winch, Holding*Disc Brake (Kobelt)*O-Ring"/>
    <x v="90"/>
    <s v="Y"/>
    <n v="6"/>
    <s v="O-Ring"/>
    <s v="Crane Holding &amp; Closing*Winch, Holding*Disc Brake (Kobelt)*O-Ring"/>
    <n v="6"/>
    <s v="1101-0248"/>
    <s v="KOBELT"/>
    <n v="1"/>
  </r>
  <r>
    <s v="0133"/>
    <x v="9"/>
    <n v="45000013242"/>
    <s v="Compressed Air*Service Air Compressor*Air Compressor*Drive Belt, Compressor"/>
    <x v="79"/>
    <s v="Y"/>
    <n v="2"/>
    <s v="Drive Belt, Compressor"/>
    <s v="Compressed Air*Service Air Compressor*Air Compressor*Drive Belt, Compressor"/>
    <n v="2"/>
    <s v="BT-70"/>
    <s v="QUINCY"/>
    <n v="1"/>
  </r>
  <r>
    <s v="0133"/>
    <x v="9"/>
    <n v="45000013966"/>
    <s v="Compressed Air*Air Compressor (Crane)*Air Compressor (Crane)*V- Belt"/>
    <x v="79"/>
    <s v="Y"/>
    <n v="2"/>
    <s v="V- Belt"/>
    <s v="Compressed Air*Air Compressor (Crane)*Air Compressor (Crane)*V- Belt"/>
    <n v="4"/>
    <s v="B-82"/>
    <s v="GATES"/>
    <n v="1"/>
  </r>
  <r>
    <s v="0133"/>
    <x v="9"/>
    <n v="45000014471"/>
    <s v="Crane Holding &amp; Closing*Winch, Holding*Disc Brake (Kobelt)*Solenoid valve, 120 VAC"/>
    <x v="90"/>
    <s v="Y"/>
    <n v="2"/>
    <s v="Solenoid valve, 120 VAC"/>
    <s v="Crane Holding &amp; Closing*Winch, Holding*Disc Brake (Kobelt)*Solenoid valve, 120 VAC"/>
    <n v="2"/>
    <s v="3UM06"/>
    <s v="Grainger"/>
    <n v="1"/>
  </r>
  <r>
    <s v="0133"/>
    <x v="9"/>
    <n v="45000014622"/>
    <s v="Crane Boom*Winch, Boom Hoist*Dog, Winch"/>
    <x v="89"/>
    <s v="Y"/>
    <n v="1"/>
    <s v="Dog, Winch"/>
    <s v="Crane Boom*Winch, Boom Hoist*Dog, Winch"/>
    <n v="3"/>
    <s v="133-08-213r1"/>
    <s v="Gldd Dwg "/>
    <n v="1"/>
  </r>
  <r>
    <s v="0133"/>
    <x v="9"/>
    <n v="45000014623"/>
    <s v="Crane Boom*Winch, Boom Hoist*Dog, Winch*Air Cylinder"/>
    <x v="89"/>
    <s v="Y"/>
    <n v="1"/>
    <s v="Air Cylinder"/>
    <s v="Crane Boom*Winch, Boom Hoist*Dog, Winch*Air Cylinder"/>
    <n v="3"/>
    <s v="6D863"/>
    <s v="Grainger"/>
    <n v="1"/>
  </r>
  <r>
    <s v="0133"/>
    <x v="9"/>
    <n v="45000016089"/>
    <s v="Compressed Air*Air Compressor (Crane)*Motor, 7.5 HP*Motor, 7.5 HP"/>
    <x v="79"/>
    <s v="Y"/>
    <n v="1"/>
    <s v="Motor, 7.5 HP"/>
    <s v="Compressed Air*Air Compressor (Crane)*Motor, 7.5 HP*Motor, 7.5 HP"/>
    <n v="1"/>
    <s v="37G813Y65NH1"/>
    <s v="CONSOLIDATED ELECTRICAL DISTRIBUTORS"/>
    <n v="1"/>
  </r>
  <r>
    <s v="0133"/>
    <x v="9"/>
    <n v="45000017603"/>
    <s v="Safety Firefighting*Fire Pump*Motor, 40 HP*Motor, Fire Pump, 40 HP"/>
    <x v="84"/>
    <s v="Y"/>
    <n v="1"/>
    <s v="Motor, Fire Pump, 40 HP"/>
    <s v="Safety Firefighting*Fire Pump*Motor, 40 HP*Motor, Fire Pump, 40 HP"/>
    <n v="1"/>
    <s v="5K324BL115D"/>
    <s v="General Electric"/>
    <n v="1"/>
  </r>
  <r>
    <s v="0133"/>
    <x v="9"/>
    <n v="45000018003"/>
    <s v="Crane Swing Circle*Swing Circle Assembly*Track Wheel Assembly (Complete)*Track Wheel Bearing Spacer"/>
    <x v="94"/>
    <s v="Y"/>
    <n v="4"/>
    <s v="Track Wheel Bearing Spacer"/>
    <s v="Crane Swing Circle*Swing Circle Assembly*Track Wheel Assembly (Complete)*Track Wheel Bearing Spacer"/>
    <n v="5"/>
    <s v="HH228310EA"/>
    <s v="TIMKEN"/>
    <n v="1"/>
  </r>
  <r>
    <s v="0133"/>
    <x v="9"/>
    <n v="45000018018"/>
    <s v="Crane Swing Machinery*Swing Motor #1*Blower, Swing Motor #1*Motor, Swing Motor #1 Blower*Motor, 1 1/2 Hp"/>
    <x v="91"/>
    <s v="Y"/>
    <n v="1"/>
    <s v="Motor, 1 1/2 Hp"/>
    <s v="Crane Swing Machinery*Swing Motor #1*Blower, Swing Motor #1*Motor, Swing Motor #1 Blower*Motor, 1 1/2 Hp"/>
    <n v="1"/>
    <m/>
    <m/>
    <n v="1"/>
  </r>
  <r>
    <s v="0133"/>
    <x v="9"/>
    <n v="45000018023"/>
    <s v="Crane Swing Machinery*Swing Motor #1*Recirculating Pump, Swing Motor #1*Motor, Recirculating Pump #1*MOTOR, 3/4 HP"/>
    <x v="91"/>
    <s v="Y"/>
    <n v="1"/>
    <s v="MOTOR, 3/4 HP"/>
    <s v="Crane Swing Machinery*Swing Motor #1*Recirculating Pump, Swing Motor #1*Motor, Recirculating Pump #1*MOTOR, 3/4 HP"/>
    <n v="1"/>
    <m/>
    <m/>
    <n v="1"/>
  </r>
  <r>
    <s v="0133"/>
    <x v="9"/>
    <n v="45000018031"/>
    <s v="Crane Boom*Winch, Boom Hoist*Motor, Boom Hoist Winch*Blower*Blower"/>
    <x v="89"/>
    <s v="Y"/>
    <n v="1"/>
    <s v="Blower"/>
    <s v="Crane Boom*Winch, Boom Hoist*Motor, Boom Hoist Winch*Blower*Blower"/>
    <n v="1"/>
    <m/>
    <m/>
    <n v="1"/>
  </r>
  <r>
    <s v="0133"/>
    <x v="9"/>
    <n v="45000018032"/>
    <s v="Crane Boom*Winch, Boom Hoist*Motor, Boom Hoist Winch*Blower*Motor, 1/20 HP*Motor, 1/20 HP"/>
    <x v="89"/>
    <s v="Y"/>
    <n v="1"/>
    <s v="Motor, 1/20 HP"/>
    <s v="Crane Boom*Winch, Boom Hoist*Motor, Boom Hoist Winch*Blower*Motor, 1/20 HP*Motor, 1/20 HP"/>
    <n v="1"/>
    <m/>
    <m/>
    <n v="1"/>
  </r>
  <r>
    <s v="0133"/>
    <x v="9"/>
    <n v="45000018035"/>
    <s v="Compressed Air*Service Air Compressor*Air Compressor*Gasket Set"/>
    <x v="79"/>
    <s v="Y"/>
    <n v="1"/>
    <s v="Gasket Set"/>
    <s v="Compressed Air*Service Air Compressor*Air Compressor*Gasket Set"/>
    <n v="1"/>
    <s v="7126"/>
    <s v="QUINCY"/>
    <n v="1"/>
  </r>
  <r>
    <s v="0133"/>
    <x v="9"/>
    <n v="45000018052"/>
    <s v="Lube Oil Transfer*Oil Barrell Pump*Motor, 3/4 HP*Motor, 3/4 HP, Baldor"/>
    <x v="86"/>
    <s v="Y"/>
    <n v="1"/>
    <s v="Motor, 3/4 HP, Baldor"/>
    <s v="Lube Oil Transfer*Oil Barrell Pump*Motor, 3/4 HP*Motor, 3/4 HP, Baldor"/>
    <n v="1"/>
    <m/>
    <m/>
    <n v="1"/>
  </r>
  <r>
    <s v="0133"/>
    <x v="9"/>
    <n v="45000018058"/>
    <s v="Compressed Air*Air Compressor (Crane)*Air Compressor (Crane)*Kit, Gasket"/>
    <x v="79"/>
    <s v="Y"/>
    <n v="1"/>
    <s v="Kit, Gasket"/>
    <s v="Compressed Air*Air Compressor (Crane)*Air Compressor (Crane)*Kit, Gasket"/>
    <n v="2"/>
    <s v="7088"/>
    <s v="QUINCY"/>
    <n v="1"/>
  </r>
  <r>
    <s v="0133"/>
    <x v="9"/>
    <n v="45000018424"/>
    <s v="Crane Boom*Boom Structure*Boom Tip*Sheave Assembly- Rework Detail*Bearing, Double Cup"/>
    <x v="89"/>
    <s v="Y"/>
    <n v="1"/>
    <s v="Bearing, Double Cup"/>
    <s v="Crane Boom*Boom Structure*Boom Tip*Sheave Assembly- Rework Detail*Bearing, Double Cup"/>
    <n v="1"/>
    <s v="HM237510CD-20081"/>
    <s v="TIMKEN"/>
    <n v="1"/>
  </r>
  <r>
    <s v="0133"/>
    <x v="9"/>
    <n v="45000018425"/>
    <s v="Crane Boom*Boom Structure*Boom Tip*Sheave Assembly- Rework Detail*Bearing, Cone"/>
    <x v="89"/>
    <s v="Y"/>
    <n v="1"/>
    <s v="Bearing, Cone"/>
    <s v="Crane Boom*Boom Structure*Boom Tip*Sheave Assembly- Rework Detail*Bearing, Cone"/>
    <n v="1"/>
    <s v="HM237545NA-20024"/>
    <s v="TIMKEN"/>
    <n v="1"/>
  </r>
  <r>
    <s v="0133"/>
    <x v="9"/>
    <n v="45000018426"/>
    <s v="Crane Boom*Boom Structure*Boom Tip*Sheave Assembly- Rework Detail*Keeper Plate"/>
    <x v="89"/>
    <s v="Y"/>
    <n v="1"/>
    <s v="Keeper Plate"/>
    <s v="Crane Boom*Boom Structure*Boom Tip*Sheave Assembly- Rework Detail*Keeper Plate"/>
    <n v="4"/>
    <s v="2231"/>
    <s v="Gldd Dwg "/>
    <n v="1"/>
  </r>
  <r>
    <s v="0133"/>
    <x v="9"/>
    <n v="45000018427"/>
    <s v="Crane Boom*Boom Structure*Boom Tip*Sheave Assembly- Rework Detail*Cap Screw, Hex HD"/>
    <x v="89"/>
    <s v="Y"/>
    <n v="1"/>
    <s v="Cap Screw, Hex HD"/>
    <s v="Crane Boom*Boom Structure*Boom Tip*Sheave Assembly- Rework Detail*Cap Screw, Hex HD"/>
    <n v="1"/>
    <s v="2230"/>
    <s v="Gldd Dwg "/>
    <n v="1"/>
  </r>
  <r>
    <s v="0133"/>
    <x v="9"/>
    <n v="45000018429"/>
    <s v="Crane Boom*Boom Structure*Boom Tip*Sheave Assembly- Rework Detail*Grease Fitting, 1/4 NPT"/>
    <x v="89"/>
    <s v="Y"/>
    <n v="2"/>
    <s v="Grease Fitting, 1/4 NPT"/>
    <s v="Crane Boom*Boom Structure*Boom Tip*Sheave Assembly- Rework Detail*Grease Fitting, 1/4 NPT"/>
    <n v="2"/>
    <s v="1627A"/>
    <s v="ALEMITE"/>
    <n v="1"/>
  </r>
  <r>
    <s v="0133"/>
    <x v="9"/>
    <n v="45000018431"/>
    <s v="Crane Boom*Boom Structure*Boom Tip*Sheave Assembly- Rework Detail*Spacer, Long"/>
    <x v="89"/>
    <s v="Y"/>
    <n v="1"/>
    <s v="Spacer, Long"/>
    <s v="Crane Boom*Boom Structure*Boom Tip*Sheave Assembly- Rework Detail*Spacer, Long"/>
    <n v="1"/>
    <s v="2231"/>
    <s v="Gldd Dwg "/>
    <n v="1"/>
  </r>
  <r>
    <s v="0133"/>
    <x v="9"/>
    <n v="45000018432"/>
    <s v="Crane Boom*Boom Structure*Boom Tip*Sheave Assembly- Rework Detail*Retainer, Grease"/>
    <x v="89"/>
    <s v="Y"/>
    <n v="2"/>
    <s v="Retainer, Grease"/>
    <s v="Crane Boom*Boom Structure*Boom Tip*Sheave Assembly- Rework Detail*Retainer, Grease"/>
    <n v="6"/>
    <s v="2231"/>
    <s v="Gldd Dwg "/>
    <n v="1"/>
  </r>
  <r>
    <s v="0133"/>
    <x v="9"/>
    <n v="45000018433"/>
    <s v="Crane Boom*Boom Structure*Boom Tip*Sheave Assembly- Rework Detail*SHEAVE, 52.75&quot; OD"/>
    <x v="89"/>
    <s v="Y"/>
    <n v="1"/>
    <s v="SHEAVE, 52.75&quot; OD"/>
    <s v="Crane Boom*Boom Structure*Boom Tip*Sheave Assembly- Rework Detail*SHEAVE, 52.75&quot; OD"/>
    <n v="1"/>
    <s v="133-11-457"/>
    <s v="Gldd Dwg "/>
    <n v="1"/>
  </r>
  <r>
    <s v="0133"/>
    <x v="9"/>
    <n v="45000018436"/>
    <s v="Crane Boom*Boom Structure*Boom Tip*Sheave Assembly- Rework Detail*Spacer, Short"/>
    <x v="89"/>
    <s v="Y"/>
    <n v="1"/>
    <s v="Spacer, Short"/>
    <s v="Crane Boom*Boom Structure*Boom Tip*Sheave Assembly- Rework Detail*Spacer, Short"/>
    <n v="1"/>
    <s v="2231"/>
    <s v="Gldd Dwg "/>
    <n v="1"/>
  </r>
  <r>
    <s v="0133"/>
    <x v="9"/>
    <n v="45000018437"/>
    <s v="Crane Boom*Boom Structure*Boom Tip*Sheave Assembly- Rework Detail*PIN, SHEAVE"/>
    <x v="89"/>
    <s v="Y"/>
    <n v="1"/>
    <s v="PIN, SHEAVE"/>
    <s v="Crane Boom*Boom Structure*Boom Tip*Sheave Assembly- Rework Detail*PIN, SHEAVE"/>
    <n v="1"/>
    <s v="133-11-456"/>
    <s v="Gldd Dwg "/>
    <n v="1"/>
  </r>
  <r>
    <s v="0133"/>
    <x v="9"/>
    <n v="45000018439"/>
    <s v="Crane Boom*Boom Structure*Boom Tip*Sheave Assembly- Rework Detail*Cap Screw, Flathead SOC"/>
    <x v="89"/>
    <s v="Y"/>
    <n v="1"/>
    <s v="Cap Screw, Flathead SOC"/>
    <s v="Crane Boom*Boom Structure*Boom Tip*Sheave Assembly- Rework Detail*Cap Screw, Flathead SOC"/>
    <n v="16"/>
    <s v="2230"/>
    <s v="Gldd Dwg "/>
    <n v="1"/>
  </r>
  <r>
    <s v="0133"/>
    <x v="9"/>
    <n v="45000018776"/>
    <s v="Scow Fleeting*Deck Winches*Deck Winch, Port*Gearbox, Deck Winch Port*Gearbox, Deck Winch"/>
    <x v="93"/>
    <s v="Y"/>
    <n v="1"/>
    <s v="Gearbox, Deck Winch"/>
    <s v="Scow Fleeting*Deck Winches*Deck Winch, Port*Gearbox, Deck Winch Port*Gearbox, Deck Winch"/>
    <n v="0"/>
    <s v="8C202"/>
    <s v="Falk"/>
    <n v="2"/>
  </r>
  <r>
    <s v="0133"/>
    <x v="9"/>
    <n v="45000018812"/>
    <s v="Crane Boom*Boom Structure*Boom Tip*Boom Tip Guide*Bearing, Guide Roller"/>
    <x v="89"/>
    <s v="Y"/>
    <n v="2"/>
    <s v="Bearing, Guide Roller"/>
    <s v="Crane Boom*Boom Structure*Boom Tip*Boom Tip Guide*Bearing, Guide Roller"/>
    <n v="2"/>
    <s v="MRC311MF"/>
    <s v="MRC - SKF"/>
    <n v="1"/>
  </r>
  <r>
    <s v="0133"/>
    <x v="9"/>
    <n v="45000019352"/>
    <s v="Compressed Air*Air Compressor (Crane)*Air Compressor (Crane)*Valve, Discharge"/>
    <x v="79"/>
    <s v="Y"/>
    <n v="1"/>
    <s v="Valve, Discharge"/>
    <s v="Compressed Air*Air Compressor (Crane)*Air Compressor (Crane)*Valve, Discharge"/>
    <n v="4"/>
    <s v="7271X04"/>
    <s v="QUINCY"/>
    <n v="1"/>
  </r>
  <r>
    <s v="0133"/>
    <x v="9"/>
    <n v="45000022406"/>
    <s v="Electrical*Crane Electrical*Boom Hoist Drive Cabinet*Boom Hoist Scr"/>
    <x v="61"/>
    <s v="Y"/>
    <n v="12"/>
    <s v="Boom Hoist Scr"/>
    <s v="Electrical*Crane Electrical*Boom Hoist Drive Cabinet*Boom Hoist Scr"/>
    <n v="15"/>
    <s v="MYS150103-BK"/>
    <s v="MRO ELECTRONICS"/>
    <n v="1"/>
  </r>
  <r>
    <s v="0133"/>
    <x v="9"/>
    <n v="45000022485"/>
    <s v="Crane Boom*Winch, Boom Hoist*Eye Bolt, 1-1/8&quot;"/>
    <x v="89"/>
    <s v="Y"/>
    <n v="1"/>
    <s v="Eye Bolt, 1-1/8&quot;"/>
    <s v="Crane Boom*Winch, Boom Hoist*Eye Bolt, 1-1/8&quot;"/>
    <n v="2"/>
    <s v="133-11-29916r2"/>
    <s v="Gldd Dwg "/>
    <n v="1"/>
  </r>
  <r>
    <s v="0133"/>
    <x v="9"/>
    <n v="45000022488"/>
    <s v="Crane Boom*Winch, Boom Hoist*Coil Spring, Brake Cylinder"/>
    <x v="89"/>
    <s v="Y"/>
    <n v="1"/>
    <s v="Coil Spring, Brake Cylinder"/>
    <s v="Crane Boom*Winch, Boom Hoist*Coil Spring, Brake Cylinder"/>
    <n v="1"/>
    <s v="1-97453-CA"/>
    <s v="EDERER"/>
    <n v="1"/>
  </r>
  <r>
    <s v="0133"/>
    <x v="9"/>
    <n v="45000022647"/>
    <s v="Crane Boom*Winch, Boom Hoist*Winch, Boom Hoist*Brake Cylinder Clevis, Item 29"/>
    <x v="89"/>
    <s v="Y"/>
    <n v="1"/>
    <s v="Brake Cylinder Clevis, Item 29"/>
    <s v="Crane Boom*Winch, Boom Hoist*Winch, Boom Hoist*Brake Cylinder Clevis, Item 29"/>
    <n v="1"/>
    <m/>
    <m/>
    <n v="1"/>
  </r>
  <r>
    <s v="0133"/>
    <x v="9"/>
    <n v="45000025916"/>
    <s v="Spud System*Port Spud*Spud Winch Port*Spud Winch (Port)*Hydraulic Cylinder, Spud Winch"/>
    <x v="73"/>
    <s v="Y"/>
    <n v="1"/>
    <s v="Hydraulic Cylinder, Spud Winch"/>
    <s v="Spud System*Port Spud*Spud Winch Port*Spud Winch (Port)*Hydraulic Cylinder, Spud Winch"/>
    <n v="0"/>
    <s v="870130-802"/>
    <s v="HAGGLUNDS"/>
    <n v="3"/>
  </r>
  <r>
    <s v="0133"/>
    <x v="9"/>
    <n v="45000026191"/>
    <s v="Generators*Crane Main Genset (#2)*Crane Main Generator Engine (#2) (CAT 3512)*Engine Control Module (12/24 V Dc)"/>
    <x v="4"/>
    <s v="Y"/>
    <n v="1"/>
    <s v="Engine Control Module (12/24 V Dc)"/>
    <s v="Generators*Crane Main Genset (#2)*Crane Main Generator Engine (#2) (CAT 3512)*Engine Control Module (12/24 V Dc)"/>
    <n v="1"/>
    <s v="ECU-9988N"/>
    <s v="ENGINEERING CONCEPTS UNLIMITED (ECU)"/>
    <n v="2"/>
  </r>
  <r>
    <s v="0133"/>
    <x v="9"/>
    <n v="45000027518"/>
    <s v="Generators*Crane Main Genset (#2)*Crane Main Generator Engine (#2) (CAT 3512)*Air Shut-Off Group- Intake*Turbo Cartridge Assembly"/>
    <x v="4"/>
    <s v="Y"/>
    <n v="1"/>
    <s v="Turbo Cartridge Assembly"/>
    <s v="Generators*Crane Main Genset (#2)*Crane Main Generator Engine (#2) (CAT 3512)*Air Shut-Off Group- Intake*Turbo Cartridge Assembly"/>
    <n v="1"/>
    <s v="0R-5363"/>
    <s v="Caterpillar"/>
    <n v="2"/>
  </r>
  <r>
    <s v="0133"/>
    <x v="9"/>
    <n v="45000027803"/>
    <s v="Crane Holding &amp; Closing*Winch, Closing*Gearbox, Closing Winch*Oil Seal, Garlock, Output Shaft"/>
    <x v="90"/>
    <s v="Y"/>
    <n v="1"/>
    <s v="Oil Seal, Garlock, Output Shaft"/>
    <s v="Crane Holding &amp; Closing*Winch, Closing*Gearbox, Closing Winch*Oil Seal, Garlock, Output Shaft"/>
    <n v="1"/>
    <s v="53 X 3570"/>
    <s v="Garlock"/>
    <n v="1"/>
  </r>
  <r>
    <s v="0133"/>
    <x v="9"/>
    <n v="45000027804"/>
    <s v="Crane Holding &amp; Closing*Winch, Closing*Gearbox, Closing Winch*Oil Seal, Cr, Input Shaft"/>
    <x v="90"/>
    <s v="Y"/>
    <n v="1"/>
    <s v="Oil Seal, Cr, Input Shaft"/>
    <s v="Crane Holding &amp; Closing*Winch, Closing*Gearbox, Closing Winch*Oil Seal, Cr, Input Shaft"/>
    <n v="1"/>
    <s v="01315393"/>
    <s v="Motion Industries"/>
    <n v="1"/>
  </r>
  <r>
    <s v="0133"/>
    <x v="9"/>
    <n v="45000028012"/>
    <s v="Spud System*Stern Spud*Spud Hoist Winch (Stern)*HPU, Stern Spud Winch*Hydraulic Unit Motor, 125 HP*Motor, Spud HPU, 125 HP"/>
    <x v="73"/>
    <s v="Y"/>
    <n v="1"/>
    <s v="Motor, Spud HPU, 125 HP"/>
    <s v="Spud System*Stern Spud*Spud Hoist Winch (Stern)*HPU, Stern Spud Winch*Hydraulic Unit Motor, 125 HP*Motor, Spud HPU, 125 HP"/>
    <n v="0"/>
    <m/>
    <m/>
    <n v="3"/>
  </r>
  <r>
    <s v="0133"/>
    <x v="9"/>
    <n v="45000028118"/>
    <s v="Crane Holding &amp; Closing*Winch, Closing*Gearbox, Closing Winch*Oil Seal, Pedestal"/>
    <x v="90"/>
    <s v="Y"/>
    <n v="1"/>
    <s v="Oil Seal, Pedestal"/>
    <s v="Crane Holding &amp; Closing*Winch, Closing*Gearbox, Closing Winch*Oil Seal, Pedestal"/>
    <n v="1"/>
    <s v="70016"/>
    <s v="CHICAGO RAWHIDE"/>
    <n v="1"/>
  </r>
  <r>
    <s v="0133"/>
    <x v="9"/>
    <n v="45000028120"/>
    <s v="Crane Holding &amp; Closing*Winch, Holding*Gearbox, Holding Winch*Brake Disc"/>
    <x v="90"/>
    <s v="Y"/>
    <n v="1"/>
    <s v="Brake Disc"/>
    <s v="Crane Holding &amp; Closing*Winch, Holding*Gearbox, Holding Winch*Brake Disc"/>
    <n v="1"/>
    <s v="X-15864"/>
    <s v="H&amp;S"/>
    <n v="1"/>
  </r>
  <r>
    <s v="0133"/>
    <x v="9"/>
    <n v="45000028124"/>
    <s v="Crane Holding &amp; Closing*Winch, Holding*Gearbox, Holding Winch*Oil Seal, Output Shaft"/>
    <x v="90"/>
    <s v="Y"/>
    <n v="2"/>
    <s v="Oil Seal, Output Shaft"/>
    <s v="Crane Holding &amp; Closing*Winch, Holding*Gearbox, Holding Winch*Oil Seal, Output Shaft"/>
    <n v="2"/>
    <s v="53 X 3570"/>
    <s v="Garlock"/>
    <n v="1"/>
  </r>
  <r>
    <s v="0133"/>
    <x v="9"/>
    <n v="45000028127"/>
    <s v="Crane Holding &amp; Closing*Winch, Holding*Gearbox, Holding Winch*Bearing, Intermediate Shaft"/>
    <x v="90"/>
    <s v="Y"/>
    <n v="2"/>
    <s v="Bearing, Intermediate Shaft"/>
    <s v="Crane Holding &amp; Closing*Winch, Holding*Gearbox, Holding Winch*Bearing, Intermediate Shaft"/>
    <n v="2"/>
    <s v="22232 W33"/>
    <s v="TORRINGTON"/>
    <n v="1"/>
  </r>
  <r>
    <s v="0133"/>
    <x v="9"/>
    <n v="45000028130"/>
    <s v="Crane Holding &amp; Closing*Winch, Holding*Gearbox, Holding Winch*Oil Seal, Input Shaft"/>
    <x v="90"/>
    <s v="Y"/>
    <n v="2"/>
    <s v="Oil Seal, Input Shaft"/>
    <s v="Crane Holding &amp; Closing*Winch, Holding*Gearbox, Holding Winch*Oil Seal, Input Shaft"/>
    <n v="2"/>
    <s v="42475"/>
    <s v="CHICAGO RAWHIDE"/>
    <n v="1"/>
  </r>
  <r>
    <s v="0133"/>
    <x v="9"/>
    <n v="45000028340"/>
    <s v="Crane Swing Machinery*Swing Motor #2*Gearbox, Swing Motor #2*Seal, Upper"/>
    <x v="91"/>
    <s v="Y"/>
    <n v="4"/>
    <s v="Seal, Upper"/>
    <s v="Crane Swing Machinery*Swing Motor #2*Gearbox, Swing Motor #2*Seal, Upper"/>
    <n v="8"/>
    <m/>
    <m/>
    <n v="2"/>
  </r>
  <r>
    <s v="0133"/>
    <x v="9"/>
    <n v="45000028341"/>
    <s v="Crane Swing Machinery*Swing Motor #2*Gearbox, Swing Motor #2*Seal, Swing Indicator"/>
    <x v="91"/>
    <s v="Y"/>
    <n v="2"/>
    <s v="Seal, Swing Indicator"/>
    <s v="Crane Swing Machinery*Swing Motor #2*Gearbox, Swing Motor #2*Seal, Swing Indicator"/>
    <n v="4"/>
    <s v="4931"/>
    <s v="SFK"/>
    <n v="2"/>
  </r>
  <r>
    <s v="0133"/>
    <x v="9"/>
    <n v="45000028356"/>
    <s v="Crane Swing Machinery*Swing Motor #2*Gearbox, Swing Motor #2*Seal, Lower Swing Gear Box"/>
    <x v="91"/>
    <s v="Y"/>
    <n v="2"/>
    <s v="Seal, Lower Swing Gear Box"/>
    <s v="Crane Swing Machinery*Swing Motor #2*Gearbox, Swing Motor #2*Seal, Lower Swing Gear Box"/>
    <n v="9"/>
    <s v="79997"/>
    <s v="SFK"/>
    <n v="2"/>
  </r>
  <r>
    <s v="0133"/>
    <x v="9"/>
    <n v="45000028409"/>
    <s v="Spud System*Stern Spud*Spud Hoist Winch (Stern)*HPU, Stern Spud Winch*Fluid Power Drive*Motor, Spud HPU, 75 HP"/>
    <x v="73"/>
    <s v="Y"/>
    <n v="1"/>
    <s v="Motor, Spud HPU, 75 HP"/>
    <s v="Spud System*Stern Spud*Spud Hoist Winch (Stern)*HPU, Stern Spud Winch*Fluid Power Drive*Motor, Spud HPU, 75 HP"/>
    <n v="1"/>
    <m/>
    <m/>
    <n v="1"/>
  </r>
  <r>
    <s v="0133"/>
    <x v="9"/>
    <n v="45000028411"/>
    <s v="Spud System*Stern Spud*Spud Hoist Winch (Stern)*HPU, Stern Spud Winch*Fluid Power Drive*Pump, Hydraulic, Spud HPU"/>
    <x v="73"/>
    <s v="Y"/>
    <n v="1"/>
    <s v="Pump, Hydraulic, Spud HPU"/>
    <s v="Spud System*Stern Spud*Spud Hoist Winch (Stern)*HPU, Stern Spud Winch*Fluid Power Drive*Pump, Hydraulic, Spud HPU"/>
    <n v="1"/>
    <s v="2520V14A14"/>
    <s v="VICKERS"/>
    <n v="1"/>
  </r>
  <r>
    <s v="0133"/>
    <x v="9"/>
    <n v="45000028532"/>
    <s v="Crane Tagline*Winch, Tagline*Tagline Assembly*Tagline Assembly"/>
    <x v="92"/>
    <s v="Y"/>
    <n v="1"/>
    <s v="Tagline Assembly"/>
    <s v="Crane Tagline*Winch, Tagline*Tagline Assembly*Tagline Assembly"/>
    <n v="0"/>
    <s v="EAT-440406-0190"/>
    <s v="Eaton"/>
    <n v="1"/>
  </r>
  <r>
    <s v="0133"/>
    <x v="9"/>
    <n v="45000028879"/>
    <s v="Scow Fleeting*Deck Winches*Deck Winch, Port*Clutch Assembly*Lever, Deck Winch"/>
    <x v="93"/>
    <s v="Y"/>
    <n v="1"/>
    <s v="Lever, Deck Winch"/>
    <s v="Scow Fleeting*Deck Winches*Deck Winch, Port*Clutch Assembly*Lever, Deck Winch"/>
    <n v="0"/>
    <s v="52 T 38"/>
    <s v="Clyde Iron Works"/>
    <n v="2"/>
  </r>
  <r>
    <s v="0133"/>
    <x v="9"/>
    <n v="45000028885"/>
    <s v="Scow Fleeting*Deck Winches*Deck Winch, Port*Clutch Assembly*Shaft &amp; Lever, Deck Winch"/>
    <x v="93"/>
    <s v="Y"/>
    <n v="1"/>
    <s v="Shaft &amp; Lever, Deck Winch"/>
    <s v="Scow Fleeting*Deck Winches*Deck Winch, Port*Clutch Assembly*Shaft &amp; Lever, Deck Winch"/>
    <n v="0"/>
    <s v="62 T? 113 R/L"/>
    <s v="Clyde Iron Works"/>
    <n v="2"/>
  </r>
  <r>
    <s v="0133"/>
    <x v="9"/>
    <n v="45000028889"/>
    <s v="Scow Fleeting*Deck Winches*Deck Winch, Port*Clutch Assembly*Spring, Deck Winch"/>
    <x v="93"/>
    <s v="Y"/>
    <n v="1"/>
    <s v="Spring, Deck Winch"/>
    <s v="Scow Fleeting*Deck Winches*Deck Winch, Port*Clutch Assembly*Spring, Deck Winch"/>
    <n v="0"/>
    <s v="107 J 7"/>
    <s v="Clyde Iron Works"/>
    <n v="2"/>
  </r>
  <r>
    <s v="0133"/>
    <x v="9"/>
    <n v="45000028890"/>
    <s v="Scow Fleeting*Deck Winches*Deck Winch, Port*Clutch Assembly*Lever, Deck Winch"/>
    <x v="93"/>
    <s v="Y"/>
    <n v="1"/>
    <s v="Lever, Deck Winch"/>
    <s v="Scow Fleeting*Deck Winches*Deck Winch, Port*Clutch Assembly*Lever, Deck Winch"/>
    <n v="0"/>
    <s v="52 J 200 R/L"/>
    <s v="Clyde Iron Works"/>
    <n v="2"/>
  </r>
  <r>
    <s v="0133"/>
    <x v="9"/>
    <n v="45000028891"/>
    <s v="Scow Fleeting*Deck Winches*Deck Winch, Port*Clutch Assembly*Roto Chamber, Deck Winch"/>
    <x v="93"/>
    <s v="Y"/>
    <n v="3"/>
    <s v="Roto Chamber, Deck Winch"/>
    <s v="Scow Fleeting*Deck Winches*Deck Winch, Port*Clutch Assembly*Roto Chamber, Deck Winch"/>
    <n v="7"/>
    <s v="TYPE 16"/>
    <s v="Clyde Iron Works"/>
    <n v="2"/>
  </r>
  <r>
    <s v="0133"/>
    <x v="9"/>
    <n v="45000028893"/>
    <s v="Scow Fleeting*Deck Winches*Deck Winch, Port*Clutch Assembly*Hose, Deck Winch"/>
    <x v="93"/>
    <s v="Y"/>
    <n v="3"/>
    <s v="Hose, Deck Winch"/>
    <s v="Scow Fleeting*Deck Winches*Deck Winch, Port*Clutch Assembly*Hose, Deck Winch"/>
    <n v="0"/>
    <s v="71 J 22"/>
    <s v="Clyde Iron Works"/>
    <n v="2"/>
  </r>
  <r>
    <s v="0133"/>
    <x v="9"/>
    <n v="45000029538"/>
    <s v="Crane Boom*Winch, Boom Hoist*Gearbox, Boom Hoist Winch*Oil Seal"/>
    <x v="89"/>
    <s v="Y"/>
    <n v="2"/>
    <s v="Oil Seal"/>
    <s v="Crane Boom*Winch, Boom Hoist*Gearbox, Boom Hoist Winch*Oil Seal"/>
    <n v="2"/>
    <s v="ITEM 360-133-08-0230"/>
    <s v="Gldd Dwg "/>
    <n v="1"/>
  </r>
  <r>
    <s v="0133"/>
    <x v="9"/>
    <n v="45000029832"/>
    <s v="Crane Boom*Winch, Boom Hoist*Gearbox, Boom Hoist Winch*Oil Seal"/>
    <x v="89"/>
    <s v="Y"/>
    <n v="2"/>
    <s v="Oil Seal"/>
    <s v="Crane Boom*Winch, Boom Hoist*Gearbox, Boom Hoist Winch*Oil Seal"/>
    <n v="2"/>
    <s v="ITEM 560-133-08-0230"/>
    <s v="Gldd Dwg "/>
    <n v="1"/>
  </r>
  <r>
    <s v="0133"/>
    <x v="9"/>
    <n v="45000030171"/>
    <s v="Spud System*Port Spud*Spud Winch Port*Starter Cabinet*STARTER CABINET*Contactor, NEMA 5"/>
    <x v="73"/>
    <s v="Y"/>
    <n v="1"/>
    <s v="Contactor, NEMA 5"/>
    <s v="Spud System*Port Spud*Spud Winch Port*Starter Cabinet*STARTER CABINET*Contactor, NEMA 5"/>
    <n v="1"/>
    <s v="CR305G004"/>
    <s v="General Electric"/>
    <n v="3"/>
  </r>
  <r>
    <s v="0133"/>
    <x v="9"/>
    <n v="45000030298"/>
    <s v="Spud System*Port Spud*Spud Winch Port*Starter Cabinet*STARTER CABINET*Contactor, NEMA 5*Movable Contact Support  T-Bar"/>
    <x v="73"/>
    <s v="Y"/>
    <n v="1"/>
    <s v="Movable Contact Support  T-Bar"/>
    <s v="Spud System*Port Spud*Spud Winch Port*Starter Cabinet*STARTER CABINET*Contactor, NEMA 5*Movable Contact Support  T-Bar"/>
    <n v="1"/>
    <s v="55-154607G042"/>
    <s v="ENGLEWOOD ELECTRICAL SUPPLY"/>
    <n v="3"/>
  </r>
  <r>
    <s v="0133"/>
    <x v="9"/>
    <n v="45000030299"/>
    <s v="Spud System*Port Spud*Spud Winch Port*Starter Cabinet*STARTER CABINET*Contactor, NEMA 5*Return Spring"/>
    <x v="73"/>
    <s v="Y"/>
    <n v="1"/>
    <s v="Return Spring"/>
    <s v="Spud System*Port Spud*Spud Winch Port*Starter Cabinet*STARTER CABINET*Contactor, NEMA 5*Return Spring"/>
    <n v="1"/>
    <s v="55-153205G002"/>
    <s v="ENGLEWOOD ELECTRICAL SUPPLY"/>
    <n v="3"/>
  </r>
  <r>
    <s v="0133"/>
    <x v="9"/>
    <n v="45000032354"/>
    <s v="Crane Holding &amp; Closing*Winch, Closing*Drum, Closing Winch*Pillow Block Bearing*Bearing, Dbl. Row Spher."/>
    <x v="90"/>
    <s v="Y"/>
    <n v="2"/>
    <s v="Bearing, Dbl. Row Spher."/>
    <s v="Crane Holding &amp; Closing*Winch, Closing*Drum, Closing Winch*Pillow Block Bearing*Bearing, Dbl. Row Spher."/>
    <n v="2"/>
    <s v="22336CC/W33"/>
    <s v="SKF"/>
    <n v="2"/>
  </r>
  <r>
    <s v="0133"/>
    <x v="9"/>
    <n v="45000032357"/>
    <s v="Crane Holding &amp; Closing*Winch, Closing*Drum, Closing Winch*Pillow Block Bearing*Seals, Oil, 8-3/4 Sft"/>
    <x v="90"/>
    <s v="Y"/>
    <n v="2"/>
    <s v="Seals, Oil, 8-3/4 Sft"/>
    <s v="Crane Holding &amp; Closing*Winch, Closing*Drum, Closing Winch*Pillow Block Bearing*Seals, Oil, 8-3/4 Sft"/>
    <n v="3"/>
    <s v="53X3949"/>
    <s v="Garlock"/>
    <n v="2"/>
  </r>
  <r>
    <s v="0133"/>
    <x v="9"/>
    <n v="45000034653"/>
    <s v="Generators*Crane Main Genset (#2)*Crane Main Generator (#2)*Exciter, Varistor"/>
    <x v="4"/>
    <s v="Y"/>
    <n v="1"/>
    <s v="Exciter, Varistor"/>
    <s v="Generators*Crane Main Genset (#2)*Crane Main Generator (#2)*Exciter, Varistor"/>
    <n v="8"/>
    <s v="5N-5043"/>
    <s v="Caterpillar"/>
    <n v="2"/>
  </r>
  <r>
    <s v="0133"/>
    <x v="9"/>
    <n v="60400001090"/>
    <s v="Crane Swing Machinery*Swing Motor #2*Gearbox, Swing Motor #2*Bearing,  Intermediate Shaft (Lower)"/>
    <x v="91"/>
    <s v="Y"/>
    <n v="2"/>
    <s v="Bearing,  Intermediate Shaft (Lower)"/>
    <s v="Crane Swing Machinery*Swing Motor #2*Gearbox, Swing Motor #2*Bearing,  Intermediate Shaft (Lower)"/>
    <n v="0"/>
    <s v="5322"/>
    <s v="MARION POWER"/>
    <n v="2"/>
  </r>
  <r>
    <s v="0133"/>
    <x v="9"/>
    <n v="60400001091"/>
    <s v="Crane Swing Machinery*Swing Motor #2*Gearbox, Swing Motor #2*Bushing, Swing Shaft (Lower)"/>
    <x v="91"/>
    <s v="Y"/>
    <n v="1"/>
    <s v="Bushing, Swing Shaft (Lower)"/>
    <s v="Crane Swing Machinery*Swing Motor #2*Gearbox, Swing Motor #2*Bushing, Swing Shaft (Lower)"/>
    <n v="2"/>
    <s v="133-08-0195"/>
    <s v="Gldd Dwg "/>
    <n v="2"/>
  </r>
  <r>
    <s v="0133"/>
    <x v="9"/>
    <n v="60400005587"/>
    <s v="Crane Boom*Boom Structure*Boom Lighting*Light, Boom, Flood"/>
    <x v="89"/>
    <s v="Y"/>
    <n v="1"/>
    <s v="Light, Boom, Flood"/>
    <s v="Crane Boom*Boom Structure*Boom Lighting*Light, Boom, Flood"/>
    <n v="1"/>
    <s v="MCH-10-EZ-R-120-277-LPH"/>
    <s v="PHOENIX PRODUCTS CO."/>
    <n v="1"/>
  </r>
  <r>
    <s v="0133"/>
    <x v="9"/>
    <n v="60400005686"/>
    <s v="Compressed Air*Air Compressor (Crane)*Air Compressor (Crane)*Discharge Valve Assembly"/>
    <x v="79"/>
    <s v="Y"/>
    <n v="1"/>
    <s v="Discharge Valve Assembly"/>
    <s v="Compressed Air*Air Compressor (Crane)*Air Compressor (Crane)*Discharge Valve Assembly"/>
    <n v="1"/>
    <s v="727IX004"/>
    <s v="QUINCY"/>
    <n v="1"/>
  </r>
  <r>
    <s v="0133"/>
    <x v="9"/>
    <n v="60400005687"/>
    <s v="Compressed Air*Air Compressor (Crane)*Air Compressor (Crane)*Suction Valve Assembly"/>
    <x v="79"/>
    <s v="Y"/>
    <n v="1"/>
    <s v="Suction Valve Assembly"/>
    <s v="Compressed Air*Air Compressor (Crane)*Air Compressor (Crane)*Suction Valve Assembly"/>
    <n v="3"/>
    <s v="7277XI"/>
    <s v="QUINCY"/>
    <n v="1"/>
  </r>
  <r>
    <s v="0133"/>
    <x v="9"/>
    <n v="60400005691"/>
    <s v="Compressed Air*Air Compressor (Crane)**Unloader Assembly - Replacement"/>
    <x v="79"/>
    <s v="Y"/>
    <n v="1"/>
    <s v="*Unloader Assembly - Replacement"/>
    <s v="Compressed Air*Air Compressor (Crane)**Unloader Assembly - Replacement"/>
    <n v="1"/>
    <s v="7483X"/>
    <s v="QUINCY"/>
    <n v="1"/>
  </r>
  <r>
    <s v="0133"/>
    <x v="9"/>
    <n v="60400005692"/>
    <s v="Compressed Air*Air Compressor (Crane)**Unloader Assembly - Replacement"/>
    <x v="79"/>
    <s v="Y"/>
    <n v="1"/>
    <s v="*Unloader Assembly - Replacement"/>
    <s v="Compressed Air*Air Compressor (Crane)**Unloader Assembly - Replacement"/>
    <n v="1"/>
    <s v="8272X"/>
    <s v="QUINCY"/>
    <n v="1"/>
  </r>
  <r>
    <s v="0133"/>
    <x v="9"/>
    <n v="60400005932"/>
    <s v="Safety Firefighting*Fire Pump*Pump, Fire*Fire Pump"/>
    <x v="84"/>
    <s v="Y"/>
    <n v="1"/>
    <s v="Fire Pump"/>
    <s v="Safety Firefighting*Fire Pump*Pump, Fire*Fire Pump"/>
    <n v="1"/>
    <s v="3196"/>
    <s v="GOULDS PUMPS"/>
    <n v="1"/>
  </r>
  <r>
    <s v="0133"/>
    <x v="9"/>
    <n v="60400005933"/>
    <s v="Safety Firefighting*Fire Pump*Pump, Fire*Fire Pump Coupling*Coupling, Fire Pump"/>
    <x v="84"/>
    <s v="Y"/>
    <n v="1"/>
    <s v="Coupling, Fire Pump"/>
    <s v="Safety Firefighting*Fire Pump*Pump, Fire*Fire Pump Coupling*Coupling, Fire Pump"/>
    <n v="1"/>
    <m/>
    <m/>
    <n v="1"/>
  </r>
  <r>
    <s v="0133"/>
    <x v="9"/>
    <n v="62400000852"/>
    <s v="Crane Boom*Winch, Boom Hoist*Boom Hoist Brake Band Actuator Arrg."/>
    <x v="89"/>
    <s v="Y"/>
    <n v="1"/>
    <s v="Boom Hoist Brake Band Actuator Arrg."/>
    <s v="Crane Boom*Winch, Boom Hoist*Boom Hoist Brake Band Actuator Arrg."/>
    <n v="0"/>
    <s v="133-08-214"/>
    <s v="Gldd Dwg "/>
    <n v="1"/>
  </r>
  <r>
    <s v="0133"/>
    <x v="9"/>
    <n v="62400000856"/>
    <s v="Crane Boom*Winch, Boom Hoist*Boom Hoist Brake Band Actuator Arrg.*Cylinder, Air"/>
    <x v="89"/>
    <s v="Y"/>
    <n v="1"/>
    <s v="Cylinder, Air"/>
    <s v="Crane Boom*Winch, Boom Hoist*Boom Hoist Brake Band Actuator Arrg.*Cylinder, Air"/>
    <n v="1"/>
    <s v="133-08-214"/>
    <s v="Gldd Dwg "/>
    <n v="1"/>
  </r>
  <r>
    <s v="0133"/>
    <x v="9"/>
    <n v="62400000869"/>
    <s v="Crane Boom*Winch, Boom Hoist*Boom Hoist Brake Band Actuator Arrg.*Valve, Directional Control"/>
    <x v="89"/>
    <s v="Y"/>
    <n v="1"/>
    <s v="Valve, Directional Control"/>
    <s v="Crane Boom*Winch, Boom Hoist*Boom Hoist Brake Band Actuator Arrg.*Valve, Directional Control"/>
    <n v="1"/>
    <s v="133-08-214"/>
    <s v="Gldd Dwg "/>
    <n v="1"/>
  </r>
  <r>
    <s v="0133"/>
    <x v="9"/>
    <n v="62400003075"/>
    <s v="Crane Boom*Boom Structure*Boom Tip*Bolt, Hex Head, 1&quot;"/>
    <x v="89"/>
    <s v="Y"/>
    <n v="1"/>
    <s v="Bolt, Hex Head, 1&quot;"/>
    <s v="Crane Boom*Boom Structure*Boom Tip*Bolt, Hex Head, 1&quot;"/>
    <n v="1"/>
    <m/>
    <m/>
    <n v="1"/>
  </r>
  <r>
    <s v="0133"/>
    <x v="9"/>
    <n v="62400003499"/>
    <s v="Generators*Crane Main Genset (#2)*Crane Main Generator (#2)*Heat Sink Assy Positive (Positive Diode)"/>
    <x v="4"/>
    <s v="Y"/>
    <n v="1"/>
    <s v="Heat Sink Assy Positive (Positive Diode)"/>
    <s v="Generators*Crane Main Genset (#2)*Crane Main Generator (#2)*Heat Sink Assy Positive (Positive Diode)"/>
    <n v="3"/>
    <s v="9Y-7175"/>
    <s v="Caterpillar"/>
    <n v="2"/>
  </r>
  <r>
    <s v="0133"/>
    <x v="9"/>
    <n v="62400003501"/>
    <s v="Generators*Crane Main Genset (#2)*Crane Main Generator (#2)*Heat Sink Assy Negative (Negative Diode)"/>
    <x v="4"/>
    <s v="Y"/>
    <n v="1"/>
    <s v="Heat Sink Assy Negative (Negative Diode)"/>
    <s v="Generators*Crane Main Genset (#2)*Crane Main Generator (#2)*Heat Sink Assy Negative (Negative Diode)"/>
    <n v="6"/>
    <s v="9Y-7174"/>
    <s v="Caterpillar"/>
    <n v="2"/>
  </r>
  <r>
    <s v="0133"/>
    <x v="9"/>
    <n v="62400003507"/>
    <s v="Generators*Crane Main Genset (#2)*Crane Main Generator Engine (#2) (CAT 3512)*Wiring Harness Assembly (Engine)"/>
    <x v="4"/>
    <s v="Y"/>
    <n v="1"/>
    <s v="Wiring Harness Assembly (Engine)"/>
    <s v="Generators*Crane Main Genset (#2)*Crane Main Generator Engine (#2) (CAT 3512)*Wiring Harness Assembly (Engine)"/>
    <n v="3"/>
    <s v="4W-2636"/>
    <s v="Caterpillar"/>
    <n v="2"/>
  </r>
  <r>
    <s v="0133"/>
    <x v="9"/>
    <n v="62400004439"/>
    <s v="Potable Water*Freshwater Pump*Pressure Switch 20/40 PSI"/>
    <x v="69"/>
    <s v="Y"/>
    <n v="1"/>
    <s v="Pressure Switch 20/40 PSI"/>
    <s v="Potable Water*Freshwater Pump*Pressure Switch 20/40 PSI"/>
    <n v="1"/>
    <m/>
    <m/>
    <n v="1"/>
  </r>
  <r>
    <s v="0133"/>
    <x v="9"/>
    <n v="62400008045"/>
    <s v="Scow Fleeting*Deck Winches*Deck Winch Hydraulic Unit*Hydraulic Pumps, Stbd Winch*Valve, Hydraulic, Deck Winch HPU"/>
    <x v="93"/>
    <s v="Y"/>
    <n v="1"/>
    <s v="Valve, Hydraulic, Deck Winch HPU"/>
    <s v="Scow Fleeting*Deck Winches*Deck Winch Hydraulic Unit*Hydraulic Pumps, Stbd Winch*Valve, Hydraulic, Deck Winch HPU"/>
    <n v="1"/>
    <s v="D1FWE02FCNJP020"/>
    <s v="Parker"/>
    <n v="1"/>
  </r>
  <r>
    <s v="0133"/>
    <x v="9"/>
    <n v="62400008699"/>
    <s v="Electrical*Crane Electrical*Hold / Close Drive Cabinet*Afm, Advantage 32*Fuse, 60A, 500V"/>
    <x v="61"/>
    <s v="Y"/>
    <n v="6"/>
    <s v="Fuse, 60A, 500V"/>
    <s v="Electrical*Crane Electrical*Hold / Close Drive Cabinet*Afm, Advantage 32*Fuse, 60A, 500V"/>
    <n v="16"/>
    <s v="6F390"/>
    <s v="Grainger"/>
    <n v="1"/>
  </r>
  <r>
    <s v="0133"/>
    <x v="9"/>
    <n v="66200000523"/>
    <s v="Crane Swing Machinery*Disc Brake, Swing (Kobelt)*Spring Applied Actuator, 6207"/>
    <x v="91"/>
    <s v="Y"/>
    <n v="2"/>
    <s v="Spring Applied Actuator, 6207"/>
    <s v="Crane Swing Machinery*Disc Brake, Swing (Kobelt)*Spring Applied Actuator, 6207"/>
    <n v="2"/>
    <s v="6207"/>
    <s v="KOBELT"/>
    <n v="1"/>
  </r>
  <r>
    <s v="0133"/>
    <x v="9"/>
    <n v="66200000524"/>
    <s v="Crane Swing Machinery*Disc Brake, Swing (Kobelt)*Sub Assembly, 5019 Caliper"/>
    <x v="91"/>
    <s v="Y"/>
    <n v="2"/>
    <s v="Sub Assembly, 5019 Caliper"/>
    <s v="Crane Swing Machinery*Disc Brake, Swing (Kobelt)*Sub Assembly, 5019 Caliper"/>
    <n v="2"/>
    <s v="5019-SUB"/>
    <s v="KOBELT"/>
    <n v="1"/>
  </r>
  <r>
    <s v="0133"/>
    <x v="9"/>
    <n v="66200000539"/>
    <s v="Crane Swing Machinery*Disc Brake, Swing (Kobelt)*Shoe Assembly, 5019 Caliper"/>
    <x v="91"/>
    <s v="Y"/>
    <n v="2"/>
    <s v="Shoe Assembly, 5019 Caliper"/>
    <s v="Crane Swing Machinery*Disc Brake, Swing (Kobelt)*Shoe Assembly, 5019 Caliper"/>
    <n v="2"/>
    <s v="5019-LS"/>
    <s v="KOBELT"/>
    <n v="1"/>
  </r>
  <r>
    <s v="0133"/>
    <x v="9"/>
    <n v="66200000548"/>
    <s v="Crane Swing Machinery*Disc Brake, Swing (Kobelt)*Actuator (Kobelt)*Actuator (Kobelt)"/>
    <x v="91"/>
    <s v="Y"/>
    <n v="1"/>
    <s v="Actuator (Kobelt)"/>
    <s v="Crane Swing Machinery*Disc Brake, Swing (Kobelt)*Actuator (Kobelt)*Actuator (Kobelt)"/>
    <n v="1"/>
    <s v="6207"/>
    <s v="KOBELT"/>
    <n v="1"/>
  </r>
  <r>
    <s v="0133"/>
    <x v="9"/>
    <n v="66200000549"/>
    <s v="Crane Swing Machinery*Disc Brake, Swing (Kobelt)*Actuator (Kobelt)*Repair Kit, 6207 Actuator"/>
    <x v="91"/>
    <s v="Y"/>
    <n v="1"/>
    <s v="Repair Kit, 6207 Actuator"/>
    <s v="Crane Swing Machinery*Disc Brake, Swing (Kobelt)*Actuator (Kobelt)*Repair Kit, 6207 Actuator"/>
    <n v="1"/>
    <s v="6207-RK"/>
    <s v="KOBELT"/>
    <n v="1"/>
  </r>
  <r>
    <s v="0133"/>
    <x v="9"/>
    <n v="66200000555"/>
    <s v="Crane Swing Machinery*Disc Brake, Swing (Kobelt)*Actuator (Kobelt)*Piston Housing"/>
    <x v="91"/>
    <s v="Y"/>
    <n v="1"/>
    <s v="Piston Housing"/>
    <s v="Crane Swing Machinery*Disc Brake, Swing (Kobelt)*Actuator (Kobelt)*Piston Housing"/>
    <n v="2"/>
    <s v="6207-0002"/>
    <s v="KOBELT"/>
    <n v="1"/>
  </r>
  <r>
    <s v="0133"/>
    <x v="9"/>
    <n v="66200000556"/>
    <s v="Crane Swing Machinery*Disc Brake, Swing (Kobelt)*Actuator (Kobelt)*Spring Housing"/>
    <x v="91"/>
    <s v="Y"/>
    <n v="1"/>
    <s v="Spring Housing"/>
    <s v="Crane Swing Machinery*Disc Brake, Swing (Kobelt)*Actuator (Kobelt)*Spring Housing"/>
    <n v="1"/>
    <s v="6207-0001"/>
    <s v="KOBELT"/>
    <n v="1"/>
  </r>
  <r>
    <s v="0133"/>
    <x v="9"/>
    <n v="66200001298"/>
    <s v="Crane Boom*Boom Structure*Boom Angle Indicator*Spectrotilt/Cal 0-90 Degrees"/>
    <x v="89"/>
    <s v="Y"/>
    <n v="1"/>
    <s v="Spectrotilt/Cal 0-90 Degrees"/>
    <s v="Crane Boom*Boom Structure*Boom Angle Indicator*Spectrotilt/Cal 0-90 Degrees"/>
    <n v="1"/>
    <s v="SSY0185-55"/>
    <s v="SPECTRON GLASS &amp; ELECT"/>
    <n v="1"/>
  </r>
  <r>
    <s v="0133"/>
    <x v="9"/>
    <n v="66200009222"/>
    <s v="Electrical*Crane Electrical*Feedback Board/ Voltage Isolation Module"/>
    <x v="61"/>
    <s v="Y"/>
    <n v="2"/>
    <s v="Feedback Board/ Voltage Isolation Module"/>
    <s v="Electrical*Crane Electrical*Feedback Board/ Voltage Isolation Module"/>
    <n v="3"/>
    <s v="A19390-F"/>
    <s v="AVTRON"/>
    <n v="1"/>
  </r>
  <r>
    <s v="0133"/>
    <x v="9"/>
    <n v="66200009383"/>
    <s v="Crane Boom*Boom Structure*Boom Lighting*Light, Boom Tip"/>
    <x v="89"/>
    <s v="Y"/>
    <n v="1"/>
    <s v="Light, Boom Tip"/>
    <s v="Crane Boom*Boom Structure*Boom Lighting*Light, Boom Tip"/>
    <n v="1"/>
    <s v="OX2LFDR/120"/>
    <s v="Cooper Crouse Hinds"/>
    <n v="1"/>
  </r>
  <r>
    <s v="0133"/>
    <x v="9"/>
    <n v="66200010792"/>
    <s v="Production Instrumentation/Monitoring*Position Computer KVM CATx Extender*Black Box ACU6001A KVM"/>
    <x v="75"/>
    <s v="Y"/>
    <n v="1"/>
    <s v="Black Box ACU6001A KVM"/>
    <s v="Production Instrumentation/Monitoring*Position Computer KVM CATx Extender*Black Box ACU6001A KVM"/>
    <n v="1"/>
    <s v="ACU6001A"/>
    <s v="CDW"/>
    <n v="1"/>
  </r>
  <r>
    <s v="0133"/>
    <x v="9"/>
    <n v="66200014170"/>
    <s v="Crane Swing Circle*Swing Circle Assembly*Track Wheel Assembly (Complete)*Track Wheel Bearing (Cup)"/>
    <x v="94"/>
    <s v="Y"/>
    <n v="4"/>
    <s v="Track Wheel Bearing (Cup)"/>
    <s v="Crane Swing Circle*Swing Circle Assembly*Track Wheel Assembly (Complete)*Track Wheel Bearing (Cup)"/>
    <n v="8"/>
    <s v="HH228310"/>
    <s v="TIMKEN"/>
    <n v="1"/>
  </r>
  <r>
    <s v="0134"/>
    <x v="10"/>
    <n v="86"/>
    <s v="Safety Firefighting*Fire Pump Set*Fire Pump*Fire Pump"/>
    <x v="84"/>
    <s v="Y"/>
    <n v="1"/>
    <s v="Fire Pump"/>
    <s v="Safety Firefighting*Fire Pump Set*Fire Pump*Fire Pump"/>
    <n v="2"/>
    <s v="364ABF"/>
    <s v="AURORA"/>
    <n v="1"/>
  </r>
  <r>
    <s v="0134"/>
    <x v="10"/>
    <n v="11274"/>
    <s v="Vessel Consumables*Brushes (Electric Motors)*Brush, Deck Winch Motor"/>
    <x v="78"/>
    <s v="Y"/>
    <n v="20"/>
    <s v="Brush, Deck Winch Motor"/>
    <s v="Vessel Consumables*Brushes (Electric Motors)*Brush, Deck Winch Motor"/>
    <n v="10"/>
    <s v="36A164456AAP21"/>
    <s v="CARBON PRODUCTS OPER., INC."/>
    <n v="1"/>
  </r>
  <r>
    <s v="0134"/>
    <x v="10"/>
    <n v="19426"/>
    <s v="Electrical*Crane Electrical*LEVER ROOM CONTROL CONSOLE*SWING CONTROLLER"/>
    <x v="61"/>
    <s v="Y"/>
    <n v="1"/>
    <s v="SWING CONTROLLER"/>
    <s v="Electrical*Crane Electrical*LEVER ROOM CONTROL CONSOLE*SWING CONTROLLER"/>
    <n v="3"/>
    <s v="NS2KA-101.8110"/>
    <s v="J.R.MERRITT"/>
    <n v="1"/>
  </r>
  <r>
    <s v="0134"/>
    <x v="10"/>
    <n v="32892"/>
    <s v="Electrical*Crane Electrical*DRIVE CABINET*Panel View"/>
    <x v="61"/>
    <s v="Y"/>
    <n v="1"/>
    <s v="Panel View"/>
    <s v="Electrical*Crane Electrical*DRIVE CABINET*Panel View"/>
    <n v="1"/>
    <s v="2711-K10C8L1"/>
    <s v="Allen-Bradley"/>
    <n v="1"/>
  </r>
  <r>
    <s v="0134"/>
    <x v="10"/>
    <n v="32893"/>
    <s v="Electrical*Crane Electrical*DRIVE CABINET*PLC-Power Supply"/>
    <x v="61"/>
    <s v="Y"/>
    <n v="1"/>
    <s v="PLC-Power Supply"/>
    <s v="Electrical*Crane Electrical*DRIVE CABINET*PLC-Power Supply"/>
    <n v="3"/>
    <s v="1746-P3"/>
    <s v="Allen-Bradley"/>
    <n v="1"/>
  </r>
  <r>
    <s v="0134"/>
    <x v="10"/>
    <n v="32894"/>
    <s v="Electrical*Crane Electrical*DRIVE CABINET*Processor"/>
    <x v="61"/>
    <s v="Y"/>
    <n v="1"/>
    <s v="Processor"/>
    <s v="Electrical*Crane Electrical*DRIVE CABINET*Processor"/>
    <n v="1"/>
    <s v="1747-L543"/>
    <s v="Allen-Bradley"/>
    <n v="1"/>
  </r>
  <r>
    <s v="0134"/>
    <x v="10"/>
    <n v="32895"/>
    <s v="Electrical*Crane Electrical*DRIVE CABINET*Input Card, 24VDC"/>
    <x v="61"/>
    <s v="Y"/>
    <n v="1"/>
    <s v="Input Card, 24VDC"/>
    <s v="Electrical*Crane Electrical*DRIVE CABINET*Input Card, 24VDC"/>
    <n v="2"/>
    <s v="1746-IB16"/>
    <s v="Allen-Bradley"/>
    <n v="1"/>
  </r>
  <r>
    <s v="0134"/>
    <x v="10"/>
    <n v="32896"/>
    <s v="Electrical*Crane Electrical*DRIVE CABINET*Output Card, 24VDC"/>
    <x v="61"/>
    <s v="Y"/>
    <n v="1"/>
    <s v="Output Card, 24VDC"/>
    <s v="Electrical*Crane Electrical*DRIVE CABINET*Output Card, 24VDC"/>
    <n v="2"/>
    <s v="1746-OB16"/>
    <s v="Allen-Bradley"/>
    <n v="1"/>
  </r>
  <r>
    <s v="0134"/>
    <x v="10"/>
    <n v="32897"/>
    <s v="Electrical*Crane Electrical*DRIVE CABINET*Input Card, Analog"/>
    <x v="61"/>
    <s v="Y"/>
    <n v="1"/>
    <s v="Input Card, Analog"/>
    <s v="Electrical*Crane Electrical*DRIVE CABINET*Input Card, Analog"/>
    <n v="3"/>
    <s v="1746-NI8"/>
    <s v="Allen-Bradley"/>
    <n v="1"/>
  </r>
  <r>
    <s v="0134"/>
    <x v="10"/>
    <n v="32898"/>
    <s v="Electrical*Crane Electrical*DRIVE CABINET*Output Card, Analog"/>
    <x v="61"/>
    <s v="Y"/>
    <n v="1"/>
    <s v="Output Card, Analog"/>
    <s v="Electrical*Crane Electrical*DRIVE CABINET*Output Card, Analog"/>
    <n v="2"/>
    <s v="1746-NO4V"/>
    <s v="Allen-Bradley"/>
    <n v="1"/>
  </r>
  <r>
    <s v="0134"/>
    <x v="10"/>
    <n v="32899"/>
    <s v="Electrical*Crane Electrical*DRIVE CABINET*Relay, 2 Pole"/>
    <x v="61"/>
    <s v="Y"/>
    <n v="1"/>
    <s v="Relay, 2 Pole"/>
    <s v="Electrical*Crane Electrical*DRIVE CABINET*Relay, 2 Pole"/>
    <n v="2"/>
    <s v="700DC-P200Z24"/>
    <s v="Allen-Bradley"/>
    <n v="1"/>
  </r>
  <r>
    <s v="0134"/>
    <x v="10"/>
    <n v="32900"/>
    <s v="Electrical*Crane Electrical*DRIVE CABINET*ISOLATORS W/ DC/DC, 3"/>
    <x v="61"/>
    <s v="Y"/>
    <n v="1"/>
    <s v="ISOLATORS W/ DC/DC, 3"/>
    <s v="Electrical*Crane Electrical*DRIVE CABINET*ISOLATORS W/ DC/DC, 3"/>
    <n v="1"/>
    <s v="TRI ISOLATOR"/>
    <s v="CROWN-ESA"/>
    <n v="1"/>
  </r>
  <r>
    <s v="0134"/>
    <x v="10"/>
    <n v="32901"/>
    <s v="Electrical*Crane Electrical*DRIVE CABINET*Contactor, Drive"/>
    <x v="61"/>
    <s v="Y"/>
    <n v="1"/>
    <s v="Contactor, Drive"/>
    <s v="Electrical*Crane Electrical*DRIVE CABINET*Contactor, Drive"/>
    <n v="6"/>
    <s v="AE63-30-10-81"/>
    <s v="ABB Turbo Systems Ltd"/>
    <n v="1"/>
  </r>
  <r>
    <s v="0134"/>
    <x v="10"/>
    <n v="32902"/>
    <s v="Electrical*Crane Electrical*DRIVE CABINET*Controller, Generator Field"/>
    <x v="61"/>
    <s v="Y"/>
    <n v="1"/>
    <s v="Controller, Generator Field"/>
    <s v="Electrical*Crane Electrical*DRIVE CABINET*Controller, Generator Field"/>
    <n v="1"/>
    <s v="DMG030-4BNO-C/48 AMP"/>
    <s v="AVTRON"/>
    <n v="1"/>
  </r>
  <r>
    <s v="0134"/>
    <x v="10"/>
    <n v="33492"/>
    <s v="Electrical*Crane Electrical*DRIVE CABINET*Transformer Isolation, 20 KVA"/>
    <x v="61"/>
    <s v="Y"/>
    <n v="1"/>
    <s v="Transformer Isolation, 20 KVA"/>
    <s v="Electrical*Crane Electrical*DRIVE CABINET*Transformer Isolation, 20 KVA"/>
    <n v="1"/>
    <s v="MD20E91"/>
    <s v="CUTLER HAMMER"/>
    <n v="1"/>
  </r>
  <r>
    <s v="0134"/>
    <x v="10"/>
    <n v="33493"/>
    <s v="Electrical*Crane Electrical*DRIVE CABINET*Transformer Isolation, 14 KVA"/>
    <x v="61"/>
    <s v="Y"/>
    <n v="1"/>
    <s v="Transformer Isolation, 14 KVA"/>
    <s v="Electrical*Crane Electrical*DRIVE CABINET*Transformer Isolation, 14 KVA"/>
    <n v="1"/>
    <s v="MD14E91"/>
    <s v="CUTLER HAMMER"/>
    <n v="1"/>
  </r>
  <r>
    <s v="0134"/>
    <x v="10"/>
    <n v="33495"/>
    <s v="Electrical*Crane Electrical*DRIVE CABINET*Circuit Breaker, 50 Amp"/>
    <x v="61"/>
    <s v="Y"/>
    <n v="1"/>
    <s v="Circuit Breaker, 50 Amp"/>
    <s v="Electrical*Crane Electrical*DRIVE CABINET*Circuit Breaker, 50 Amp"/>
    <n v="1"/>
    <s v="T1N050TL"/>
    <s v="ABB Turbo Systems Ltd"/>
    <n v="1"/>
  </r>
  <r>
    <s v="0134"/>
    <x v="10"/>
    <n v="33497"/>
    <s v="Electrical*Crane Electrical*DRIVE CABINET*Fuse, 60 Amp, SCR"/>
    <x v="61"/>
    <s v="Y"/>
    <n v="10"/>
    <s v="Fuse, 60 Amp, SCR"/>
    <s v="Electrical*Crane Electrical*DRIVE CABINET*Fuse, 60 Amp, SCR"/>
    <n v="21"/>
    <s v="AE-63-30-10-81"/>
    <s v="GOULD"/>
    <n v="1"/>
  </r>
  <r>
    <s v="0134"/>
    <x v="10"/>
    <n v="33498"/>
    <s v="Electrical*Crane Electrical*DRIVE CABINET*Fuse, 25 Amp"/>
    <x v="61"/>
    <s v="Y"/>
    <n v="5"/>
    <s v="Fuse, 25 Amp"/>
    <s v="Electrical*Crane Electrical*DRIVE CABINET*Fuse, 25 Amp"/>
    <n v="21"/>
    <s v="TRS25R"/>
    <s v="GOULD"/>
    <n v="1"/>
  </r>
  <r>
    <s v="0134"/>
    <x v="10"/>
    <n v="33499"/>
    <s v="Electrical*Crane Electrical*DRIVE CABINET*Fuse, 20 Amp"/>
    <x v="61"/>
    <s v="Y"/>
    <n v="5"/>
    <s v="Fuse, 20 Amp"/>
    <s v="Electrical*Crane Electrical*DRIVE CABINET*Fuse, 20 Amp"/>
    <n v="40"/>
    <s v="TRS20R"/>
    <s v="GOULD"/>
    <n v="1"/>
  </r>
  <r>
    <s v="0134"/>
    <x v="10"/>
    <n v="33501"/>
    <s v="Electrical*Crane Electrical*DRIVE CABINET*Relay, 8 Pole 24 VDC"/>
    <x v="61"/>
    <s v="Y"/>
    <n v="2"/>
    <s v="Relay, 8 Pole 24 VDC"/>
    <s v="Electrical*Crane Electrical*DRIVE CABINET*Relay, 8 Pole 24 VDC"/>
    <n v="3"/>
    <s v="700DC-P800Z24"/>
    <s v="Allen-Bradley"/>
    <n v="1"/>
  </r>
  <r>
    <s v="0134"/>
    <x v="10"/>
    <n v="33502"/>
    <s v="Electrical*Crane Electrical*DRIVE CABINET*Module, Input"/>
    <x v="61"/>
    <s v="Y"/>
    <n v="1"/>
    <s v="Module, Input"/>
    <s v="Electrical*Crane Electrical*DRIVE CABINET*Module, Input"/>
    <n v="1"/>
    <s v="1746-1A8"/>
    <s v="Allen-Bradley"/>
    <n v="1"/>
  </r>
  <r>
    <s v="0134"/>
    <x v="10"/>
    <n v="33505"/>
    <s v="Electrical*Crane Electrical*DRIVE CABINET*Circuit Breaker, 1/2 Amp"/>
    <x v="61"/>
    <s v="Y"/>
    <n v="4"/>
    <s v="Circuit Breaker, 1/2 Amp"/>
    <s v="Electrical*Crane Electrical*DRIVE CABINET*Circuit Breaker, 1/2 Amp"/>
    <n v="4"/>
    <s v="1492-GH005"/>
    <s v="Allen-Bradley"/>
    <n v="1"/>
  </r>
  <r>
    <s v="0134"/>
    <x v="10"/>
    <n v="33506"/>
    <s v="Electrical*Crane Electrical*DRIVE CABINET*Circuit Breaker, 1 Amp"/>
    <x v="61"/>
    <s v="Y"/>
    <n v="2"/>
    <s v="Circuit Breaker, 1 Amp"/>
    <s v="Electrical*Crane Electrical*DRIVE CABINET*Circuit Breaker, 1 Amp"/>
    <n v="2"/>
    <s v="1492-GH010"/>
    <s v="Allen-Bradley"/>
    <n v="1"/>
  </r>
  <r>
    <s v="0134"/>
    <x v="10"/>
    <n v="33507"/>
    <s v="Electrical*Crane Electrical*DRIVE CABINET*Circuit Breaker, 2 Amp"/>
    <x v="61"/>
    <s v="Y"/>
    <n v="1"/>
    <s v="Circuit Breaker, 2 Amp"/>
    <s v="Electrical*Crane Electrical*DRIVE CABINET*Circuit Breaker, 2 Amp"/>
    <n v="1"/>
    <s v="1492-GH020"/>
    <s v="Allen-Bradley"/>
    <n v="1"/>
  </r>
  <r>
    <s v="0134"/>
    <x v="10"/>
    <n v="33508"/>
    <s v="Electrical*Crane Electrical*DRIVE CABINET*Circuit Breaker, 3 Amp"/>
    <x v="61"/>
    <s v="Y"/>
    <n v="1"/>
    <s v="Circuit Breaker, 3 Amp"/>
    <s v="Electrical*Crane Electrical*DRIVE CABINET*Circuit Breaker, 3 Amp"/>
    <n v="2"/>
    <s v="1492-GH030"/>
    <s v="Allen-Bradley"/>
    <n v="1"/>
  </r>
  <r>
    <s v="0134"/>
    <x v="10"/>
    <n v="33509"/>
    <s v="Electrical*Crane Electrical*DRIVE CABINET*Circuit Breaker, 5 Amp"/>
    <x v="61"/>
    <s v="Y"/>
    <n v="1"/>
    <s v="Circuit Breaker, 5 Amp"/>
    <s v="Electrical*Crane Electrical*DRIVE CABINET*Circuit Breaker, 5 Amp"/>
    <n v="4"/>
    <s v="1492-GH050"/>
    <s v="Allen-Bradley"/>
    <n v="1"/>
  </r>
  <r>
    <s v="0134"/>
    <x v="10"/>
    <n v="33510"/>
    <s v="Electrical*Crane Electrical*DRIVE CABINET*Circuit Breaker, 10 Amp"/>
    <x v="61"/>
    <s v="Y"/>
    <n v="1"/>
    <s v="Circuit Breaker, 10 Amp"/>
    <s v="Electrical*Crane Electrical*DRIVE CABINET*Circuit Breaker, 10 Amp"/>
    <n v="1"/>
    <s v="1492-GH100"/>
    <s v="Allen-Bradley"/>
    <n v="1"/>
  </r>
  <r>
    <s v="0134"/>
    <x v="10"/>
    <n v="33511"/>
    <s v="Electrical*Crane Electrical*DRIVE CABINET*Circuit Breaker, 15 Amp"/>
    <x v="61"/>
    <s v="Y"/>
    <n v="1"/>
    <s v="Circuit Breaker, 15 Amp"/>
    <s v="Electrical*Crane Electrical*DRIVE CABINET*Circuit Breaker, 15 Amp"/>
    <n v="1"/>
    <s v="1492-GH150"/>
    <s v="Allen-Bradley"/>
    <n v="1"/>
  </r>
  <r>
    <s v="0134"/>
    <x v="10"/>
    <n v="46581"/>
    <s v="Crane Swing Machinery*Swing Gearbox (Stbd)*Pump Assembly, Lube Oil"/>
    <x v="91"/>
    <s v="Y"/>
    <n v="1"/>
    <s v="Pump Assembly, Lube Oil"/>
    <s v="Crane Swing Machinery*Swing Gearbox (Stbd)*Pump Assembly, Lube Oil"/>
    <n v="2"/>
    <s v="96810-0015"/>
    <s v="PAGE ENGINEERING"/>
    <n v="2"/>
  </r>
  <r>
    <s v="0134"/>
    <x v="10"/>
    <n v="47307"/>
    <s v="Electrical*Crane Electrical*DRIVE CABINET*Battery, PLC Memory, 1747-BA,"/>
    <x v="61"/>
    <s v="Y"/>
    <n v="1"/>
    <s v="Battery, PLC Memory, 1747-BA,"/>
    <s v="Electrical*Crane Electrical*DRIVE CABINET*Battery, PLC Memory, 1747-BA,"/>
    <n v="1"/>
    <s v="1747-BA"/>
    <s v="ALLEN-BRADLEY"/>
    <n v="1"/>
  </r>
  <r>
    <s v="0134"/>
    <x v="10"/>
    <n v="55212"/>
    <s v="Buckets*Bucket (484) (12 YD) Hawco*Wedge, Holding Line"/>
    <x v="33"/>
    <s v="Y"/>
    <n v="1"/>
    <s v="Wedge, Holding Line"/>
    <s v="Buckets*Bucket (484) (12 YD) Hawco*Wedge, Holding Line"/>
    <n v="2"/>
    <s v="B-2808-2"/>
    <s v="HAWCO"/>
    <n v="1"/>
  </r>
  <r>
    <s v="0134"/>
    <x v="10"/>
    <n v="55213"/>
    <s v="Buckets*Bucket (484) (12 YD) Hawco*Wedge, Closing Line"/>
    <x v="33"/>
    <s v="Y"/>
    <n v="1"/>
    <s v="Wedge, Closing Line"/>
    <s v="Buckets*Bucket (484) (12 YD) Hawco*Wedge, Closing Line"/>
    <n v="2"/>
    <s v="B-2808-16"/>
    <s v="HAWCO"/>
    <n v="1"/>
  </r>
  <r>
    <s v="0134"/>
    <x v="10"/>
    <n v="1100003182"/>
    <s v="Crane Swing Circle*Swing Circle Assembly*Bushing, Dolly Wheel"/>
    <x v="94"/>
    <s v="Y"/>
    <n v="8"/>
    <s v="Bushing, Dolly Wheel"/>
    <s v="Crane Swing Circle*Swing Circle Assembly*Bushing, Dolly Wheel"/>
    <n v="6"/>
    <s v="92148-02"/>
    <s v="FEMCO"/>
    <n v="1"/>
  </r>
  <r>
    <s v="0134"/>
    <x v="10"/>
    <n v="1100003184"/>
    <s v="Crane Swing Circle*Swing Circle Assembly*Dolly Wheel, Double Flange"/>
    <x v="94"/>
    <s v="Y"/>
    <n v="4"/>
    <s v="Dolly Wheel, Double Flange"/>
    <s v="Crane Swing Circle*Swing Circle Assembly*Dolly Wheel, Double Flange"/>
    <n v="0"/>
    <s v="35591"/>
    <s v="FEMCO"/>
    <n v="1"/>
  </r>
  <r>
    <s v="0134"/>
    <x v="10"/>
    <n v="7500004130"/>
    <s v="Crane Boom*Boom Hoist Winch*Coupling, Flexible"/>
    <x v="89"/>
    <s v="Y"/>
    <n v="1"/>
    <s v="Coupling, Flexible"/>
    <s v="Crane Boom*Boom Hoist Winch*Coupling, Flexible"/>
    <n v="2"/>
    <s v="18800033"/>
    <s v="PAGE ENGINEERING"/>
    <n v="1"/>
  </r>
  <r>
    <s v="0134"/>
    <x v="10"/>
    <n v="7500004182"/>
    <s v="Crane Boom*Boom Hoist Winch*Boom Hoist Motor (191 HP)*Boom Hoist Motor Brake*Brake Shoe"/>
    <x v="89"/>
    <s v="Y"/>
    <n v="2"/>
    <s v="Brake Shoe"/>
    <s v="Crane Boom*Boom Hoist Winch*Boom Hoist Motor (191 HP)*Boom Hoist Motor Brake*Brake Shoe"/>
    <n v="2"/>
    <s v="35297"/>
    <s v="PAGE ENGINEERING"/>
    <n v="1"/>
  </r>
  <r>
    <s v="0134"/>
    <x v="10"/>
    <n v="7500004187"/>
    <s v="Crane Boom*Boom Hoist Winch*Boom Hoist Motor (191 HP)*Boom Hoist Motor Brake*Cylinder Packing"/>
    <x v="89"/>
    <s v="Y"/>
    <n v="6"/>
    <s v="Cylinder Packing"/>
    <s v="Crane Boom*Boom Hoist Winch*Boom Hoist Motor (191 HP)*Boom Hoist Motor Brake*Cylinder Packing"/>
    <n v="13"/>
    <s v="32551-41"/>
    <s v="PAGE ENGINEERING"/>
    <n v="1"/>
  </r>
  <r>
    <s v="0134"/>
    <x v="10"/>
    <n v="7500004199"/>
    <s v="Crane Boom*Boom Hoist Winch*Boom Hoist Motor (191 HP)*Boom Hoist Motor Brake*Pins"/>
    <x v="89"/>
    <s v="Y"/>
    <n v="2"/>
    <s v="Pins"/>
    <s v="Crane Boom*Boom Hoist Winch*Boom Hoist Motor (191 HP)*Boom Hoist Motor Brake*Pins"/>
    <n v="5"/>
    <s v="32551-38"/>
    <s v="PAGE ENGINEERING"/>
    <n v="1"/>
  </r>
  <r>
    <s v="0134"/>
    <x v="10"/>
    <n v="7500004204"/>
    <s v="Crane Boom*Boom Hoist Winch*Boom Hoist Motor (191 HP)*Boom Hoist Motor Brake*Eye, Rod"/>
    <x v="89"/>
    <s v="Y"/>
    <n v="1"/>
    <s v="Eye, Rod"/>
    <s v="Crane Boom*Boom Hoist Winch*Boom Hoist Motor (191 HP)*Boom Hoist Motor Brake*Eye, Rod"/>
    <n v="2"/>
    <s v="35376-12"/>
    <s v="PAGE ENGINEERING"/>
    <n v="1"/>
  </r>
  <r>
    <s v="0134"/>
    <x v="10"/>
    <n v="7500004205"/>
    <s v="Crane Boom*Boom Hoist Winch*Boom Hoist Motor (191 HP)*Boom Hoist Motor Brake*Spring"/>
    <x v="89"/>
    <s v="Y"/>
    <n v="1"/>
    <s v="Spring"/>
    <s v="Crane Boom*Boom Hoist Winch*Boom Hoist Motor (191 HP)*Boom Hoist Motor Brake*Spring"/>
    <n v="1"/>
    <s v="5782"/>
    <s v="PAGE ENGINEERING"/>
    <n v="1"/>
  </r>
  <r>
    <s v="0134"/>
    <x v="10"/>
    <n v="7500004408"/>
    <s v="Crane Boom*Boom*Boom Point*Cone"/>
    <x v="89"/>
    <s v="Y"/>
    <n v="2"/>
    <s v="Cone"/>
    <s v="Crane Boom*Boom*Boom Point*Cone"/>
    <n v="2"/>
    <s v="16270224"/>
    <s v="PAGE ENGINEERING"/>
    <n v="1"/>
  </r>
  <r>
    <s v="0134"/>
    <x v="10"/>
    <n v="7500004410"/>
    <s v="Crane Boom*Boom*Boom Point*Cup,"/>
    <x v="89"/>
    <s v="Y"/>
    <n v="2"/>
    <s v="Cup,"/>
    <s v="Crane Boom*Boom*Boom Point*Cup,"/>
    <n v="6"/>
    <s v="16270018"/>
    <s v="PAGE ENGINEERING"/>
    <n v="1"/>
  </r>
  <r>
    <s v="0134"/>
    <x v="10"/>
    <n v="7500004455"/>
    <s v="Crane Boom*Boom*Limit Switch Assembly"/>
    <x v="89"/>
    <s v="Y"/>
    <n v="1"/>
    <s v="Limit Switch Assembly"/>
    <s v="Crane Boom*Boom*Limit Switch Assembly"/>
    <n v="1"/>
    <s v="97104-0017"/>
    <s v="PAGE ENGINEERING"/>
    <n v="1"/>
  </r>
  <r>
    <s v="0134"/>
    <x v="10"/>
    <n v="7500004677"/>
    <s v="Crane Holding &amp; Closing*Main Hoist*Closing Drum*Fawick Roto Seal, Item #62"/>
    <x v="90"/>
    <s v="Y"/>
    <n v="2"/>
    <s v="Fawick Roto Seal, Item #62"/>
    <s v="Crane Holding &amp; Closing*Main Hoist*Closing Drum*Fawick Roto Seal, Item #62"/>
    <n v="2"/>
    <s v="12730001"/>
    <s v="PAGE ENGINEERING"/>
    <n v="1"/>
  </r>
  <r>
    <s v="0134"/>
    <x v="10"/>
    <n v="7500004746"/>
    <s v="Crane Holding &amp; Closing*Main Hoist*Closing Drum*Closing Drum Brakes*Link, Live End"/>
    <x v="90"/>
    <s v="Y"/>
    <n v="1"/>
    <s v="Link, Live End"/>
    <s v="Crane Holding &amp; Closing*Main Hoist*Closing Drum*Closing Drum Brakes*Link, Live End"/>
    <n v="8"/>
    <s v="36329"/>
    <s v="PAGE ENGINEERING"/>
    <n v="1"/>
  </r>
  <r>
    <s v="0134"/>
    <x v="10"/>
    <n v="7500004775"/>
    <s v="Crane Holding &amp; Closing*Main Hoist*Closing Drum*Closing Drum Brakes*Spring, Release, Item #23"/>
    <x v="90"/>
    <s v="Y"/>
    <n v="1"/>
    <s v="Spring, Release, Item #23"/>
    <s v="Crane Holding &amp; Closing*Main Hoist*Closing Drum*Closing Drum Brakes*Spring, Release, Item #23"/>
    <n v="4"/>
    <s v="91569-01"/>
    <s v="PAGE ENGINEERING"/>
    <n v="1"/>
  </r>
  <r>
    <s v="0134"/>
    <x v="10"/>
    <n v="7500004779"/>
    <s v="Crane Holding &amp; Closing*Main Hoist*Bands, Friction"/>
    <x v="90"/>
    <s v="Y"/>
    <n v="1"/>
    <s v="Bands, Friction"/>
    <s v="Crane Holding &amp; Closing*Main Hoist*Bands, Friction"/>
    <n v="2"/>
    <m/>
    <m/>
    <n v="1"/>
  </r>
  <r>
    <s v="0134"/>
    <x v="10"/>
    <n v="7500004795"/>
    <s v="Crane Holding &amp; Closing*Main Hoist*Bands, Friction*Bushing"/>
    <x v="90"/>
    <s v="Y"/>
    <n v="2"/>
    <s v="Bushing"/>
    <s v="Crane Holding &amp; Closing*Main Hoist*Bands, Friction*Bushing"/>
    <n v="4"/>
    <s v="91593-11"/>
    <s v="PAGE ENGINEERING"/>
    <n v="1"/>
  </r>
  <r>
    <s v="0134"/>
    <x v="10"/>
    <n v="7500004804"/>
    <s v="Crane Holding &amp; Closing*Main Hoist*Bands, Friction*Pin, Dead End Link, Item #5"/>
    <x v="90"/>
    <s v="Y"/>
    <n v="1"/>
    <s v="Pin, Dead End Link, Item #5"/>
    <s v="Crane Holding &amp; Closing*Main Hoist*Bands, Friction*Pin, Dead End Link, Item #5"/>
    <n v="1"/>
    <s v="91576"/>
    <s v="PAGE ENGINEERING"/>
    <n v="1"/>
  </r>
  <r>
    <s v="0134"/>
    <x v="10"/>
    <n v="7500004809"/>
    <s v="Crane Holding &amp; Closing*Main Hoist*Bands, Friction*Friction Dead End Link"/>
    <x v="90"/>
    <s v="Y"/>
    <n v="1"/>
    <s v="Friction Dead End Link"/>
    <s v="Crane Holding &amp; Closing*Main Hoist*Bands, Friction*Friction Dead End Link"/>
    <n v="2"/>
    <s v="91586"/>
    <s v="PAGE ENGINEERING"/>
    <n v="1"/>
  </r>
  <r>
    <s v="0134"/>
    <x v="10"/>
    <n v="7500004828"/>
    <s v="Crane Holding &amp; Closing*Main Hoist*Bands, Friction*Piston Pin"/>
    <x v="90"/>
    <s v="Y"/>
    <n v="2"/>
    <s v="Piston Pin"/>
    <s v="Crane Holding &amp; Closing*Main Hoist*Bands, Friction*Piston Pin"/>
    <n v="4"/>
    <s v="91591-12"/>
    <s v="PAGE ENGINEERING"/>
    <n v="1"/>
  </r>
  <r>
    <s v="0134"/>
    <x v="10"/>
    <n v="7500004829"/>
    <s v="Crane Holding &amp; Closing*Main Hoist*Bands, Friction*Piston Rod"/>
    <x v="90"/>
    <s v="Y"/>
    <n v="1"/>
    <s v="Piston Rod"/>
    <s v="Crane Holding &amp; Closing*Main Hoist*Bands, Friction*Piston Rod"/>
    <n v="2"/>
    <s v="91593"/>
    <s v="PAGE ENGINEERING"/>
    <n v="1"/>
  </r>
  <r>
    <s v="0134"/>
    <x v="10"/>
    <n v="7500004834"/>
    <s v="Crane Holding &amp; Closing*Main Hoist*Bands, Friction*Spring, Item #12"/>
    <x v="90"/>
    <s v="Y"/>
    <n v="1"/>
    <s v="Spring, Item #12"/>
    <s v="Crane Holding &amp; Closing*Main Hoist*Bands, Friction*Spring, Item #12"/>
    <n v="7"/>
    <s v="8363-12"/>
    <s v="PAGE ENGINEERING"/>
    <n v="1"/>
  </r>
  <r>
    <s v="0134"/>
    <x v="10"/>
    <n v="7500004845"/>
    <s v="Crane Holding &amp; Closing*Main Hoist*Bands, Friction*Bolt, Take-Up, Item #9"/>
    <x v="90"/>
    <s v="Y"/>
    <n v="1"/>
    <s v="Bolt, Take-Up, Item #9"/>
    <s v="Crane Holding &amp; Closing*Main Hoist*Bands, Friction*Bolt, Take-Up, Item #9"/>
    <n v="1"/>
    <s v="91617-14"/>
    <s v="PAGE ENGINEERING"/>
    <n v="1"/>
  </r>
  <r>
    <s v="0134"/>
    <x v="10"/>
    <n v="7500004846"/>
    <s v="Crane Holding &amp; Closing*Main Hoist*Bands, Friction*Arm, Toggle, Item #22"/>
    <x v="90"/>
    <s v="Y"/>
    <n v="1"/>
    <s v="Arm, Toggle, Item #22"/>
    <s v="Crane Holding &amp; Closing*Main Hoist*Bands, Friction*Arm, Toggle, Item #22"/>
    <n v="3"/>
    <s v="91588"/>
    <s v="PAGE ENGINEERING"/>
    <n v="1"/>
  </r>
  <r>
    <s v="0134"/>
    <x v="10"/>
    <n v="7500004920"/>
    <s v="Crane Holding &amp; Closing*Main Hoist*Holding Drum*Fawick Roto Seal, Item #62, Required #1"/>
    <x v="90"/>
    <s v="Y"/>
    <n v="2"/>
    <s v="Fawick Roto Seal, Item #62, Required #1"/>
    <s v="Crane Holding &amp; Closing*Main Hoist*Holding Drum*Fawick Roto Seal, Item #62, Required #1"/>
    <n v="2"/>
    <s v="12730001"/>
    <s v="PAGE ENGINEERING"/>
    <n v="1"/>
  </r>
  <r>
    <s v="0134"/>
    <x v="10"/>
    <n v="7500004971"/>
    <s v="Crane Holding &amp; Closing*Main Hoist*Holding Drum*Brakes, Holding Drum*Band, Brake, Item #22"/>
    <x v="90"/>
    <s v="Y"/>
    <n v="1"/>
    <s v="Band, Brake, Item #22"/>
    <s v="Crane Holding &amp; Closing*Main Hoist*Holding Drum*Brakes, Holding Drum*Band, Brake, Item #22"/>
    <n v="1"/>
    <m/>
    <m/>
    <n v="1"/>
  </r>
  <r>
    <s v="0134"/>
    <x v="10"/>
    <n v="7500005378"/>
    <s v="Electrical*Automation System*Sensors (Pressure)*Indicator, Swing"/>
    <x v="61"/>
    <s v="Y"/>
    <n v="1"/>
    <s v="Indicator, Swing"/>
    <s v="Electrical*Automation System*Sensors (Pressure)*Indicator, Swing"/>
    <n v="2"/>
    <s v="2207 201 000"/>
    <s v="Dynapar"/>
    <n v="1"/>
  </r>
  <r>
    <s v="0134"/>
    <x v="10"/>
    <n v="7500005479"/>
    <s v="Crane Swing Machinery*Swing Indicator*Swing Indicator Transmiter*Bearing,Pillow Block"/>
    <x v="91"/>
    <s v="Y"/>
    <n v="1"/>
    <s v="Bearing,Pillow Block"/>
    <s v="Crane Swing Machinery*Swing Indicator*Swing Indicator Transmiter*Bearing,Pillow Block"/>
    <n v="2"/>
    <s v="18340001"/>
    <s v="PAGE ENGINEERING"/>
    <n v="1"/>
  </r>
  <r>
    <s v="0134"/>
    <x v="10"/>
    <n v="7500005484"/>
    <s v="Crane Swing Machinery*Swing Indicator*Swing Indicator Transmiter*Coupling, Flexible, Mcmaste"/>
    <x v="91"/>
    <s v="Y"/>
    <n v="1"/>
    <s v="Coupling, Flexible, Mcmaste"/>
    <s v="Crane Swing Machinery*Swing Indicator*Swing Indicator Transmiter*Coupling, Flexible, Mcmaste"/>
    <n v="2"/>
    <s v="19991091"/>
    <s v="PAGE ENGINEERING"/>
    <n v="1"/>
  </r>
  <r>
    <s v="0134"/>
    <x v="10"/>
    <n v="7500005488"/>
    <s v="Crane Swing Machinery*Swing Indicator*Swing Indicator Transmiter*Gearbelt 1/2&quot;Wide X 3/8 P"/>
    <x v="91"/>
    <s v="Y"/>
    <n v="2"/>
    <s v="Gearbelt 1/2&quot;Wide X 3/8 P"/>
    <s v="Crane Swing Machinery*Swing Indicator*Swing Indicator Transmiter*Gearbelt 1/2&quot;Wide X 3/8 P"/>
    <n v="0"/>
    <s v="19991200"/>
    <s v="PAGE ENGINEERING"/>
    <n v="1"/>
  </r>
  <r>
    <s v="0134"/>
    <x v="10"/>
    <n v="7500005501"/>
    <s v="Crane Swing Machinery*Swing Indicator*Swing Indicator Transmiter*Transmitter"/>
    <x v="91"/>
    <s v="Y"/>
    <n v="1"/>
    <s v="Transmitter"/>
    <s v="Crane Swing Machinery*Swing Indicator*Swing Indicator Transmiter*Transmitter"/>
    <n v="2"/>
    <s v="2207201000"/>
    <s v="DANAHER INDUSTRIAL CONTROLS"/>
    <n v="1"/>
  </r>
  <r>
    <s v="0134"/>
    <x v="10"/>
    <n v="7500005511"/>
    <s v="Crane Swing Machinery*Swing Motor (Port)*Swing Brake Assembly*Band, Brake, Item #17"/>
    <x v="91"/>
    <s v="Y"/>
    <n v="1"/>
    <s v="Band, Brake, Item #17"/>
    <s v="Crane Swing Machinery*Swing Motor (Port)*Swing Brake Assembly*Band, Brake, Item #17"/>
    <n v="2"/>
    <s v="5812"/>
    <s v="PAGE ENGINEERING"/>
    <n v="2"/>
  </r>
  <r>
    <s v="0134"/>
    <x v="10"/>
    <n v="7500005513"/>
    <s v="Crane Swing Machinery*Swing Motor (Port)*Swing Brake Assembly*Cup (631-14), Item #22"/>
    <x v="91"/>
    <s v="Y"/>
    <n v="8"/>
    <s v="Cup (631-14), Item #22"/>
    <s v="Crane Swing Machinery*Swing Motor (Port)*Swing Brake Assembly*Cup (631-14), Item #22"/>
    <n v="24"/>
    <s v="17131007"/>
    <s v="FEMCO"/>
    <n v="2"/>
  </r>
  <r>
    <s v="0134"/>
    <x v="10"/>
    <n v="11500002749"/>
    <s v="Buckets*Bucket (489) (21 YD) ANVIL*Upper Arm Pin"/>
    <x v="33"/>
    <s v="Y"/>
    <n v="1"/>
    <s v="Upper Arm Pin"/>
    <s v="Buckets*Bucket (489) (21 YD) ANVIL*Upper Arm Pin"/>
    <n v="1"/>
    <s v="ITEM 14"/>
    <s v="PRO-LINE (WILLIAMS)"/>
    <n v="1"/>
  </r>
  <r>
    <s v="0134"/>
    <x v="10"/>
    <n v="11500002752"/>
    <s v="Buckets*Bucket (489) (21 YD) ANVIL*Guide Sheave, 39'"/>
    <x v="33"/>
    <s v="Y"/>
    <n v="1"/>
    <s v="Guide Sheave, 39'"/>
    <s v="Buckets*Bucket (489) (21 YD) ANVIL*Guide Sheave, 39'"/>
    <n v="1"/>
    <s v="ITEM 17"/>
    <s v="PRO-LINE (WILLIAMS)"/>
    <n v="1"/>
  </r>
  <r>
    <s v="0134"/>
    <x v="10"/>
    <n v="11500002754"/>
    <s v="Buckets*Bucket (489) (21 YD) ANVIL*Upper Sheave Pin"/>
    <x v="33"/>
    <s v="Y"/>
    <n v="1"/>
    <s v="Upper Sheave Pin"/>
    <s v="Buckets*Bucket (489) (21 YD) ANVIL*Upper Sheave Pin"/>
    <n v="1"/>
    <s v="AF-200058-2  (19)"/>
    <s v="ALAFAB"/>
    <n v="1"/>
  </r>
  <r>
    <s v="0134"/>
    <x v="10"/>
    <n v="11500002756"/>
    <s v="Buckets*Bucket (489) (21 YD) ANVIL*Main Sheave, 39&quot;"/>
    <x v="33"/>
    <s v="Y"/>
    <n v="1"/>
    <s v="Main Sheave, 39&quot;"/>
    <s v="Buckets*Bucket (489) (21 YD) ANVIL*Main Sheave, 39&quot;"/>
    <n v="4"/>
    <s v="ITEM 21"/>
    <s v="PRO-LINE (WILLIAMS)"/>
    <n v="1"/>
  </r>
  <r>
    <s v="0134"/>
    <x v="10"/>
    <n v="11500002758"/>
    <s v="Buckets*Bucket (489) (21 YD) ANVIL*Lower Sheave Pin"/>
    <x v="33"/>
    <s v="Y"/>
    <n v="1"/>
    <s v="Lower Sheave Pin"/>
    <s v="Buckets*Bucket (489) (21 YD) ANVIL*Lower Sheave Pin"/>
    <n v="0"/>
    <s v="200058-3"/>
    <s v="PRO-LINE (WILLIAMS)"/>
    <n v="1"/>
  </r>
  <r>
    <s v="0134"/>
    <x v="10"/>
    <n v="11500002761"/>
    <s v="Buckets*Bucket (489) (21 YD) ANVIL*Lower Corner Arm Pin"/>
    <x v="33"/>
    <s v="Y"/>
    <n v="1"/>
    <s v="Lower Corner Arm Pin"/>
    <s v="Buckets*Bucket (489) (21 YD) ANVIL*Lower Corner Arm Pin"/>
    <n v="2"/>
    <s v="ITEM 26"/>
    <s v="PRO-LINE (WILLIAMS)"/>
    <n v="1"/>
  </r>
  <r>
    <s v="0134"/>
    <x v="10"/>
    <n v="11500002813"/>
    <s v="Buckets*Bucket (484) (12 YD) Hawco*Holdline Socket"/>
    <x v="33"/>
    <s v="Y"/>
    <n v="1"/>
    <s v="Holdline Socket"/>
    <s v="Buckets*Bucket (484) (12 YD) Hawco*Holdline Socket"/>
    <n v="2"/>
    <s v="ITEM 1"/>
    <s v="HAWCO"/>
    <n v="1"/>
  </r>
  <r>
    <s v="0134"/>
    <x v="10"/>
    <n v="11500002814"/>
    <s v="Buckets*Bucket (484) (12 YD) Hawco*Holdline Socket Wedge"/>
    <x v="33"/>
    <s v="Y"/>
    <n v="1"/>
    <s v="Holdline Socket Wedge"/>
    <s v="Buckets*Bucket (484) (12 YD) Hawco*Holdline Socket Wedge"/>
    <n v="2"/>
    <s v="ITEM 2"/>
    <s v="HAWCO"/>
    <n v="1"/>
  </r>
  <r>
    <s v="0134"/>
    <x v="10"/>
    <n v="11500002815"/>
    <s v="Buckets*Bucket (484) (12 YD) Hawco*Holdline Socket Pin"/>
    <x v="33"/>
    <s v="Y"/>
    <n v="1"/>
    <s v="Holdline Socket Pin"/>
    <s v="Buckets*Bucket (484) (12 YD) Hawco*Holdline Socket Pin"/>
    <n v="2"/>
    <s v="ITEM 3"/>
    <s v="HAWCO"/>
    <n v="1"/>
  </r>
  <r>
    <s v="0134"/>
    <x v="10"/>
    <n v="11500002816"/>
    <s v="Buckets*Bucket (484) (12 YD) Hawco*Lifting Lug Assembly"/>
    <x v="33"/>
    <s v="Y"/>
    <n v="1"/>
    <s v="Lifting Lug Assembly"/>
    <s v="Buckets*Bucket (484) (12 YD) Hawco*Lifting Lug Assembly"/>
    <n v="2"/>
    <s v="ITEM 4"/>
    <s v="HAWCO"/>
    <n v="1"/>
  </r>
  <r>
    <s v="0134"/>
    <x v="10"/>
    <n v="11500002818"/>
    <s v="Buckets*Bucket (484) (12 YD) Hawco*Lifting Lug Pin"/>
    <x v="33"/>
    <s v="Y"/>
    <n v="1"/>
    <s v="Lifting Lug Pin"/>
    <s v="Buckets*Bucket (484) (12 YD) Hawco*Lifting Lug Pin"/>
    <n v="2"/>
    <s v="ITEM 6"/>
    <s v="HAWCO"/>
    <n v="1"/>
  </r>
  <r>
    <s v="0134"/>
    <x v="10"/>
    <n v="11500002825"/>
    <s v="Buckets*Bucket (484) (12 YD) Hawco*Guide Sheave"/>
    <x v="33"/>
    <s v="Y"/>
    <n v="1"/>
    <s v="Guide Sheave"/>
    <s v="Buckets*Bucket (484) (12 YD) Hawco*Guide Sheave"/>
    <n v="3"/>
    <s v="ITEM 13"/>
    <s v="HAWCO"/>
    <n v="1"/>
  </r>
  <r>
    <s v="0134"/>
    <x v="10"/>
    <n v="11500002827"/>
    <s v="Buckets*Bucket (484) (12 YD) Hawco*Closeline Socket"/>
    <x v="33"/>
    <s v="Y"/>
    <n v="1"/>
    <s v="Closeline Socket"/>
    <s v="Buckets*Bucket (484) (12 YD) Hawco*Closeline Socket"/>
    <n v="1"/>
    <s v="ITEM 15"/>
    <s v="HAWCO"/>
    <n v="1"/>
  </r>
  <r>
    <s v="0134"/>
    <x v="10"/>
    <n v="11500002828"/>
    <s v="Buckets*Bucket (484) (12 YD) Hawco*Closeline Socket Wedge"/>
    <x v="33"/>
    <s v="Y"/>
    <n v="1"/>
    <s v="Closeline Socket Wedge"/>
    <s v="Buckets*Bucket (484) (12 YD) Hawco*Closeline Socket Wedge"/>
    <n v="1"/>
    <s v="ITEM 16"/>
    <s v="HAWCO"/>
    <n v="1"/>
  </r>
  <r>
    <s v="0134"/>
    <x v="10"/>
    <n v="11500002829"/>
    <s v="Buckets*Bucket (484) (12 YD) Hawco*Closeline Socket Pin"/>
    <x v="33"/>
    <s v="Y"/>
    <n v="1"/>
    <s v="Closeline Socket Pin"/>
    <s v="Buckets*Bucket (484) (12 YD) Hawco*Closeline Socket Pin"/>
    <n v="1"/>
    <s v="ITEM 17"/>
    <s v="HAWCO"/>
    <n v="1"/>
  </r>
  <r>
    <s v="0134"/>
    <x v="10"/>
    <n v="11500002831"/>
    <s v="Buckets*Bucket (484) (12 YD) Hawco*Upper Arm Pin"/>
    <x v="33"/>
    <s v="Y"/>
    <n v="1"/>
    <s v="Upper Arm Pin"/>
    <s v="Buckets*Bucket (484) (12 YD) Hawco*Upper Arm Pin"/>
    <n v="3"/>
    <s v="ITEM 19"/>
    <s v="HAWCO"/>
    <n v="1"/>
  </r>
  <r>
    <s v="0134"/>
    <x v="10"/>
    <n v="11500002832"/>
    <s v="Buckets*Bucket (484) (12 YD) Hawco*Upper Arm Pin Nut W/Cotter Pin"/>
    <x v="33"/>
    <s v="Y"/>
    <n v="1"/>
    <s v="Upper Arm Pin Nut W/Cotter Pin"/>
    <s v="Buckets*Bucket (484) (12 YD) Hawco*Upper Arm Pin Nut W/Cotter Pin"/>
    <n v="8"/>
    <s v="ITEM 20"/>
    <s v="HAWCO"/>
    <n v="1"/>
  </r>
  <r>
    <s v="0134"/>
    <x v="10"/>
    <n v="11500002839"/>
    <s v="Buckets*Bucket (484) (12 YD) Hawco*Lower Arm Pin"/>
    <x v="33"/>
    <s v="Y"/>
    <n v="1"/>
    <s v="Lower Arm Pin"/>
    <s v="Buckets*Bucket (484) (12 YD) Hawco*Lower Arm Pin"/>
    <n v="4"/>
    <s v="ITEM 27"/>
    <s v="HAWCO"/>
    <n v="1"/>
  </r>
  <r>
    <s v="0134"/>
    <x v="10"/>
    <n v="11500002840"/>
    <s v="Buckets*Bucket (484) (12 YD) Hawco*Upper Sheave Pin"/>
    <x v="33"/>
    <s v="Y"/>
    <n v="1"/>
    <s v="Upper Sheave Pin"/>
    <s v="Buckets*Bucket (484) (12 YD) Hawco*Upper Sheave Pin"/>
    <n v="1"/>
    <s v="ITEM 28"/>
    <s v="HAWCO"/>
    <n v="1"/>
  </r>
  <r>
    <s v="0134"/>
    <x v="10"/>
    <n v="11500002841"/>
    <s v="Buckets*Bucket (484) (12 YD) Hawco*Sheave"/>
    <x v="33"/>
    <s v="Y"/>
    <n v="1"/>
    <s v="Sheave"/>
    <s v="Buckets*Bucket (484) (12 YD) Hawco*Sheave"/>
    <n v="0"/>
    <s v="ITEM 29"/>
    <s v="HAWCO"/>
    <n v="1"/>
  </r>
  <r>
    <s v="0134"/>
    <x v="10"/>
    <n v="11500002843"/>
    <s v="Buckets*Bucket (484) (12 YD) Hawco*Lower Sheave Pin"/>
    <x v="33"/>
    <s v="Y"/>
    <n v="1"/>
    <s v="Lower Sheave Pin"/>
    <s v="Buckets*Bucket (484) (12 YD) Hawco*Lower Sheave Pin"/>
    <n v="2"/>
    <s v="ITEM 31"/>
    <s v="HAWCO"/>
    <n v="1"/>
  </r>
  <r>
    <s v="0134"/>
    <x v="10"/>
    <n v="11900001508"/>
    <s v="Vessel Consumables*Dredge Wires*Holding Wire, Bucket, 1-3/4&quot; x 530'"/>
    <x v="78"/>
    <s v="Y"/>
    <n v="2"/>
    <s v="Holding Wire, Bucket, 1-3/4&quot; x 530'"/>
    <s v="Vessel Consumables*Dredge Wires*Holding Wire, Bucket, 1-3/4&quot; x 530'"/>
    <n v="0"/>
    <s v="1-3/4&quot; X 530'"/>
    <s v="SOUTHWEST WIRE ROPE"/>
    <n v="1"/>
  </r>
  <r>
    <s v="0134"/>
    <x v="10"/>
    <n v="11900001511"/>
    <s v="Vessel Consumables*Dredge Wires*Closing Wire, Bucket, 1-3/4&quot; x 635'"/>
    <x v="78"/>
    <s v="Y"/>
    <n v="2"/>
    <s v="Closing Wire, Bucket, 1-3/4&quot; x 635'"/>
    <s v="Vessel Consumables*Dredge Wires*Closing Wire, Bucket, 1-3/4&quot; x 635'"/>
    <n v="0"/>
    <s v="1-3/4&quot; X 635'"/>
    <s v="SOUTHWEST WIRE ROPE"/>
    <n v="1"/>
  </r>
  <r>
    <s v="0134"/>
    <x v="10"/>
    <n v="11900001518"/>
    <s v="Vessel Consumables*Dredge Wires*Spud Wire, Fwd, 2&quot; x 271'"/>
    <x v="78"/>
    <s v="Y"/>
    <n v="1"/>
    <s v="Spud Wire, Fwd, 2&quot; x 271'"/>
    <s v="Vessel Consumables*Dredge Wires*Spud Wire, Fwd, 2&quot; x 271'"/>
    <n v="1"/>
    <m/>
    <m/>
    <n v="1"/>
  </r>
  <r>
    <s v="0134"/>
    <x v="10"/>
    <n v="11900001526"/>
    <s v="Buckets*Bucket (489) (21 YD) ANVIL*Holding Socket Pin"/>
    <x v="33"/>
    <s v="Y"/>
    <n v="1"/>
    <s v="Holding Socket Pin"/>
    <s v="Buckets*Bucket (489) (21 YD) ANVIL*Holding Socket Pin"/>
    <n v="1"/>
    <s v="ITEM 7"/>
    <s v="PRO-LINE (WILLIAMS)"/>
    <n v="1"/>
  </r>
  <r>
    <s v="0134"/>
    <x v="10"/>
    <n v="12500001964"/>
    <s v="Generators*Auxiliary Genset*Auxiliary Generator Engine (Cummins KTA19)*STARTER"/>
    <x v="4"/>
    <s v="Y"/>
    <n v="1"/>
    <s v="STARTER"/>
    <s v="Generators*Auxiliary Genset*Auxiliary Generator Engine (Cummins KTA19)*STARTER"/>
    <n v="1"/>
    <s v="1115557--24V8JM"/>
    <s v="Cummins"/>
    <n v="1"/>
  </r>
  <r>
    <s v="0134"/>
    <x v="10"/>
    <n v="12500002008"/>
    <s v="Generators*Auxiliary Genset*Auxiliary Generator Engine (Cummins KTA19)*TURBOCHARGER"/>
    <x v="4"/>
    <s v="Y"/>
    <n v="1"/>
    <s v="TURBOCHARGER"/>
    <s v="Generators*Auxiliary Genset*Auxiliary Generator Engine (Cummins KTA19)*TURBOCHARGER"/>
    <n v="1"/>
    <m/>
    <m/>
    <n v="1"/>
  </r>
  <r>
    <s v="0134"/>
    <x v="10"/>
    <n v="45000001251"/>
    <s v="Electrical*Crane Electrical*DRIVE CABINET*GENERATOR FIELD CONTROLLER*Interface Board, Bridge"/>
    <x v="61"/>
    <s v="Y"/>
    <n v="1"/>
    <s v="Interface Board, Bridge"/>
    <s v="Electrical*Crane Electrical*DRIVE CABINET*GENERATOR FIELD CONTROLLER*Interface Board, Bridge"/>
    <n v="3"/>
    <s v="A18123-1"/>
    <s v="AVTRON"/>
    <n v="1"/>
  </r>
  <r>
    <s v="0134"/>
    <x v="10"/>
    <n v="45000001252"/>
    <s v="Electrical*Crane Electrical*DRIVE CABINET*GENERATOR FIELD CONTROLLER*Board, Microprocessor"/>
    <x v="61"/>
    <s v="Y"/>
    <n v="1"/>
    <s v="Board, Microprocessor"/>
    <s v="Electrical*Crane Electrical*DRIVE CABINET*GENERATOR FIELD CONTROLLER*Board, Microprocessor"/>
    <n v="1"/>
    <s v="630264"/>
    <s v="AVTRON"/>
    <n v="1"/>
  </r>
  <r>
    <s v="0134"/>
    <x v="10"/>
    <n v="45000007636"/>
    <s v="Vessel Consumables*Brushes (Electric Motors)*Brush, Boom/Swing Generator"/>
    <x v="78"/>
    <s v="Y"/>
    <n v="20"/>
    <s v="Brush, Boom/Swing Generator"/>
    <s v="Vessel Consumables*Brushes (Electric Motors)*Brush, Boom/Swing Generator"/>
    <n v="54"/>
    <s v="36A164452AAP21"/>
    <s v="National Carbon Brush Products"/>
    <n v="1"/>
  </r>
  <r>
    <s v="0134"/>
    <x v="10"/>
    <n v="45000007638"/>
    <s v="Vessel Consumables*Brushes (Electric Motors)*Brush, Boom/Swing Motor"/>
    <x v="78"/>
    <s v="Y"/>
    <n v="20"/>
    <s v="Brush, Boom/Swing Motor"/>
    <s v="Vessel Consumables*Brushes (Electric Motors)*Brush, Boom/Swing Motor"/>
    <n v="65"/>
    <s v="36A164451AAP21"/>
    <s v="National Carbon Brush Products"/>
    <n v="1"/>
  </r>
  <r>
    <s v="0134"/>
    <x v="10"/>
    <n v="45000007641"/>
    <s v="Vessel Consumables*Brushes (Electric Motors)*Brush, Hoist Generator Carbon"/>
    <x v="78"/>
    <s v="Y"/>
    <n v="20"/>
    <s v="Brush, Hoist Generator Carbon"/>
    <s v="Vessel Consumables*Brushes (Electric Motors)*Brush, Hoist Generator Carbon"/>
    <n v="40"/>
    <s v="10-101532-772-3-35"/>
    <s v="HELWIG CARBON"/>
    <n v="1"/>
  </r>
  <r>
    <s v="0134"/>
    <x v="10"/>
    <n v="45000009041"/>
    <s v="Crane Holding &amp; Closing*Main Hoist*Cup Packing"/>
    <x v="90"/>
    <s v="Y"/>
    <n v="6"/>
    <s v="Cup Packing"/>
    <s v="Crane Holding &amp; Closing*Main Hoist*Cup Packing"/>
    <n v="2"/>
    <s v="17131015"/>
    <s v="PAGE ENGINEERING"/>
    <n v="1"/>
  </r>
  <r>
    <s v="0134"/>
    <x v="10"/>
    <n v="45000019154"/>
    <s v="Electrical*Crane Electrical*DRIVE CABINET*Fuse, 12 Amp"/>
    <x v="61"/>
    <s v="Y"/>
    <n v="5"/>
    <s v="Fuse, 12 Amp"/>
    <s v="Electrical*Crane Electrical*DRIVE CABINET*Fuse, 12 Amp"/>
    <n v="10"/>
    <s v="TRS12R"/>
    <s v="GOULD"/>
    <n v="1"/>
  </r>
  <r>
    <s v="0134"/>
    <x v="10"/>
    <n v="45000021271"/>
    <s v="Buckets*Bucket (480) (12 YD) Hawco*Lower Arm Pins"/>
    <x v="33"/>
    <s v="Y"/>
    <n v="1"/>
    <s v="Lower Arm Pins"/>
    <s v="Buckets*Bucket (480) (12 YD) Hawco*Lower Arm Pins"/>
    <n v="4"/>
    <s v="ITEM 41"/>
    <s v="HAWCO"/>
    <n v="1"/>
  </r>
  <r>
    <s v="0134"/>
    <x v="10"/>
    <n v="45000021272"/>
    <s v="Buckets*Bucket (480) (12 YD) Hawco*Upper Arm Pins"/>
    <x v="33"/>
    <s v="Y"/>
    <n v="1"/>
    <s v="Upper Arm Pins"/>
    <s v="Buckets*Bucket (480) (12 YD) Hawco*Upper Arm Pins"/>
    <n v="3"/>
    <s v="ITEM 19"/>
    <s v="HAWCO"/>
    <n v="1"/>
  </r>
  <r>
    <s v="0134"/>
    <x v="10"/>
    <n v="45000021284"/>
    <s v="Buckets*Bucket (480) (12 YD) Hawco*Hold Socket Pin"/>
    <x v="33"/>
    <s v="Y"/>
    <n v="1"/>
    <s v="Hold Socket Pin"/>
    <s v="Buckets*Bucket (480) (12 YD) Hawco*Hold Socket Pin"/>
    <n v="2"/>
    <s v="ITEM 3"/>
    <s v="HAWCO"/>
    <n v="1"/>
  </r>
  <r>
    <s v="0134"/>
    <x v="10"/>
    <n v="45000021315"/>
    <s v="Buckets*Bucket (480) (12 YD) Hawco*Sheaves Complete"/>
    <x v="33"/>
    <s v="Y"/>
    <n v="1"/>
    <s v="Sheaves Complete"/>
    <s v="Buckets*Bucket (480) (12 YD) Hawco*Sheaves Complete"/>
    <m/>
    <m/>
    <m/>
    <n v="1"/>
  </r>
  <r>
    <s v="0134"/>
    <x v="10"/>
    <n v="45000021316"/>
    <s v="Buckets*Bucket (480) (12 YD) Hawco*Lower Guide Sheaves"/>
    <x v="33"/>
    <s v="Y"/>
    <n v="1"/>
    <s v="Lower Guide Sheaves"/>
    <s v="Buckets*Bucket (480) (12 YD) Hawco*Lower Guide Sheaves"/>
    <n v="0"/>
    <s v="ITEM 15"/>
    <s v="HAWCO"/>
    <n v="1"/>
  </r>
  <r>
    <s v="0134"/>
    <x v="10"/>
    <n v="45000021318"/>
    <s v="Buckets*Bucket (480) (12 YD) Hawco*Hold Line Socket &amp; Wedge"/>
    <x v="33"/>
    <s v="Y"/>
    <n v="1"/>
    <s v="Hold Line Socket &amp; Wedge"/>
    <s v="Buckets*Bucket (480) (12 YD) Hawco*Hold Line Socket &amp; Wedge"/>
    <n v="2"/>
    <s v="ITEM 1 &amp; 2"/>
    <s v="HAWCO"/>
    <n v="1"/>
  </r>
  <r>
    <s v="0134"/>
    <x v="10"/>
    <n v="45000021319"/>
    <s v="Buckets*Bucket (480) (12 YD) Hawco*Dead End Socket &amp; Wedge"/>
    <x v="33"/>
    <s v="Y"/>
    <n v="1"/>
    <s v="Dead End Socket &amp; Wedge"/>
    <s v="Buckets*Bucket (480) (12 YD) Hawco*Dead End Socket &amp; Wedge"/>
    <n v="1"/>
    <m/>
    <m/>
    <n v="1"/>
  </r>
  <r>
    <s v="0134"/>
    <x v="10"/>
    <n v="45000021322"/>
    <s v="Buckets*Bucket (480) (12 YD) Hawco*Tooth Bases"/>
    <x v="33"/>
    <s v="Y"/>
    <n v="11"/>
    <s v="Tooth Bases"/>
    <s v="Buckets*Bucket (480) (12 YD) Hawco*Tooth Bases"/>
    <n v="14"/>
    <s v="ITEM 45"/>
    <s v="HAWCO"/>
    <n v="1"/>
  </r>
  <r>
    <s v="0134"/>
    <x v="10"/>
    <n v="45000021386"/>
    <s v="Buckets*Bucket (490) (12 YD) HAWCO*Hold Line Socket"/>
    <x v="33"/>
    <s v="Y"/>
    <n v="1"/>
    <s v="Hold Line Socket"/>
    <s v="Buckets*Bucket (490) (12 YD) HAWCO*Hold Line Socket"/>
    <m/>
    <s v="ITEM "/>
    <s v="HAWCO"/>
    <n v="1"/>
  </r>
  <r>
    <s v="0134"/>
    <x v="10"/>
    <n v="45000021387"/>
    <s v="Buckets*Bucket (490) (12 YD) HAWCO*Hold Line Wedge"/>
    <x v="33"/>
    <s v="Y"/>
    <n v="1"/>
    <s v="Hold Line Wedge"/>
    <s v="Buckets*Bucket (490) (12 YD) HAWCO*Hold Line Wedge"/>
    <m/>
    <s v="ITEM "/>
    <s v="HAWCO"/>
    <n v="1"/>
  </r>
  <r>
    <s v="0134"/>
    <x v="10"/>
    <n v="45000021389"/>
    <s v="Buckets*Bucket (490) (12 YD) HAWCO*Lifitng Lug Assy."/>
    <x v="33"/>
    <s v="Y"/>
    <n v="1"/>
    <s v="Lifitng Lug Assy."/>
    <s v="Buckets*Bucket (490) (12 YD) HAWCO*Lifitng Lug Assy."/>
    <m/>
    <s v="ITEM "/>
    <s v="HAWCO"/>
    <n v="1"/>
  </r>
  <r>
    <s v="0134"/>
    <x v="10"/>
    <n v="45000021390"/>
    <s v="Buckets*Bucket (490) (12 YD) HAWCO*Lifting Lug Pin"/>
    <x v="33"/>
    <s v="Y"/>
    <n v="1"/>
    <s v="Lifting Lug Pin"/>
    <s v="Buckets*Bucket (490) (12 YD) HAWCO*Lifting Lug Pin"/>
    <m/>
    <s v="ITEM "/>
    <s v="HAWCO"/>
    <n v="1"/>
  </r>
  <r>
    <s v="0134"/>
    <x v="10"/>
    <n v="45000021409"/>
    <s v="Buckets*Bucket (490) (12 YD) HAWCO*Upper Arm Pin"/>
    <x v="33"/>
    <s v="Y"/>
    <n v="1"/>
    <s v="Upper Arm Pin"/>
    <s v="Buckets*Bucket (490) (12 YD) HAWCO*Upper Arm Pin"/>
    <n v="1"/>
    <s v="ITEM "/>
    <s v="HAWCO"/>
    <n v="1"/>
  </r>
  <r>
    <s v="0134"/>
    <x v="10"/>
    <n v="45000021411"/>
    <s v="Buckets*Bucket (490) (12 YD) HAWCO*Dead End Pin"/>
    <x v="33"/>
    <s v="Y"/>
    <n v="1"/>
    <s v="Dead End Pin"/>
    <s v="Buckets*Bucket (490) (12 YD) HAWCO*Dead End Pin"/>
    <n v="2"/>
    <s v="ITEM "/>
    <s v="HAWCO"/>
    <n v="1"/>
  </r>
  <r>
    <s v="0134"/>
    <x v="10"/>
    <n v="45000021413"/>
    <s v="Buckets*Bucket (490) (12 YD) HAWCO*Dead End Socket"/>
    <x v="33"/>
    <s v="Y"/>
    <n v="1"/>
    <s v="Dead End Socket"/>
    <s v="Buckets*Bucket (490) (12 YD) HAWCO*Dead End Socket"/>
    <n v="1"/>
    <s v="ITEM "/>
    <s v="HAWCO"/>
    <n v="1"/>
  </r>
  <r>
    <s v="0134"/>
    <x v="10"/>
    <n v="45000021414"/>
    <s v="Buckets*Bucket (490) (12 YD) HAWCO*Dead End Wedge"/>
    <x v="33"/>
    <s v="Y"/>
    <n v="1"/>
    <s v="Dead End Wedge"/>
    <s v="Buckets*Bucket (490) (12 YD) HAWCO*Dead End Wedge"/>
    <n v="1"/>
    <s v="ITEM "/>
    <s v="HAWCO"/>
    <n v="1"/>
  </r>
  <r>
    <s v="0134"/>
    <x v="10"/>
    <n v="45000021415"/>
    <s v="Buckets*Bucket (490) (12 YD) HAWCO*Upper Sheave Pin"/>
    <x v="33"/>
    <s v="Y"/>
    <n v="1"/>
    <s v="Upper Sheave Pin"/>
    <s v="Buckets*Bucket (490) (12 YD) HAWCO*Upper Sheave Pin"/>
    <m/>
    <s v="ITEM "/>
    <s v="HAWCO"/>
    <n v="1"/>
  </r>
  <r>
    <s v="0134"/>
    <x v="10"/>
    <n v="45000021416"/>
    <s v="Buckets*Bucket (490) (12 YD) HAWCO*Sheaves"/>
    <x v="33"/>
    <s v="Y"/>
    <n v="1"/>
    <s v="Sheaves"/>
    <s v="Buckets*Bucket (490) (12 YD) HAWCO*Sheaves"/>
    <m/>
    <s v="ITEM "/>
    <s v="HAWCO"/>
    <n v="1"/>
  </r>
  <r>
    <s v="0134"/>
    <x v="10"/>
    <n v="45000021420"/>
    <s v="Buckets*Bucket (490) (12 YD) HAWCO*Lower Sheave Pin"/>
    <x v="33"/>
    <s v="Y"/>
    <n v="1"/>
    <s v="Lower Sheave Pin"/>
    <s v="Buckets*Bucket (490) (12 YD) HAWCO*Lower Sheave Pin"/>
    <m/>
    <s v="ITEM "/>
    <s v="HAWCO"/>
    <n v="1"/>
  </r>
  <r>
    <s v="0134"/>
    <x v="10"/>
    <n v="45000026627"/>
    <s v="Scow Fleeting*Deck Winch (Port)*Air Cylinder, Brake"/>
    <x v="93"/>
    <s v="Y"/>
    <n v="1"/>
    <s v="Air Cylinder, Brake"/>
    <s v="Scow Fleeting*Deck Winch (Port)*Air Cylinder, Brake"/>
    <n v="1"/>
    <s v="AV-84BB4N-05.00-21.810"/>
    <s v="Parker"/>
    <n v="2"/>
  </r>
  <r>
    <s v="0134"/>
    <x v="10"/>
    <n v="45000027796"/>
    <s v="Crane Boom*Boom Hoist Winch*Solenoid Valve, Boom Dog"/>
    <x v="89"/>
    <s v="Y"/>
    <n v="1"/>
    <s v="Solenoid Valve, Boom Dog"/>
    <s v="Crane Boom*Boom Hoist Winch*Solenoid Valve, Boom Dog"/>
    <n v="5"/>
    <s v="2G551"/>
    <s v="Grainger"/>
    <n v="1"/>
  </r>
  <r>
    <s v="0134"/>
    <x v="10"/>
    <n v="45000028022"/>
    <s v="Vessel Consumables*Brushes (Electric Motors)*Brush, Hoist Motor"/>
    <x v="78"/>
    <s v="Y"/>
    <n v="20"/>
    <s v="Brush, Hoist Motor"/>
    <s v="Vessel Consumables*Brushes (Electric Motors)*Brush, Hoist Motor"/>
    <n v="42"/>
    <s v="36A164451AAP05"/>
    <s v="National Carbon Brush Products"/>
    <n v="1"/>
  </r>
  <r>
    <s v="0134"/>
    <x v="10"/>
    <n v="45000028185"/>
    <s v="Crane Boom*Boom Hoist Winch*Boom Hoist Motor (191 HP)*Boom Hoist Motor Brake*Brake Shoe*Liner Material"/>
    <x v="89"/>
    <s v="Y"/>
    <n v="1"/>
    <s v="Liner Material"/>
    <s v="Crane Boom*Boom Hoist Winch*Boom Hoist Motor (191 HP)*Boom Hoist Motor Brake*Brake Shoe*Liner Material"/>
    <n v="1"/>
    <s v="GFP P/NGFPHK5825"/>
    <s v="GLOBAL FRICTION PRODUCTS"/>
    <n v="1"/>
  </r>
  <r>
    <s v="0134"/>
    <x v="10"/>
    <n v="45000034227"/>
    <s v="Buckets*Bucket Teeth*Plow Bolt, Tooth Base"/>
    <x v="33"/>
    <s v="Y"/>
    <n v="100"/>
    <s v="Plow Bolt, Tooth Base"/>
    <s v="Buckets*Bucket Teeth*Plow Bolt, Tooth Base"/>
    <n v="400"/>
    <s v="ITEM 44"/>
    <s v="HAWCO"/>
    <n v="1"/>
  </r>
  <r>
    <s v="0134"/>
    <x v="10"/>
    <n v="60400000173"/>
    <s v="Buckets*Bucket Teeth*Adapter (44D Style) (Bolt-On)"/>
    <x v="33"/>
    <s v="Y"/>
    <n v="50"/>
    <s v="Adapter (44D Style) (Bolt-On)"/>
    <s v="Buckets*Bucket Teeth*Adapter (44D Style) (Bolt-On)"/>
    <n v="1"/>
    <s v="1714-44D"/>
    <s v="ESC0"/>
    <n v="1"/>
  </r>
  <r>
    <s v="0134"/>
    <x v="10"/>
    <n v="60400000230"/>
    <s v="Compressed Air*Air Compressor Set (Service)*Service Air Compressor*Belt, Drive"/>
    <x v="79"/>
    <s v="Y"/>
    <n v="3"/>
    <s v="Belt, Drive"/>
    <s v="Compressed Air*Air Compressor Set (Service)*Service Air Compressor*Belt, Drive"/>
    <n v="12"/>
    <s v="110258B083"/>
    <s v="QUINCY"/>
    <n v="1"/>
  </r>
  <r>
    <s v="0134"/>
    <x v="10"/>
    <n v="60400000234"/>
    <s v="Compressed Air*Air Compressor Set (Service)*Service Air Compressor*Repair Kit, Basic Compressor"/>
    <x v="79"/>
    <s v="Y"/>
    <n v="1"/>
    <s v="Repair Kit, Basic Compressor"/>
    <s v="Compressed Air*Air Compressor Set (Service)*Service Air Compressor*Repair Kit, Basic Compressor"/>
    <n v="2"/>
    <s v="110823-350"/>
    <s v="QUINCY"/>
    <n v="1"/>
  </r>
  <r>
    <s v="0134"/>
    <x v="10"/>
    <n v="60400000575"/>
    <s v="Electrical*Crane Electrical*DRIVE CABINET*Controller, Tag Line Torque"/>
    <x v="61"/>
    <s v="Y"/>
    <n v="1"/>
    <s v="Controller, Tag Line Torque"/>
    <s v="Electrical*Crane Electrical*DRIVE CABINET*Controller, Tag Line Torque"/>
    <n v="2"/>
    <s v="KBTC-125"/>
    <s v="KB ELECTRONICS INC."/>
    <n v="1"/>
  </r>
  <r>
    <s v="0134"/>
    <x v="10"/>
    <n v="60400000926"/>
    <s v="Crane Holding &amp; Closing*Main Hoist*Cup Packing For Hold/Clos"/>
    <x v="90"/>
    <s v="Y"/>
    <n v="8"/>
    <s v="Cup Packing For Hold/Clos"/>
    <s v="Crane Holding &amp; Closing*Main Hoist*Cup Packing For Hold/Clos"/>
    <n v="23"/>
    <s v="518116"/>
    <s v="WABCO"/>
    <n v="1"/>
  </r>
  <r>
    <s v="0134"/>
    <x v="10"/>
    <n v="60400002941"/>
    <s v="Raw Water*M/E Raw Water Pump Set (#1)*Pump, Set (Complete)"/>
    <x v="71"/>
    <s v="Y"/>
    <n v="1"/>
    <s v="Pump, Set (Complete)"/>
    <s v="Raw Water*M/E Raw Water Pump Set (#1)*Pump, Set (Complete)"/>
    <n v="0"/>
    <s v="4021/ DC1201874/ 4MD"/>
    <s v="CRANE-DEMING PUMPS"/>
    <n v="2"/>
  </r>
  <r>
    <s v="0134"/>
    <x v="10"/>
    <n v="62400003373"/>
    <s v="Electrical*Crane Electrical*Limitamp Control Panel*Coil, Closing, Monster Controls"/>
    <x v="61"/>
    <s v="Y"/>
    <n v="2"/>
    <s v="Coil, Closing, Monster Controls"/>
    <s v="Electrical*Crane Electrical*Limitamp Control Panel*Coil, Closing, Monster Controls"/>
    <n v="2"/>
    <s v="MC102.12515"/>
    <s v="Monster Controls"/>
    <n v="1"/>
  </r>
  <r>
    <s v="0134"/>
    <x v="10"/>
    <n v="62400003374"/>
    <s v="Electrical*Crane Electrical*Limitamp Control Panel*Interlocks, Contactor"/>
    <x v="61"/>
    <s v="Y"/>
    <n v="2"/>
    <s v="Interlocks, Contactor"/>
    <s v="Electrical*Crane Electrical*Limitamp Control Panel*Interlocks, Contactor"/>
    <n v="6"/>
    <s v="723B245G273"/>
    <s v="General Electric"/>
    <n v="1"/>
  </r>
  <r>
    <s v="0134"/>
    <x v="10"/>
    <n v="62400003375"/>
    <s v="Electrical*Crane Electrical*Limitamp Control Panel*Interlocks, Test Power"/>
    <x v="61"/>
    <s v="Y"/>
    <n v="2"/>
    <s v="Interlocks, Test Power"/>
    <s v="Electrical*Crane Electrical*Limitamp Control Panel*Interlocks, Test Power"/>
    <n v="10"/>
    <s v="723B245G275"/>
    <s v="General Electric"/>
    <n v="1"/>
  </r>
  <r>
    <s v="0134"/>
    <x v="10"/>
    <n v="62400003376"/>
    <s v="Electrical*Crane Electrical*Limitamp Control Panel*Interlock, Control Power"/>
    <x v="61"/>
    <s v="Y"/>
    <n v="2"/>
    <s v="Interlock, Control Power"/>
    <s v="Electrical*Crane Electrical*Limitamp Control Panel*Interlock, Control Power"/>
    <n v="5"/>
    <s v="723B245G274"/>
    <s v="General Electric"/>
    <n v="1"/>
  </r>
  <r>
    <s v="0134"/>
    <x v="10"/>
    <n v="66200008208"/>
    <s v="Survey Equipment*Survey Equipment*KVM Extender Box (Local)"/>
    <x v="95"/>
    <s v="Y"/>
    <n v="1"/>
    <s v="KVM Extender Box (Local)"/>
    <s v="Survey Equipment*Survey Equipment*KVM Extender Box (Local)"/>
    <n v="1"/>
    <s v="ACU2001A"/>
    <s v="BLACK BOX"/>
    <n v="1"/>
  </r>
  <r>
    <s v="0134"/>
    <x v="10"/>
    <n v="66200008210"/>
    <s v="Survey Equipment*Survey Equipment*USB To PS/2 Flashable Converter"/>
    <x v="95"/>
    <s v="Y"/>
    <n v="2"/>
    <s v="USB To PS/2 Flashable Converter"/>
    <s v="Survey Equipment*Survey Equipment*USB To PS/2 Flashable Converter"/>
    <n v="2"/>
    <s v="KVUSB"/>
    <s v="BLACK BOX"/>
    <n v="1"/>
  </r>
  <r>
    <s v="0134"/>
    <x v="10"/>
    <n v="66200010792"/>
    <s v="Production Instrumentation/Monitoring*Position Computer KVM CATx Extender*Black Box ACU6001A KVM"/>
    <x v="75"/>
    <s v="Y"/>
    <n v="1"/>
    <s v="Black Box ACU6001A KVM"/>
    <s v="Production Instrumentation/Monitoring*Position Computer KVM CATx Extender*Black Box ACU6001A KVM"/>
    <n v="2"/>
    <s v="ACU6001A"/>
    <s v="CDW"/>
    <n v="1"/>
  </r>
  <r>
    <s v="0134"/>
    <x v="10"/>
    <n v="66200016553"/>
    <s v="Spud System*Spud (Port)*Spud Winch (Port)*Bushing"/>
    <x v="73"/>
    <s v="Y"/>
    <n v="1"/>
    <s v="Bushing"/>
    <s v="Spud System*Spud (Port)*Spud Winch (Port)*Bushing"/>
    <n v="0"/>
    <s v="810521-H"/>
    <s v="SUPERIOR-LIDGERWOOD-MUNDY"/>
    <n v="3"/>
  </r>
  <r>
    <s v="0138"/>
    <x v="11"/>
    <n v="66200010792"/>
    <s v="Production Instrumentation/Monitoring*Position Computer KVM CATx Extender*Black Box ACU6001A KVM"/>
    <x v="75"/>
    <s v="Y"/>
    <n v="1"/>
    <s v="Black Box ACU6001A KVM"/>
    <s v="Production Instrumentation/Monitoring*Position Computer KVM CATx Extender*Black Box ACU6001A KVM"/>
    <m/>
    <s v="ACU6001A"/>
    <s v="CDW"/>
    <n v="1"/>
  </r>
  <r>
    <s v="0138"/>
    <x v="11"/>
    <n v="66200013800"/>
    <s v="Crane Holding &amp; Closing*Closing Winch*Brake, Winch*Air Diaphragm"/>
    <x v="90"/>
    <s v="Y"/>
    <n v="2"/>
    <s v="Air Diaphragm"/>
    <s v="Crane Holding &amp; Closing*Closing Winch*Brake, Winch*Air Diaphragm"/>
    <n v="5"/>
    <s v="ASND82-7-1"/>
    <s v="Numatics"/>
    <n v="1"/>
  </r>
  <r>
    <s v="0138"/>
    <x v="11"/>
    <n v="66200014229"/>
    <s v="Compressed Air*Air Controls*Air Control Valve, Brake Cylinders"/>
    <x v="79"/>
    <s v="Y"/>
    <n v="2"/>
    <s v="Air Control Valve, Brake Cylinders"/>
    <s v="Compressed Air*Air Controls*Air Control Valve, Brake Cylinders"/>
    <n v="2"/>
    <s v="3FDN4"/>
    <s v="Grainger"/>
    <n v="1"/>
  </r>
  <r>
    <s v="0138"/>
    <x v="11"/>
    <n v="66200014259"/>
    <s v="Generators*Crane Genset #01*Crane Generator Engine #01*Pillow Block Bearing"/>
    <x v="4"/>
    <s v="Y"/>
    <n v="4"/>
    <s v="Pillow Block Bearing"/>
    <s v="Generators*Crane Genset #01*Crane Generator Engine #01*Pillow Block Bearing"/>
    <n v="6"/>
    <s v="MP-27"/>
    <s v="SEAL MASTER"/>
    <n v="2"/>
  </r>
  <r>
    <s v="0138"/>
    <x v="11"/>
    <n v="66200014363"/>
    <s v="Electrical*Crane Electrical*Drive (Swing)*Contactor, 3P, w/1NO aux, 120VAC Coil"/>
    <x v="61"/>
    <s v="Y"/>
    <n v="2"/>
    <s v="Contactor, 3P, w/1NO aux, 120VAC Coil"/>
    <s v="Electrical*Crane Electrical*Drive (Swing)*Contactor, 3P, w/1NO aux, 120VAC Coil"/>
    <n v="3"/>
    <s v="XTMC9A10A"/>
    <s v="Eaton"/>
    <n v="1"/>
  </r>
  <r>
    <s v="0138"/>
    <x v="11"/>
    <n v="66200014364"/>
    <s v="Electrical*Crane Electrical*Drive (Swing)*Overload Relay, 2.4-4A Adj, Mini Type"/>
    <x v="61"/>
    <s v="Y"/>
    <n v="2"/>
    <s v="Overload Relay, 2.4-4A Adj, Mini Type"/>
    <s v="Electrical*Crane Electrical*Drive (Swing)*Overload Relay, 2.4-4A Adj, Mini Type"/>
    <n v="3"/>
    <s v="XTOM004AC1"/>
    <s v="Eaton"/>
    <n v="1"/>
  </r>
  <r>
    <s v="0138"/>
    <x v="11"/>
    <n v="66200015989"/>
    <s v="Electrical*Crane Electrical*Avid Electrical Controls*Fuses 1600A"/>
    <x v="61"/>
    <s v="Y"/>
    <n v="3"/>
    <s v="Fuses 1600A"/>
    <s v="Electrical*Crane Electrical*Avid Electrical Controls*Fuses 1600A"/>
    <n v="18"/>
    <s v="A070UD33TTI1600"/>
    <s v="Mersen"/>
    <n v="1"/>
  </r>
  <r>
    <s v="0138"/>
    <x v="11"/>
    <n v="66200015991"/>
    <s v="Electrical*Crane Electrical*Avid Electrical Controls*Fuses 630A"/>
    <x v="61"/>
    <s v="Y"/>
    <n v="6"/>
    <s v="Fuses 630A"/>
    <s v="Electrical*Crane Electrical*Avid Electrical Controls*Fuses 630A"/>
    <n v="8"/>
    <s v="A130UD73TTI630"/>
    <s v="Mersen"/>
    <n v="1"/>
  </r>
  <r>
    <s v="0138"/>
    <x v="11"/>
    <n v="66200016174"/>
    <s v="Crane Swing Machinery*Swing Brake  # 01*Shaft Adapter Subassembly"/>
    <x v="91"/>
    <s v="Y"/>
    <n v="1"/>
    <s v="Shaft Adapter Subassembly"/>
    <s v="Crane Swing Machinery*Swing Brake  # 01*Shaft Adapter Subassembly"/>
    <n v="4"/>
    <s v="60-004-xxxx"/>
    <s v="Eskridge"/>
    <n v="2"/>
  </r>
  <r>
    <s v="0138"/>
    <x v="11"/>
    <n v="66200016175"/>
    <s v="Crane Swing Machinery*Swing Brake  # 01*98D Brake"/>
    <x v="91"/>
    <s v="Y"/>
    <n v="1"/>
    <s v="98D Brake"/>
    <s v="Crane Swing Machinery*Swing Brake  # 01*98D Brake"/>
    <n v="1"/>
    <s v="98-006-5016"/>
    <s v="Eskridge"/>
    <n v="2"/>
  </r>
  <r>
    <s v="0138"/>
    <x v="11"/>
    <n v="66200016277"/>
    <s v="Electrical*Crane Electrical*Drive (Swing)*Cooling Fan, Drive Cabinet"/>
    <x v="61"/>
    <s v="Y"/>
    <n v="2"/>
    <s v="Cooling Fan, Drive Cabinet"/>
    <s v="Electrical*Crane Electrical*Drive (Swing)*Cooling Fan, Drive Cabinet"/>
    <n v="3"/>
    <m/>
    <m/>
    <n v="1"/>
  </r>
  <r>
    <s v="0138"/>
    <x v="11"/>
    <n v="66200017145"/>
    <s v="Spud System*Spud Winch*Gearbox, Spud Winch*Brake, Gearbox*Spring 1&quot; X 2.25  Free Length"/>
    <x v="73"/>
    <s v="Y"/>
    <n v="32"/>
    <s v="Spring 1&quot; X 2.25  Free Length"/>
    <s v="Spud System*Spud Winch*Gearbox, Spud Winch*Brake, Gearbox*Spring 1&quot; X 2.25  Free Length"/>
    <n v="32"/>
    <s v="4-293-033-014-4"/>
    <s v="Wichita Clutch"/>
    <n v="1"/>
  </r>
  <r>
    <s v="0138"/>
    <x v="11"/>
    <n v="66200017146"/>
    <s v="Spud System*Spud Winch*Gearbox, Spud Winch*Brake, Gearbox*FDI 14&quot; Blank 88 Teeth"/>
    <x v="73"/>
    <s v="Y"/>
    <n v="1"/>
    <s v="FDI 14&quot; Blank 88 Teeth"/>
    <s v="Spud System*Spud Winch*Gearbox, Spud Winch*Brake, Gearbox*FDI 14&quot; Blank 88 Teeth"/>
    <n v="1"/>
    <s v="4-253-897-000-0"/>
    <s v="Wichita Clutch"/>
    <n v="1"/>
  </r>
  <r>
    <s v="0138"/>
    <x v="11"/>
    <n v="66200017148"/>
    <s v="Spud System*Spud Winch*Gearbox, Spud Winch*Brake, Gearbox*Airtube 14 2-Spud Reg"/>
    <x v="73"/>
    <s v="Y"/>
    <n v="1"/>
    <s v="Airtube 14 2-Spud Reg"/>
    <s v="Spud System*Spud Winch*Gearbox, Spud Winch*Brake, Gearbox*Airtube 14 2-Spud Reg"/>
    <n v="1"/>
    <s v="4-253-020-002-0"/>
    <s v="Wichita Clutch"/>
    <n v="1"/>
  </r>
  <r>
    <s v="0138"/>
    <x v="11"/>
    <n v="66200018330"/>
    <s v="Compressed Air*Air Controls*Valve, Versa 3 way"/>
    <x v="79"/>
    <s v="Y"/>
    <n v="2"/>
    <s v="Valve, Versa 3 way"/>
    <s v="Compressed Air*Air Controls*Valve, Versa 3 way"/>
    <n v="3"/>
    <s v="VSG-3521-D024"/>
    <s v="Versa Valve"/>
    <n v="1"/>
  </r>
  <r>
    <s v="0141"/>
    <x v="12"/>
    <n v="7833"/>
    <s v="Bowthruster*Bowthruster Engine (CAT D379)*Line, Fuel Oil (398)"/>
    <x v="96"/>
    <s v="Y"/>
    <n v="1"/>
    <s v="Line, Fuel Oil (398)"/>
    <s v="Bowthruster*Bowthruster Engine (CAT D379)*Line, Fuel Oil (398)"/>
    <n v="0"/>
    <s v="2W-0504"/>
    <s v="Caterpillar"/>
    <n v="7"/>
  </r>
  <r>
    <s v="0141"/>
    <x v="12"/>
    <n v="7834"/>
    <s v="Bowthruster*Bowthruster Engine (CAT D379)*Line, Fuel Oil (398)"/>
    <x v="96"/>
    <s v="Y"/>
    <n v="1"/>
    <s v="Line, Fuel Oil (398)"/>
    <s v="Bowthruster*Bowthruster Engine (CAT D379)*Line, Fuel Oil (398)"/>
    <n v="0"/>
    <s v="2W-0502"/>
    <s v="Caterpillar"/>
    <n v="7"/>
  </r>
  <r>
    <s v="0141"/>
    <x v="12"/>
    <n v="7837"/>
    <s v="Bowthruster*Bowthruster Engine (CAT D379)*Line, Fuel Oil (398)"/>
    <x v="96"/>
    <s v="Y"/>
    <n v="1"/>
    <s v="Line, Fuel Oil (398)"/>
    <s v="Bowthruster*Bowthruster Engine (CAT D379)*Line, Fuel Oil (398)"/>
    <n v="0"/>
    <s v="2W-0501"/>
    <s v="Caterpillar"/>
    <n v="7"/>
  </r>
  <r>
    <s v="0142"/>
    <x v="13"/>
    <n v="7833"/>
    <s v="Bowthruster*Bowthruster Engine (CAT D379)*Line, Fuel Oil (398)"/>
    <x v="96"/>
    <s v="Y"/>
    <n v="1"/>
    <s v="Line, Fuel Oil (398)"/>
    <s v="Bowthruster*Bowthruster Engine (CAT D379)*Line, Fuel Oil (398)"/>
    <n v="0"/>
    <s v="2W-0504"/>
    <s v="Caterpillar"/>
    <n v="5"/>
  </r>
  <r>
    <s v="0142"/>
    <x v="13"/>
    <n v="7834"/>
    <s v="Bowthruster*Bowthruster Engine (CAT D379)*Line, Fuel Oil (398)"/>
    <x v="96"/>
    <s v="Y"/>
    <n v="1"/>
    <s v="Line, Fuel Oil (398)"/>
    <s v="Bowthruster*Bowthruster Engine (CAT D379)*Line, Fuel Oil (398)"/>
    <n v="0"/>
    <s v="2W-0502"/>
    <s v="Caterpillar"/>
    <n v="5"/>
  </r>
  <r>
    <s v="0142"/>
    <x v="13"/>
    <n v="7837"/>
    <s v="Bowthruster*Bowthruster Engine (CAT D379)*Line, Fuel Oil (398)"/>
    <x v="96"/>
    <s v="Y"/>
    <n v="1"/>
    <s v="Line, Fuel Oil (398)"/>
    <s v="Bowthruster*Bowthruster Engine (CAT D379)*Line, Fuel Oil (398)"/>
    <n v="0"/>
    <s v="2W-0501"/>
    <s v="Caterpillar"/>
    <n v="5"/>
  </r>
  <r>
    <s v="0142"/>
    <x v="13"/>
    <n v="7838"/>
    <s v="Bowthruster*Bowthruster Engine (CAT D379)*Line, Fuel Oil (398)"/>
    <x v="96"/>
    <s v="Y"/>
    <n v="1"/>
    <s v="Line, Fuel Oil (398)"/>
    <s v="Bowthruster*Bowthruster Engine (CAT D379)*Line, Fuel Oil (398)"/>
    <n v="0"/>
    <s v="2W-0503"/>
    <s v="Caterpillar"/>
    <n v="5"/>
  </r>
  <r>
    <s v="0142"/>
    <x v="13"/>
    <n v="7842"/>
    <s v="Bowthruster*Bowthruster Engine (CAT D379)*Line, Fuel Oil (398)"/>
    <x v="96"/>
    <s v="Y"/>
    <n v="1"/>
    <s v="Line, Fuel Oil (398)"/>
    <s v="Bowthruster*Bowthruster Engine (CAT D379)*Line, Fuel Oil (398)"/>
    <n v="0"/>
    <s v="2W-0507"/>
    <s v="Caterpillar"/>
    <n v="5"/>
  </r>
  <r>
    <s v="0142"/>
    <x v="13"/>
    <n v="7843"/>
    <s v="Bowthruster*Bowthruster Engine (CAT D379)*Line, Fuel Oil (398)"/>
    <x v="96"/>
    <s v="Y"/>
    <n v="1"/>
    <s v="Line, Fuel Oil (398)"/>
    <s v="Bowthruster*Bowthruster Engine (CAT D379)*Line, Fuel Oil (398)"/>
    <n v="0"/>
    <s v="2W-0505"/>
    <s v="Caterpillar"/>
    <n v="5"/>
  </r>
  <r>
    <s v="0142"/>
    <x v="13"/>
    <n v="7844"/>
    <s v="Bowthruster*Bowthruster Engine (CAT D379)*Line, Fuel Oil (398)"/>
    <x v="96"/>
    <s v="Y"/>
    <n v="1"/>
    <s v="Line, Fuel Oil (398)"/>
    <s v="Bowthruster*Bowthruster Engine (CAT D379)*Line, Fuel Oil (398)"/>
    <n v="0"/>
    <s v="2W-0508"/>
    <s v="Caterpillar"/>
    <n v="5"/>
  </r>
  <r>
    <s v="0142"/>
    <x v="13"/>
    <n v="46358"/>
    <s v="Pump, Dredge (Port)*Gearbox (Port)*Clutch (18CB500)*Clutch, Complete Assembly (18CB500)"/>
    <x v="82"/>
    <s v="Y"/>
    <n v="1"/>
    <s v="Clutch, Complete Assembly (18CB500)"/>
    <s v="Pump, Dredge (Port)*Gearbox (Port)*Clutch (18CB500)*Clutch, Complete Assembly (18CB500)"/>
    <n v="1"/>
    <s v="18CB500"/>
    <s v="EATON/AIRFLEX"/>
    <n v="2"/>
  </r>
  <r>
    <s v="0142"/>
    <x v="13"/>
    <n v="49274"/>
    <s v="Bowthruster*Bowthruster Engine (CAT D379)*AFTERCOOLER CONN. GROUP*Core Assembly"/>
    <x v="96"/>
    <s v="Y"/>
    <n v="1"/>
    <s v="Core Assembly"/>
    <s v="Bowthruster*Bowthruster Engine (CAT D379)*AFTERCOOLER CONN. GROUP*Core Assembly"/>
    <n v="0"/>
    <s v="3N-4365"/>
    <s v="Caterpillar"/>
    <n v="5"/>
  </r>
  <r>
    <s v="0142"/>
    <x v="13"/>
    <n v="51022"/>
    <s v="Dragarm Hoisting*Deck Sheaves*Sheave 22&quot; (Bushing Type)"/>
    <x v="97"/>
    <s v="Y"/>
    <n v="2"/>
    <s v="Sheave 22&quot; (Bushing Type)"/>
    <s v="Dragarm Hoisting*Deck Sheaves*Sheave 22&quot; (Bushing Type)"/>
    <n v="0"/>
    <m/>
    <m/>
    <n v="1"/>
  </r>
  <r>
    <s v="0142"/>
    <x v="13"/>
    <n v="51882"/>
    <s v="Hopper System*Collection*Lifting Mechanism*Cylinder, Hyd, Collection Dr (w/Clevis)"/>
    <x v="98"/>
    <s v="Y"/>
    <n v="1"/>
    <s v="Cylinder, Hyd, Collection Dr (w/Clevis)"/>
    <s v="Hopper System*Collection*Lifting Mechanism*Cylinder, Hyd, Collection Dr (w/Clevis)"/>
    <n v="1"/>
    <s v="143-03-11249"/>
    <s v="Gldd Dwg "/>
    <n v="1"/>
  </r>
  <r>
    <s v="0142"/>
    <x v="13"/>
    <n v="1100001959"/>
    <s v="Bowthruster*Bowthruster Engine (CAT D379)*AIR CLEANER GROUP*Turbocharger Assembly"/>
    <x v="96"/>
    <s v="Y"/>
    <n v="1"/>
    <s v="Turbocharger Assembly"/>
    <s v="Bowthruster*Bowthruster Engine (CAT D379)*AIR CLEANER GROUP*Turbocharger Assembly"/>
    <n v="0"/>
    <s v="2S-2489"/>
    <s v="Caterpillar"/>
    <n v="5"/>
  </r>
  <r>
    <s v="0142"/>
    <x v="13"/>
    <n v="2400000082"/>
    <s v="Generators*Port Genset*Generator, (600 KW)*Generator, 600 KW*Voltage Regulator"/>
    <x v="4"/>
    <s v="Y"/>
    <n v="1"/>
    <s v="Voltage Regulator"/>
    <s v="Generators*Port Genset*Generator, (600 KW)*Generator, 600 KW*Voltage Regulator"/>
    <n v="0"/>
    <s v="SR4A2B15B38"/>
    <s v="KATO"/>
    <n v="2"/>
  </r>
  <r>
    <s v="0142"/>
    <x v="13"/>
    <n v="2400000831"/>
    <s v="Hopper System*Bottom Dump*Hydraulic Unit (Closing System)*Hydraulic Pumps*Hydraulic HP Pump, Bottom Dump"/>
    <x v="98"/>
    <s v="Y"/>
    <n v="1"/>
    <s v="Hydraulic HP Pump, Bottom Dump"/>
    <s v="Hopper System*Bottom Dump*Hydraulic Unit (Closing System)*Hydraulic Pumps*Hydraulic HP Pump, Bottom Dump"/>
    <n v="0"/>
    <s v="PV07-020-51R-04"/>
    <s v="DENISON"/>
    <n v="1"/>
  </r>
  <r>
    <s v="0142"/>
    <x v="13"/>
    <n v="3600000070"/>
    <s v="Pump, Dredge (Stbd)*Dredge Pump (Stbd)*Washer, Impeller (Copper)"/>
    <x v="99"/>
    <s v="Y"/>
    <n v="4"/>
    <s v="Washer, Impeller (Copper)"/>
    <s v="Pump, Dredge (Stbd)*Dredge Pump (Stbd)*Washer, Impeller (Copper)"/>
    <n v="0"/>
    <s v="B-4555"/>
    <s v="SPI/MPMW"/>
    <n v="2"/>
  </r>
  <r>
    <s v="0142"/>
    <x v="13"/>
    <n v="4300000045"/>
    <s v="Bowthruster*Bowthruster Engine (CAT D379)*Cylinder Head &amp; Valve Mech*Kit, Head Gasket"/>
    <x v="96"/>
    <s v="Y"/>
    <n v="2"/>
    <s v="Kit, Head Gasket"/>
    <s v="Bowthruster*Bowthruster Engine (CAT D379)*Cylinder Head &amp; Valve Mech*Kit, Head Gasket"/>
    <n v="0"/>
    <s v="6V-5468"/>
    <s v="Caterpillar"/>
    <n v="5"/>
  </r>
  <r>
    <s v="0142"/>
    <x v="13"/>
    <n v="4600000226"/>
    <s v="Pump, Dredge (Port)*Dredge Pump (Port)*Stuffing Box (D/P)*Stuffing Box, Split"/>
    <x v="82"/>
    <s v="Y"/>
    <n v="1"/>
    <s v="Stuffing Box, Split"/>
    <s v="Pump, Dredge (Port)*Dredge Pump (Port)*Stuffing Box (D/P)*Stuffing Box, Split"/>
    <n v="1"/>
    <s v="C-1302"/>
    <s v="SPI/MPMW"/>
    <n v="2"/>
  </r>
  <r>
    <s v="0142"/>
    <x v="13"/>
    <n v="4900000046"/>
    <s v="Piping (Dredge)*A) Draghead to Trunnion (Port)*AP06) Trunnion Slide Assembly*Trunnion Seat/ Wear Ring, Inboard"/>
    <x v="80"/>
    <s v="Y"/>
    <n v="1"/>
    <s v="Trunnion Seat/ Wear Ring, Inboard"/>
    <s v="Piping (Dredge)*A) Draghead to Trunnion (Port)*AP06) Trunnion Slide Assembly*Trunnion Seat/ Wear Ring, Inboard"/>
    <n v="1"/>
    <s v="B-4563"/>
    <s v="MOBILE PULLEY"/>
    <n v="2"/>
  </r>
  <r>
    <s v="0142"/>
    <x v="13"/>
    <n v="4900000068"/>
    <s v="Dragarm Hoisting*Deck Sheaves*Sheave, Deck, 22&quot; (Complete Assembly)"/>
    <x v="97"/>
    <s v="Y"/>
    <n v="3"/>
    <s v="Sheave, Deck, 22&quot; (Complete Assembly)"/>
    <s v="Dragarm Hoisting*Deck Sheaves*Sheave, Deck, 22&quot; (Complete Assembly)"/>
    <n v="1"/>
    <s v="141-04-5039 r5"/>
    <s v="Gldd Dwg "/>
    <n v="1"/>
  </r>
  <r>
    <s v="0142"/>
    <x v="13"/>
    <n v="4900000086"/>
    <s v="Hopper System*Overflow*Cylinder, Hydraulic (CRC-1286)*Pin, Skimmer Cylinder"/>
    <x v="98"/>
    <s v="Y"/>
    <n v="1"/>
    <s v="Pin, Skimmer Cylinder"/>
    <s v="Hopper System*Overflow*Cylinder, Hydraulic (CRC-1286)*Pin, Skimmer Cylinder"/>
    <n v="0"/>
    <s v="140-03-11255r3"/>
    <s v="Gldd Dwg "/>
    <n v="1"/>
  </r>
  <r>
    <s v="0142"/>
    <x v="13"/>
    <n v="4900000120"/>
    <s v="Hopper System*Overflow*Skimmer Tube (Stbd)*Seal, Skimmer Overflow"/>
    <x v="98"/>
    <s v="Y"/>
    <n v="1"/>
    <s v="Seal, Skimmer Overflow"/>
    <s v="Hopper System*Overflow*Skimmer Tube (Stbd)*Seal, Skimmer Overflow"/>
    <n v="2"/>
    <s v="144-07-6594"/>
    <s v="GLDD DWG"/>
    <n v="2"/>
  </r>
  <r>
    <s v="0142"/>
    <x v="13"/>
    <n v="4900000149"/>
    <s v="Piping (Dredge)*Discharge Piping (24&quot;)*Discharge Box (Port)*Suction/Discharge Fitting*Coupling, Victaulic, 30&quot;"/>
    <x v="80"/>
    <s v="Y"/>
    <n v="1"/>
    <s v="Coupling, Victaulic, 30&quot;"/>
    <s v="Piping (Dredge)*Discharge Piping (24&quot;)*Discharge Box (Port)*Suction/Discharge Fitting*Coupling, Victaulic, 30&quot;"/>
    <n v="1"/>
    <s v="30&quot;"/>
    <s v="SPI MOBILE PULLEY"/>
    <n v="3"/>
  </r>
  <r>
    <s v="0142"/>
    <x v="13"/>
    <n v="4900000183"/>
    <s v="Piping (Jet Water)*Jet Hoses*Hose, Jet, 8&quot; X 38'"/>
    <x v="100"/>
    <s v="Y"/>
    <n v="1"/>
    <s v="Hose, Jet, 8&quot; X 38'"/>
    <s v="Piping (Jet Water)*Jet Hoses*Hose, Jet, 8&quot; X 38'"/>
    <n v="1"/>
    <m/>
    <m/>
    <n v="1"/>
  </r>
  <r>
    <s v="0142"/>
    <x v="13"/>
    <n v="4900000187"/>
    <s v="Piping (Jet Water)*Jet Hoses*Jet Hose, 8&quot; X 13' 8&quot;"/>
    <x v="100"/>
    <s v="Y"/>
    <n v="1"/>
    <s v="Jet Hose, 8&quot; X 13' 8&quot;"/>
    <s v="Piping (Jet Water)*Jet Hoses*Jet Hose, 8&quot; X 13' 8&quot;"/>
    <n v="2"/>
    <m/>
    <m/>
    <n v="1"/>
  </r>
  <r>
    <s v="0142"/>
    <x v="13"/>
    <n v="4900000357"/>
    <s v="Hopper System*Overflow*Cylinder, Hydraulic (CRC-1286)*Bushing, Skimmer Cylinder"/>
    <x v="98"/>
    <s v="Y"/>
    <n v="2"/>
    <s v="Bushing, Skimmer Cylinder"/>
    <s v="Hopper System*Overflow*Cylinder, Hydraulic (CRC-1286)*Bushing, Skimmer Cylinder"/>
    <n v="0"/>
    <s v="140-143-03-11255"/>
    <s v="GLDD DWG"/>
    <n v="1"/>
  </r>
  <r>
    <s v="0142"/>
    <x v="13"/>
    <n v="4900000577"/>
    <s v="Bowthruster*Bowthruster Engine (CAT D379)*Line, Fuel Line (379 or 398)"/>
    <x v="96"/>
    <s v="Y"/>
    <n v="1"/>
    <s v="Line, Fuel Line (379 or 398)"/>
    <s v="Bowthruster*Bowthruster Engine (CAT D379)*Line, Fuel Line (379 or 398)"/>
    <n v="0"/>
    <s v="2W-0510"/>
    <s v="Caterpillar"/>
    <n v="5"/>
  </r>
  <r>
    <s v="0142"/>
    <x v="13"/>
    <n v="4900000578"/>
    <s v="Bowthruster*Bowthruster Engine (CAT D379)*Line, Fuel Oil (379 or 398)"/>
    <x v="96"/>
    <s v="Y"/>
    <n v="1"/>
    <s v="Line, Fuel Oil (379 or 398)"/>
    <s v="Bowthruster*Bowthruster Engine (CAT D379)*Line, Fuel Oil (379 or 398)"/>
    <n v="0"/>
    <s v="2W-0512"/>
    <s v="Caterpillar"/>
    <n v="5"/>
  </r>
  <r>
    <s v="0142"/>
    <x v="13"/>
    <n v="4900000723"/>
    <s v="Bowthruster*Bowthruster Engine (CAT D379)*Shaft"/>
    <x v="96"/>
    <s v="Y"/>
    <n v="1"/>
    <s v="Shaft"/>
    <s v="Bowthruster*Bowthruster Engine (CAT D379)*Shaft"/>
    <n v="16"/>
    <s v="7L-7576"/>
    <s v="Caterpillar"/>
    <n v="5"/>
  </r>
  <r>
    <s v="0142"/>
    <x v="13"/>
    <n v="4900000739"/>
    <s v="Bowthruster*Bowthruster Engine (CAT D379)*Lube Oil Pump Assembly"/>
    <x v="96"/>
    <s v="Y"/>
    <n v="1"/>
    <s v="Lube Oil Pump Assembly"/>
    <s v="Bowthruster*Bowthruster Engine (CAT D379)*Lube Oil Pump Assembly"/>
    <n v="0"/>
    <s v="8N-2743"/>
    <s v="Caterpillar"/>
    <n v="5"/>
  </r>
  <r>
    <s v="0142"/>
    <x v="13"/>
    <n v="6400000007"/>
    <s v="Bowthruster*Bowthruster Engine (CAT D379)*Gasket, Fuel Oil Pump"/>
    <x v="96"/>
    <s v="Y"/>
    <n v="1"/>
    <s v="Gasket, Fuel Oil Pump"/>
    <s v="Bowthruster*Bowthruster Engine (CAT D379)*Gasket, Fuel Oil Pump"/>
    <n v="9"/>
    <s v="3N-1348"/>
    <s v="Caterpillar"/>
    <n v="5"/>
  </r>
  <r>
    <s v="0142"/>
    <x v="13"/>
    <n v="6700000240"/>
    <s v="Bowthruster*Bowthruster Engine (CAT D379)*Cylinder Pack-Liner"/>
    <x v="96"/>
    <s v="Y"/>
    <n v="1"/>
    <s v="Cylinder Pack-Liner"/>
    <s v="Bowthruster*Bowthruster Engine (CAT D379)*Cylinder Pack-Liner"/>
    <n v="2"/>
    <s v="OR-3037"/>
    <s v="Caterpillar"/>
    <n v="5"/>
  </r>
  <r>
    <s v="0142"/>
    <x v="13"/>
    <n v="7000000010"/>
    <s v="Piping (Dredge)*Valves (27&quot;)*Valve, 27&quot; (Cargo)*Hydraulic Cylinder, 27&quot; Valve"/>
    <x v="80"/>
    <s v="Y"/>
    <n v="1"/>
    <s v="Hydraulic Cylinder, 27&quot; Valve"/>
    <s v="Piping (Dredge)*Valves (27&quot;)*Valve, 27&quot; (Cargo)*Hydraulic Cylinder, 27&quot; Valve"/>
    <n v="1"/>
    <s v="03-21838 r2"/>
    <s v="GLDD DWG"/>
    <n v="1"/>
  </r>
  <r>
    <s v="0142"/>
    <x v="13"/>
    <n v="7100001138"/>
    <s v="Piping (Dredge)*Discharge Piping (24&quot;)*Discharge Box (Port)*Dragarm*Dragarm Lifting Padeye"/>
    <x v="80"/>
    <s v="Y"/>
    <n v="1"/>
    <s v="Dragarm Lifting Padeye"/>
    <s v="Piping (Dredge)*Discharge Piping (24&quot;)*Discharge Box (Port)*Dragarm*Dragarm Lifting Padeye"/>
    <n v="1"/>
    <s v="142-02-0205 REV 1"/>
    <s v="GLDD DWG"/>
    <n v="3"/>
  </r>
  <r>
    <s v="0142"/>
    <x v="13"/>
    <n v="7100001165"/>
    <s v="Bowthruster*Bowthruster Engine (CAT D379)*Cylinder Head &amp; Valve Mech*Arm Assembly (Exhaust)"/>
    <x v="96"/>
    <s v="Y"/>
    <n v="1"/>
    <s v="Arm Assembly (Exhaust)"/>
    <s v="Bowthruster*Bowthruster Engine (CAT D379)*Cylinder Head &amp; Valve Mech*Arm Assembly (Exhaust)"/>
    <n v="0"/>
    <s v="4H-9811"/>
    <s v="Caterpillar"/>
    <n v="5"/>
  </r>
  <r>
    <s v="0142"/>
    <x v="13"/>
    <n v="7100001166"/>
    <s v="Bowthruster*Bowthruster Engine (CAT D379)*Cylinder Head &amp; Valve Mech*Arm Assembly (Intake)"/>
    <x v="96"/>
    <s v="Y"/>
    <n v="1"/>
    <s v="Arm Assembly (Intake)"/>
    <s v="Bowthruster*Bowthruster Engine (CAT D379)*Cylinder Head &amp; Valve Mech*Arm Assembly (Intake)"/>
    <n v="0"/>
    <s v="4L-3855"/>
    <s v="Caterpillar"/>
    <n v="5"/>
  </r>
  <r>
    <s v="0142"/>
    <x v="13"/>
    <n v="9800000178"/>
    <s v="Bowthruster*Bowthruster Engine (CAT D379)*Line, Fuel Oil (379 or 398)"/>
    <x v="96"/>
    <s v="Y"/>
    <n v="1"/>
    <s v="Line, Fuel Oil (379 or 398)"/>
    <s v="Bowthruster*Bowthruster Engine (CAT D379)*Line, Fuel Oil (379 or 398)"/>
    <n v="0"/>
    <s v="2W-0509"/>
    <s v="Caterpillar"/>
    <n v="5"/>
  </r>
  <r>
    <s v="0142"/>
    <x v="13"/>
    <n v="9800000179"/>
    <s v="Bowthruster*Bowthruster Engine (CAT D379)*Line, Fuel Oil (379 or 398)"/>
    <x v="96"/>
    <s v="Y"/>
    <n v="1"/>
    <s v="Line, Fuel Oil (379 or 398)"/>
    <s v="Bowthruster*Bowthruster Engine (CAT D379)*Line, Fuel Oil (379 or 398)"/>
    <n v="0"/>
    <s v="2W-0511"/>
    <s v="Caterpillar"/>
    <n v="5"/>
  </r>
  <r>
    <s v="0142"/>
    <x v="13"/>
    <n v="13500002109"/>
    <s v="Bowthruster*Bowthruster Engine (CAT D379)*Line, Fuel Oil (379 or 398)"/>
    <x v="96"/>
    <s v="Y"/>
    <n v="1"/>
    <s v="Line, Fuel Oil (379 or 398)"/>
    <s v="Bowthruster*Bowthruster Engine (CAT D379)*Line, Fuel Oil (379 or 398)"/>
    <n v="0"/>
    <s v="2W-0506"/>
    <s v="Caterpillar"/>
    <n v="5"/>
  </r>
  <r>
    <s v="0142"/>
    <x v="13"/>
    <n v="13500002218"/>
    <s v="Propulsion*Gearbox (Port)*Clutch (Port) (35CM500)*Drum, Clutch, Forward Drive"/>
    <x v="101"/>
    <s v="Y"/>
    <n v="1"/>
    <s v="Drum, Clutch, Forward Drive"/>
    <s v="Propulsion*Gearbox (Port)*Clutch (Port) (35CM500)*Drum, Clutch, Forward Drive"/>
    <n v="1"/>
    <s v="512241"/>
    <s v="Eaton"/>
    <n v="2"/>
  </r>
  <r>
    <s v="0142"/>
    <x v="13"/>
    <n v="13500002219"/>
    <s v="Propulsion*Gearbox (Port)*Clutch (Port) (35CM500)*Drum, Clutch, Reverse Drive"/>
    <x v="101"/>
    <s v="Y"/>
    <n v="1"/>
    <s v="Drum, Clutch, Reverse Drive"/>
    <s v="Propulsion*Gearbox (Port)*Clutch (Port) (35CM500)*Drum, Clutch, Reverse Drive"/>
    <n v="1"/>
    <s v="512242"/>
    <s v="Eaton"/>
    <n v="2"/>
  </r>
  <r>
    <s v="0142"/>
    <x v="13"/>
    <n v="13500002308"/>
    <s v="Pump, Dredge (Port)*Dredge Pump (Port)*Stuffing Box (D/P)*Sleeve, Shaft (D/P)"/>
    <x v="82"/>
    <s v="Y"/>
    <n v="1"/>
    <s v="Sleeve, Shaft (D/P)"/>
    <s v="Pump, Dredge (Port)*Dredge Pump (Port)*Stuffing Box (D/P)*Sleeve, Shaft (D/P)"/>
    <n v="1"/>
    <s v="A-3681 Item 26"/>
    <s v="MOBILE PULLEY"/>
    <n v="2"/>
  </r>
  <r>
    <s v="0142"/>
    <x v="13"/>
    <n v="14500000639"/>
    <s v="Bowthruster*Bowthruster Engine (CAT D379)*AFTERCOOLER CONN. GROUP*Core Assembly"/>
    <x v="96"/>
    <s v="Y"/>
    <n v="1"/>
    <s v="Core Assembly"/>
    <s v="Bowthruster*Bowthruster Engine (CAT D379)*AFTERCOOLER CONN. GROUP*Core Assembly"/>
    <n v="0"/>
    <s v="3N-4363"/>
    <s v="Caterpillar"/>
    <n v="5"/>
  </r>
  <r>
    <s v="0142"/>
    <x v="13"/>
    <n v="14500000930"/>
    <s v="Dragarm Hoisting*Trunnion Davit (Port)*Jet Hose Reel (Port)*Swivel, Stang, 8&quot; X 9&quot;"/>
    <x v="97"/>
    <s v="Y"/>
    <n v="1"/>
    <s v="Swivel, Stang, 8&quot; X 9&quot;"/>
    <s v="Dragarm Hoisting*Trunnion Davit (Port)*Jet Hose Reel (Port)*Swivel, Stang, 8&quot; X 9&quot;"/>
    <n v="0"/>
    <s v="PSM-0200"/>
    <s v="PADGETT &amp; SWANN"/>
    <n v="2"/>
  </r>
  <r>
    <s v="0142"/>
    <x v="13"/>
    <n v="18000000045"/>
    <s v="Propulsion*Gearbox (Port)*Clutch (Port) (35CM500)*Clutch, 35CM500"/>
    <x v="101"/>
    <s v="Y"/>
    <n v="1"/>
    <s v="Clutch, 35CM500"/>
    <s v="Propulsion*Gearbox (Port)*Clutch (Port) (35CM500)*Clutch, 35CM500"/>
    <n v="2"/>
    <s v="35CM500"/>
    <s v="Eaton"/>
    <n v="2"/>
  </r>
  <r>
    <s v="0142"/>
    <x v="13"/>
    <n v="18000000046"/>
    <s v="Propulsion*Gearbox (Port)*Clutch (Port) (35CM500)*Seal, Rotary Air"/>
    <x v="101"/>
    <s v="Y"/>
    <n v="2"/>
    <s v="Seal, Rotary Air"/>
    <s v="Propulsion*Gearbox (Port)*Clutch (Port) (35CM500)*Seal, Rotary Air"/>
    <n v="3"/>
    <s v="1115-130-002"/>
    <s v="DEUBLIN COMPANY"/>
    <n v="2"/>
  </r>
  <r>
    <s v="0142"/>
    <x v="13"/>
    <n v="27900001778"/>
    <s v="Bowthruster*Bowthruster Engine (CAT D379)*D-398 OVERHAUL (IN-FRAME)*Cylinder Heads"/>
    <x v="96"/>
    <s v="Y"/>
    <n v="2"/>
    <s v="Cylinder Heads"/>
    <s v="Bowthruster*Bowthruster Engine (CAT D379)*D-398 OVERHAUL (IN-FRAME)*Cylinder Heads"/>
    <n v="2"/>
    <s v="OR-2669"/>
    <s v="Caterpillar"/>
    <n v="5"/>
  </r>
  <r>
    <s v="0142"/>
    <x v="13"/>
    <n v="45000002989"/>
    <s v="Hopper System*Overflow*Skimmer Tube (Stbd)*Skimmer Screen, Flat (New Style)"/>
    <x v="98"/>
    <s v="Y"/>
    <n v="2"/>
    <s v="Skimmer Screen, Flat (New Style)"/>
    <s v="Hopper System*Overflow*Skimmer Tube (Stbd)*Skimmer Screen, Flat (New Style)"/>
    <n v="0"/>
    <s v="141-143-03-36231"/>
    <s v="Gldd Dwg "/>
    <n v="2"/>
  </r>
  <r>
    <s v="0142"/>
    <x v="13"/>
    <n v="45000019751"/>
    <s v="Dragarm Hoisting*Trunnion Davit (Port)*Jet Hose Reel (Port)*Hydraulic Motor, Hose Reel*Motor, Hose Reel (New)"/>
    <x v="97"/>
    <s v="Y"/>
    <n v="1"/>
    <s v="Motor, Hose Reel (New)"/>
    <s v="Dragarm Hoisting*Trunnion Davit (Port)*Jet Hose Reel (Port)*Hydraulic Motor, Hose Reel*Motor, Hose Reel (New)"/>
    <n v="0"/>
    <s v="MS18-1-111-R18-2A10-E000"/>
    <s v="POCLAIN"/>
    <n v="2"/>
  </r>
  <r>
    <s v="0142"/>
    <x v="13"/>
    <n v="45000021593"/>
    <s v="Dragarm Hoisting*Trunnion Davit (Port)*Jet Hose Reel (Port)*Pinion Gear, New Style Gear, Splined ID"/>
    <x v="97"/>
    <s v="Y"/>
    <n v="1"/>
    <s v="Pinion Gear, New Style Gear, Splined ID"/>
    <s v="Dragarm Hoisting*Trunnion Davit (Port)*Jet Hose Reel (Port)*Pinion Gear, New Style Gear, Splined ID"/>
    <n v="0"/>
    <s v="3DP, 34T 5480 DIN BORE"/>
    <s v="P&amp;G MACHINE"/>
    <n v="2"/>
  </r>
  <r>
    <s v="0142"/>
    <x v="13"/>
    <n v="45000022114"/>
    <s v="Piping (Dredge)*Hardware*Coupling, Victaulic, Style 41 (30&quot;)"/>
    <x v="80"/>
    <s v="Y"/>
    <n v="1"/>
    <s v="Coupling, Victaulic, Style 41 (30&quot;)"/>
    <s v="Piping (Dredge)*Hardware*Coupling, Victaulic, Style 41 (30&quot;)"/>
    <n v="2"/>
    <s v="Style 41 (30&quot;)"/>
    <s v="VICTAULIC"/>
    <n v="1"/>
  </r>
  <r>
    <s v="0142"/>
    <x v="13"/>
    <n v="45000022115"/>
    <s v="Piping (Dredge)*Hardware*Gasket, Victaulic Coupling, Style 41"/>
    <x v="80"/>
    <s v="Y"/>
    <n v="2"/>
    <s v="Gasket, Victaulic Coupling, Style 41"/>
    <s v="Piping (Dredge)*Hardware*Gasket, Victaulic Coupling, Style 41"/>
    <n v="3"/>
    <m/>
    <m/>
    <n v="1"/>
  </r>
  <r>
    <s v="0142"/>
    <x v="13"/>
    <n v="45000023451"/>
    <s v="Piping (Dredge)*Valves (27&quot;)*Valve, 27&quot; (Cargo)*Valve Body, 27&quot;*Gasket, Square 1/2&quot; X 1/2&quot;"/>
    <x v="80"/>
    <s v="Y"/>
    <n v="50"/>
    <s v="Gasket, Square 1/2&quot; X 1/2&quot;"/>
    <s v="Piping (Dredge)*Valves (27&quot;)*Valve, 27&quot; (Cargo)*Valve Body, 27&quot;*Gasket, Square 1/2&quot; X 1/2&quot;"/>
    <n v="0"/>
    <m/>
    <m/>
    <n v="1"/>
  </r>
  <r>
    <s v="0142"/>
    <x v="13"/>
    <n v="45000032894"/>
    <s v="Electrical*UPS*FERRUPS 3.1 KVA, FE/QFE UPS (Automation)*Battery, UPS"/>
    <x v="61"/>
    <s v="Y"/>
    <n v="1"/>
    <s v="Battery, UPS"/>
    <s v="Electrical*UPS*FERRUPS 3.1 KVA, FE/QFE UPS (Automation)*Battery, UPS"/>
    <n v="0"/>
    <s v="BAT-0103"/>
    <s v="Eaton"/>
    <n v="1"/>
  </r>
  <r>
    <s v="0142"/>
    <x v="13"/>
    <n v="45000032895"/>
    <s v="Electrical*UPS*Battery, Ups (Navigation)"/>
    <x v="61"/>
    <s v="Y"/>
    <n v="2"/>
    <s v="Battery, Ups (Navigation)"/>
    <s v="Electrical*UPS*Battery, Ups (Navigation)"/>
    <n v="0"/>
    <s v="UB12750"/>
    <s v="UNIVERSAL POWER"/>
    <n v="1"/>
  </r>
  <r>
    <s v="0142"/>
    <x v="13"/>
    <n v="54000000929"/>
    <s v="Dragarm Hoisting*Deck Sheaves*Sheave 22&quot; (Bearing Type)*Pin, Deck Sheave"/>
    <x v="97"/>
    <s v="Y"/>
    <n v="2"/>
    <s v="Pin, Deck Sheave"/>
    <s v="Dragarm Hoisting*Deck Sheaves*Sheave 22&quot; (Bearing Type)*Pin, Deck Sheave"/>
    <n v="5"/>
    <m/>
    <m/>
    <n v="1"/>
  </r>
  <r>
    <s v="0142"/>
    <x v="13"/>
    <n v="60400000870"/>
    <s v="Generators*Port Genset*Generator, (600 KW)*Generator, 600 KW*Diodes-Forward Bias"/>
    <x v="4"/>
    <s v="Y"/>
    <n v="3"/>
    <s v="Diodes-Forward Bias"/>
    <s v="Generators*Port Genset*Generator, (600 KW)*Generator, 600 KW*Diodes-Forward Bias"/>
    <n v="6"/>
    <s v="85035904-40"/>
    <s v="KATO"/>
    <n v="2"/>
  </r>
  <r>
    <s v="0142"/>
    <x v="13"/>
    <n v="60400000871"/>
    <s v="Generators*Port Genset*Generator, (600 KW)*Generator, 600 KW*Diodes-Reverse Bias"/>
    <x v="4"/>
    <s v="Y"/>
    <n v="3"/>
    <s v="Diodes-Reverse Bias"/>
    <s v="Generators*Port Genset*Generator, (600 KW)*Generator, 600 KW*Diodes-Reverse Bias"/>
    <n v="6"/>
    <s v="85035904-50"/>
    <s v="KATO"/>
    <n v="2"/>
  </r>
  <r>
    <s v="0142"/>
    <x v="13"/>
    <n v="60400003745"/>
    <s v="Electrical*Panels/Consoles*Drag Tender Console*Joystick, Dragarm Winches"/>
    <x v="61"/>
    <s v="Y"/>
    <n v="1"/>
    <s v="Joystick, Dragarm Winches"/>
    <s v="Electrical*Panels/Consoles*Drag Tender Console*Joystick, Dragarm Winches"/>
    <n v="4"/>
    <s v="MS4M11635"/>
    <s v="OEM"/>
    <n v="1"/>
  </r>
  <r>
    <s v="0142"/>
    <x v="13"/>
    <n v="60400006198"/>
    <s v="Hopper System*Overflow*Cylinder, Hydraulic (CRC-1286)*Cylinder, Hydraulic, Skimmer"/>
    <x v="98"/>
    <s v="Y"/>
    <n v="1"/>
    <s v="Cylinder, Hydraulic, Skimmer"/>
    <s v="Hopper System*Overflow*Cylinder, Hydraulic (CRC-1286)*Cylinder, Hydraulic, Skimmer"/>
    <n v="1"/>
    <s v="CRC-1286"/>
    <s v="CRC"/>
    <n v="1"/>
  </r>
  <r>
    <s v="0142"/>
    <x v="13"/>
    <n v="60400006898"/>
    <s v="Piping (Dredge)*Bow Coupling (700 MM)*Seal, Item # 6, Bell Gasket"/>
    <x v="80"/>
    <s v="Y"/>
    <n v="3"/>
    <s v="Seal, Item # 6, Bell Gasket"/>
    <s v="Piping (Dredge)*Bow Coupling (700 MM)*Seal, Item # 6, Bell Gasket"/>
    <n v="7"/>
    <s v="SFQ57517"/>
    <s v="Synaflex"/>
    <n v="1"/>
  </r>
  <r>
    <s v="0142"/>
    <x v="13"/>
    <n v="60400006899"/>
    <s v="Piping (Dredge)*Bow Coupling (700 MM)*Seal, Item #5, Probe Seal"/>
    <x v="80"/>
    <s v="Y"/>
    <n v="8"/>
    <s v="Seal, Item #5, Probe Seal"/>
    <s v="Piping (Dredge)*Bow Coupling (700 MM)*Seal, Item #5, Probe Seal"/>
    <n v="0"/>
    <m/>
    <m/>
    <n v="1"/>
  </r>
  <r>
    <s v="0142"/>
    <x v="13"/>
    <n v="66200009774"/>
    <s v="Propulsion*Main Engine (Port) (EMD 645)*Power Packs (PP9)*Blade Rod Pack (NRE 1042)"/>
    <x v="101"/>
    <s v="Y"/>
    <n v="1"/>
    <s v="Blade Rod Pack (NRE 1042)"/>
    <s v="Propulsion*Main Engine (Port) (EMD 645)*Power Packs (PP9)*Blade Rod Pack (NRE 1042)"/>
    <n v="2"/>
    <s v="40028343NRE"/>
    <s v="NRE Power Systems Inc."/>
    <n v="2"/>
  </r>
  <r>
    <s v="0142"/>
    <x v="13"/>
    <n v="66200009775"/>
    <s v="Propulsion*Main Engine (Port) (EMD 645)*Power Packs (PP9)*Fork Rod Pack (NRE 1042)"/>
    <x v="101"/>
    <s v="Y"/>
    <n v="1"/>
    <s v="Fork Rod Pack (NRE 1042)"/>
    <s v="Propulsion*Main Engine (Port) (EMD 645)*Power Packs (PP9)*Fork Rod Pack (NRE 1042)"/>
    <n v="1"/>
    <s v="40028344NRE"/>
    <s v="NRE Power Systems Inc."/>
    <n v="2"/>
  </r>
  <r>
    <s v="0142"/>
    <x v="13"/>
    <n v="66200009776"/>
    <s v="Propulsion*Main Engine (Port) (EMD 645)*Fuel Injectors (IN5)*Injector, Fuel (NRE 1042)"/>
    <x v="101"/>
    <s v="Y"/>
    <n v="12"/>
    <s v="Injector, Fuel (NRE 1042)"/>
    <s v="Propulsion*Main Engine (Port) (EMD 645)*Fuel Injectors (IN5)*Injector, Fuel (NRE 1042)"/>
    <n v="12"/>
    <s v="NRE1011-R"/>
    <s v="NRE Power Systems Inc."/>
    <n v="2"/>
  </r>
  <r>
    <s v="0143"/>
    <x v="14"/>
    <n v="1495"/>
    <s v="Hopper System*Bottom Dump*Hopper Seal*Hydraulic Pumps*Hydraulic Pilot Pump,  Bottom Dump"/>
    <x v="98"/>
    <s v="Y"/>
    <n v="1"/>
    <s v="Hydraulic Pilot Pump,  Bottom Dump"/>
    <s v="Hopper System*Bottom Dump*Hopper Seal*Hydraulic Pumps*Hydraulic Pilot Pump,  Bottom Dump"/>
    <n v="0"/>
    <s v="V101P4P1C10"/>
    <s v="VICKERS"/>
    <n v="1"/>
  </r>
  <r>
    <s v="0143"/>
    <x v="14"/>
    <n v="1497"/>
    <s v="Hopper System*Bottom Dump*Hopper Seal*Hydraulic Pumps*Hydraulic Pilot Pump,  Bottom Dump*Motor, Bottom Dump, 2 HP"/>
    <x v="98"/>
    <s v="Y"/>
    <n v="1"/>
    <s v="Motor, Bottom Dump, 2 HP"/>
    <s v="Hopper System*Bottom Dump*Hopper Seal*Hydraulic Pumps*Hydraulic Pilot Pump,  Bottom Dump*Motor, Bottom Dump, 2 HP"/>
    <n v="0"/>
    <s v="5N802"/>
    <s v="Grainger"/>
    <n v="1"/>
  </r>
  <r>
    <s v="0143"/>
    <x v="14"/>
    <n v="1508"/>
    <s v="Hopper System*Bottom Dump*Hopper Seal*Hydraulic Pumps*Hydraulic HP Pump, Bottom Dump*Motor, Bottom Dump, 50 HP"/>
    <x v="98"/>
    <s v="Y"/>
    <n v="1"/>
    <s v="Motor, Bottom Dump, 50 HP"/>
    <s v="Hopper System*Bottom Dump*Hopper Seal*Hydraulic Pumps*Hydraulic HP Pump, Bottom Dump*Motor, Bottom Dump, 50 HP"/>
    <n v="0"/>
    <s v="5N832"/>
    <s v="Grainger"/>
    <n v="1"/>
  </r>
  <r>
    <s v="0143"/>
    <x v="14"/>
    <n v="7833"/>
    <s v="Bowthruster*Bowthruster Engine (CAT D379)*Line, Fuel Oil (398)"/>
    <x v="96"/>
    <s v="Y"/>
    <n v="1"/>
    <s v="Line, Fuel Oil (398)"/>
    <s v="Bowthruster*Bowthruster Engine (CAT D379)*Line, Fuel Oil (398)"/>
    <n v="0"/>
    <s v="2W-0504"/>
    <s v="Caterpillar"/>
    <n v="3"/>
  </r>
  <r>
    <s v="0143"/>
    <x v="14"/>
    <n v="7834"/>
    <s v="Bowthruster*Bowthruster Engine (CAT D379)*Line, Fuel Oil (398)"/>
    <x v="96"/>
    <s v="Y"/>
    <n v="1"/>
    <s v="Line, Fuel Oil (398)"/>
    <s v="Bowthruster*Bowthruster Engine (CAT D379)*Line, Fuel Oil (398)"/>
    <n v="1"/>
    <s v="2W-0502"/>
    <s v="Caterpillar"/>
    <n v="3"/>
  </r>
  <r>
    <s v="0143"/>
    <x v="14"/>
    <n v="7837"/>
    <s v="Bowthruster*Bowthruster Engine (CAT D379)*Line, Fuel Oil (398)"/>
    <x v="96"/>
    <s v="Y"/>
    <n v="1"/>
    <s v="Line, Fuel Oil (398)"/>
    <s v="Bowthruster*Bowthruster Engine (CAT D379)*Line, Fuel Oil (398)"/>
    <n v="1"/>
    <s v="2W-0501"/>
    <s v="Caterpillar"/>
    <n v="3"/>
  </r>
  <r>
    <s v="0143"/>
    <x v="14"/>
    <n v="7838"/>
    <s v="Bowthruster*Bowthruster Engine (CAT D379)*Line, Fuel Oil (398)"/>
    <x v="96"/>
    <s v="Y"/>
    <n v="1"/>
    <s v="Line, Fuel Oil (398)"/>
    <s v="Bowthruster*Bowthruster Engine (CAT D379)*Line, Fuel Oil (398)"/>
    <n v="0"/>
    <s v="2W-0503"/>
    <s v="Caterpillar"/>
    <n v="3"/>
  </r>
  <r>
    <s v="0143"/>
    <x v="14"/>
    <n v="7842"/>
    <s v="Bowthruster*Bowthruster Engine (CAT D379)*Line, Fuel Oil (398)"/>
    <x v="96"/>
    <s v="Y"/>
    <n v="1"/>
    <s v="Line, Fuel Oil (398)"/>
    <s v="Bowthruster*Bowthruster Engine (CAT D379)*Line, Fuel Oil (398)"/>
    <n v="0"/>
    <s v="2W-0507"/>
    <s v="Caterpillar"/>
    <n v="3"/>
  </r>
  <r>
    <s v="0143"/>
    <x v="14"/>
    <n v="7843"/>
    <s v="Bowthruster*Bowthruster Engine (CAT D379)*Line, Fuel Oil (398)"/>
    <x v="96"/>
    <s v="Y"/>
    <n v="1"/>
    <s v="Line, Fuel Oil (398)"/>
    <s v="Bowthruster*Bowthruster Engine (CAT D379)*Line, Fuel Oil (398)"/>
    <n v="1"/>
    <s v="2W-0505"/>
    <s v="Caterpillar"/>
    <n v="3"/>
  </r>
  <r>
    <s v="0143"/>
    <x v="14"/>
    <n v="7844"/>
    <s v="Bowthruster*Bowthruster Engine (CAT D379)*Line, Fuel Oil (398)"/>
    <x v="96"/>
    <s v="Y"/>
    <n v="1"/>
    <s v="Line, Fuel Oil (398)"/>
    <s v="Bowthruster*Bowthruster Engine (CAT D379)*Line, Fuel Oil (398)"/>
    <n v="0"/>
    <s v="2W-0508"/>
    <s v="Caterpillar"/>
    <n v="3"/>
  </r>
  <r>
    <s v="0143"/>
    <x v="14"/>
    <n v="43790"/>
    <s v="Electrical*Automation System*Automation Cabinets*MODULE, REMOTE I/O"/>
    <x v="61"/>
    <s v="Y"/>
    <n v="1"/>
    <s v="MODULE, REMOTE I/O"/>
    <s v="Electrical*Automation System*Automation Cabinets*MODULE, REMOTE I/O"/>
    <n v="1"/>
    <s v="96218071 D01"/>
    <s v="ALLEN-BRADLEY"/>
    <n v="1"/>
  </r>
  <r>
    <s v="0143"/>
    <x v="14"/>
    <n v="43791"/>
    <s v="Electrical*Automation System*Automation Cabinets*MODULE, 120V AC POWER"/>
    <x v="61"/>
    <s v="Y"/>
    <n v="1"/>
    <s v="MODULE, 120V AC POWER"/>
    <s v="Electrical*Automation System*Automation Cabinets*MODULE, 120V AC POWER"/>
    <n v="1"/>
    <s v="96219271 BO1"/>
    <s v="ALLEN-BRADLEY"/>
    <n v="1"/>
  </r>
  <r>
    <s v="0143"/>
    <x v="14"/>
    <n v="43793"/>
    <s v="Electrical*Automation System*Automation Cabinets*MODULE, ELECT. CONTACT"/>
    <x v="61"/>
    <s v="Y"/>
    <n v="1"/>
    <s v="MODULE, ELECT. CONTACT"/>
    <s v="Electrical*Automation System*Automation Cabinets*MODULE, ELECT. CONTACT"/>
    <n v="1"/>
    <s v="96110073 D01"/>
    <s v="ALLEN-BRADLEY"/>
    <n v="1"/>
  </r>
  <r>
    <s v="0143"/>
    <x v="14"/>
    <n v="43795"/>
    <s v="Electrical*Automation System*Automation Cabinets*MODULE, ANALOG INPUT"/>
    <x v="61"/>
    <s v="Y"/>
    <n v="1"/>
    <s v="MODULE, ANALOG INPUT"/>
    <s v="Electrical*Automation System*Automation Cabinets*MODULE, ANALOG INPUT"/>
    <n v="3"/>
    <s v="96188672 F01"/>
    <s v="ALLEN-BRADLEY"/>
    <n v="1"/>
  </r>
  <r>
    <s v="0143"/>
    <x v="14"/>
    <n v="43796"/>
    <s v="Electrical*Automation System*Automation Cabinets*MODULE, RTD INPUT"/>
    <x v="61"/>
    <s v="Y"/>
    <n v="1"/>
    <s v="MODULE, RTD INPUT"/>
    <s v="Electrical*Automation System*Automation Cabinets*MODULE, RTD INPUT"/>
    <n v="2"/>
    <s v="9627278 A01"/>
    <s v="ALLEN-BRADLEY"/>
    <n v="1"/>
  </r>
  <r>
    <s v="0143"/>
    <x v="14"/>
    <n v="43798"/>
    <s v="Electrical*Automation System*Automation Cabinets*MODULE, AC OUTPUT"/>
    <x v="61"/>
    <s v="Y"/>
    <n v="1"/>
    <s v="MODULE, AC OUTPUT"/>
    <s v="Electrical*Automation System*Automation Cabinets*MODULE, AC OUTPUT"/>
    <n v="2"/>
    <s v="96234271 CO1"/>
    <s v="ALLEN-BRADLEY"/>
    <n v="1"/>
  </r>
  <r>
    <s v="0143"/>
    <x v="14"/>
    <n v="1100001959"/>
    <s v="Bowthruster*Bowthruster Engine (CAT D379)*AIR CLEANER GROUP*Turbocharger Assembly"/>
    <x v="96"/>
    <s v="Y"/>
    <n v="1"/>
    <s v="Turbocharger Assembly"/>
    <s v="Bowthruster*Bowthruster Engine (CAT D379)*AIR CLEANER GROUP*Turbocharger Assembly"/>
    <n v="0"/>
    <s v="2S-2489"/>
    <s v="Caterpillar"/>
    <n v="3"/>
  </r>
  <r>
    <s v="0143"/>
    <x v="14"/>
    <n v="1100002891"/>
    <s v="Bowthruster*Bowthruster Engine (CAT D379)*FUEL INJ. VLVS. &amp; LINES G &gt;&gt;*Injector Body"/>
    <x v="96"/>
    <s v="Y"/>
    <n v="6"/>
    <s v="Injector Body"/>
    <s v="Bowthruster*Bowthruster Engine (CAT D379)*FUEL INJ. VLVS. &amp; LINES G &gt;&gt;*Injector Body"/>
    <n v="0"/>
    <s v="7M-4603"/>
    <s v="Caterpillar"/>
    <n v="3"/>
  </r>
  <r>
    <s v="0143"/>
    <x v="14"/>
    <n v="2400000082"/>
    <s v="Generators*Genset (Port)*Generator, 600 KW*Generator, 600 KW*Voltage Regulator"/>
    <x v="4"/>
    <s v="Y"/>
    <n v="1"/>
    <s v="Voltage Regulator"/>
    <s v="Generators*Genset (Port)*Generator, 600 KW*Generator, 600 KW*Voltage Regulator"/>
    <n v="0"/>
    <s v="SR4A2B15B38"/>
    <s v="KATO"/>
    <n v="2"/>
  </r>
  <r>
    <s v="0143"/>
    <x v="14"/>
    <n v="2400000757"/>
    <s v="Compressed Air*Air Compressor (Port)*Motor, Air Compressor (30 HP)"/>
    <x v="79"/>
    <s v="Y"/>
    <n v="1"/>
    <s v="Motor, Air Compressor (30 HP)"/>
    <s v="Compressed Air*Air Compressor (Port)*Motor, Air Compressor (30 HP)"/>
    <n v="0"/>
    <s v="5KS2860PA4JB4D8"/>
    <s v="General Electric"/>
    <n v="1"/>
  </r>
  <r>
    <s v="0143"/>
    <x v="14"/>
    <n v="2400000831"/>
    <s v="Hopper System*Bottom Dump*Hopper Seal*Hydraulic Pumps*Hydraulic HP Pump, Bottom Dump"/>
    <x v="98"/>
    <s v="Y"/>
    <n v="1"/>
    <s v="Hydraulic HP Pump, Bottom Dump"/>
    <s v="Hopper System*Bottom Dump*Hopper Seal*Hydraulic Pumps*Hydraulic HP Pump, Bottom Dump"/>
    <n v="0"/>
    <s v="PV07-020-51R-04"/>
    <s v="DENISON"/>
    <n v="1"/>
  </r>
  <r>
    <s v="0143"/>
    <x v="14"/>
    <n v="3600000070"/>
    <s v="Pump, Dredge (Stbd)*Dredge Pump (Stbd)*Washer, Impeller (Copper)"/>
    <x v="99"/>
    <s v="Y"/>
    <n v="2"/>
    <s v="Washer, Impeller (Copper)"/>
    <s v="Pump, Dredge (Stbd)*Dredge Pump (Stbd)*Washer, Impeller (Copper)"/>
    <n v="0"/>
    <s v="B-4555"/>
    <s v="SPI/MPMW"/>
    <n v="2"/>
  </r>
  <r>
    <s v="0143"/>
    <x v="14"/>
    <n v="4300000045"/>
    <s v="Bowthruster*Bowthruster Engine (CAT D379)*Cylinder Head &amp; Valve Mech*Kit, Head Gasket"/>
    <x v="96"/>
    <s v="Y"/>
    <n v="1"/>
    <s v="Kit, Head Gasket"/>
    <s v="Bowthruster*Bowthruster Engine (CAT D379)*Cylinder Head &amp; Valve Mech*Kit, Head Gasket"/>
    <n v="0"/>
    <s v="6V-5468"/>
    <s v="Caterpillar"/>
    <n v="3"/>
  </r>
  <r>
    <s v="0143"/>
    <x v="14"/>
    <n v="4600000226"/>
    <s v="Pump, Dredge (Port)*Dredge Pump (Port)*Stuffing Box (D/P)*Stuffing Box, Split"/>
    <x v="82"/>
    <s v="Y"/>
    <n v="1"/>
    <s v="Stuffing Box, Split"/>
    <s v="Pump, Dredge (Port)*Dredge Pump (Port)*Stuffing Box (D/P)*Stuffing Box, Split"/>
    <n v="2"/>
    <s v="C-1302"/>
    <s v="SPI/MPMW"/>
    <n v="2"/>
  </r>
  <r>
    <s v="0143"/>
    <x v="14"/>
    <n v="4900000068"/>
    <s v="Dragarm Hoisting*Deck Sheaves*Sheave, Deck, 22&quot; (Complete Assembly)"/>
    <x v="97"/>
    <s v="Y"/>
    <n v="1"/>
    <s v="Sheave, Deck, 22&quot; (Complete Assembly)"/>
    <s v="Dragarm Hoisting*Deck Sheaves*Sheave, Deck, 22&quot; (Complete Assembly)"/>
    <n v="0"/>
    <s v="141-04-5039 r5"/>
    <s v="Gldd Dwg "/>
    <n v="1"/>
  </r>
  <r>
    <s v="0143"/>
    <x v="14"/>
    <n v="4900000086"/>
    <s v="Hopper System*Overflow*Cylinder Hydraulic (CRC-1286)*Pin, Skimmer Cylinder"/>
    <x v="98"/>
    <s v="Y"/>
    <n v="1"/>
    <s v="Pin, Skimmer Cylinder"/>
    <s v="Hopper System*Overflow*Cylinder Hydraulic (CRC-1286)*Pin, Skimmer Cylinder"/>
    <n v="0"/>
    <s v="140-03-11255r3"/>
    <s v="Gldd Dwg "/>
    <n v="1"/>
  </r>
  <r>
    <s v="0143"/>
    <x v="14"/>
    <n v="4900000120"/>
    <s v="Hopper System*Overflow*Skimmer Tube (Stbd)*Seal, Skimmer Overflow"/>
    <x v="98"/>
    <s v="Y"/>
    <n v="1"/>
    <s v="Seal, Skimmer Overflow"/>
    <s v="Hopper System*Overflow*Skimmer Tube (Stbd)*Seal, Skimmer Overflow"/>
    <n v="0"/>
    <s v="144-07-6594"/>
    <s v="GLDD DWG"/>
    <n v="2"/>
  </r>
  <r>
    <s v="0143"/>
    <x v="14"/>
    <n v="4900000357"/>
    <s v="Hopper System*Overflow*Cylinder Hydraulic (CRC-1286)*Bushing, Skimmer Cylinder"/>
    <x v="98"/>
    <s v="Y"/>
    <n v="2"/>
    <s v="Bushing, Skimmer Cylinder"/>
    <s v="Hopper System*Overflow*Cylinder Hydraulic (CRC-1286)*Bushing, Skimmer Cylinder"/>
    <n v="0"/>
    <s v="140-143-03-11255"/>
    <s v="GLDD DWG"/>
    <n v="1"/>
  </r>
  <r>
    <s v="0143"/>
    <x v="14"/>
    <n v="4900000576"/>
    <s v="Bowthruster*Bowthruster Engine (CAT D379)*Line, Fuel Line (379 or 398)"/>
    <x v="96"/>
    <s v="Y"/>
    <n v="1"/>
    <s v="Line, Fuel Line (379 or 398)"/>
    <s v="Bowthruster*Bowthruster Engine (CAT D379)*Line, Fuel Line (379 or 398)"/>
    <n v="0"/>
    <s v="2W-0050"/>
    <s v="Caterpillar"/>
    <n v="3"/>
  </r>
  <r>
    <s v="0143"/>
    <x v="14"/>
    <n v="4900000577"/>
    <s v="Bowthruster*Bowthruster Engine (CAT D379)*Line, Fuel Line (379 or 398)"/>
    <x v="96"/>
    <s v="Y"/>
    <n v="1"/>
    <s v="Line, Fuel Line (379 or 398)"/>
    <s v="Bowthruster*Bowthruster Engine (CAT D379)*Line, Fuel Line (379 or 398)"/>
    <n v="1"/>
    <s v="2W-0510"/>
    <s v="Caterpillar"/>
    <n v="3"/>
  </r>
  <r>
    <s v="0143"/>
    <x v="14"/>
    <n v="4900000578"/>
    <s v="Bowthruster*Bowthruster Engine (CAT D379)*Line, Fuel Oil (379 or 398)"/>
    <x v="96"/>
    <s v="Y"/>
    <n v="1"/>
    <s v="Line, Fuel Oil (379 or 398)"/>
    <s v="Bowthruster*Bowthruster Engine (CAT D379)*Line, Fuel Oil (379 or 398)"/>
    <n v="1"/>
    <s v="2W-0512"/>
    <s v="Caterpillar"/>
    <n v="3"/>
  </r>
  <r>
    <s v="0143"/>
    <x v="14"/>
    <n v="4900000630"/>
    <s v="Bowthruster*Bowthruster Engine (CAT D379)*Pump, Jacket Water"/>
    <x v="96"/>
    <s v="Y"/>
    <n v="1"/>
    <s v="Pump, Jacket Water"/>
    <s v="Bowthruster*Bowthruster Engine (CAT D379)*Pump, Jacket Water"/>
    <n v="0"/>
    <s v="JW-0398  (4L8808)"/>
    <s v="Caterpillar"/>
    <n v="3"/>
  </r>
  <r>
    <s v="0143"/>
    <x v="14"/>
    <n v="4900000739"/>
    <s v="Bowthruster*Bowthruster Engine (CAT D379)*Lube Oil Pump Assembly"/>
    <x v="96"/>
    <s v="Y"/>
    <n v="1"/>
    <s v="Lube Oil Pump Assembly"/>
    <s v="Bowthruster*Bowthruster Engine (CAT D379)*Lube Oil Pump Assembly"/>
    <n v="1"/>
    <s v="8N-2743"/>
    <s v="Caterpillar"/>
    <n v="3"/>
  </r>
  <r>
    <s v="0143"/>
    <x v="14"/>
    <n v="6400000007"/>
    <s v="Bowthruster*Bowthruster Engine (CAT D379)*Gasket, Fuel Oil Pump"/>
    <x v="96"/>
    <s v="Y"/>
    <n v="1"/>
    <s v="Gasket, Fuel Oil Pump"/>
    <s v="Bowthruster*Bowthruster Engine (CAT D379)*Gasket, Fuel Oil Pump"/>
    <n v="0"/>
    <s v="3N-1348"/>
    <s v="Caterpillar"/>
    <n v="3"/>
  </r>
  <r>
    <s v="0143"/>
    <x v="14"/>
    <n v="6700000240"/>
    <s v="Bowthruster*Bowthruster Engine (CAT D379)*Cylinder Pack-Liner"/>
    <x v="96"/>
    <s v="Y"/>
    <n v="1"/>
    <s v="Cylinder Pack-Liner"/>
    <s v="Bowthruster*Bowthruster Engine (CAT D379)*Cylinder Pack-Liner"/>
    <n v="1"/>
    <s v="OR-3037"/>
    <s v="Caterpillar"/>
    <n v="3"/>
  </r>
  <r>
    <s v="0143"/>
    <x v="14"/>
    <n v="7100001165"/>
    <s v="Bowthruster*Bowthruster Engine (CAT D379)*Cylinder Head &amp; Valve Mech*Arm Assembly (Exhaust)"/>
    <x v="96"/>
    <s v="Y"/>
    <n v="1"/>
    <s v="Arm Assembly (Exhaust)"/>
    <s v="Bowthruster*Bowthruster Engine (CAT D379)*Cylinder Head &amp; Valve Mech*Arm Assembly (Exhaust)"/>
    <n v="0"/>
    <s v="4H-9811"/>
    <s v="Caterpillar"/>
    <n v="3"/>
  </r>
  <r>
    <s v="0143"/>
    <x v="14"/>
    <n v="7100001166"/>
    <s v="Bowthruster*Bowthruster Engine (CAT D379)*Cylinder Head &amp; Valve Mech*Arm Assembly (Intake)"/>
    <x v="96"/>
    <s v="Y"/>
    <n v="1"/>
    <s v="Arm Assembly (Intake)"/>
    <s v="Bowthruster*Bowthruster Engine (CAT D379)*Cylinder Head &amp; Valve Mech*Arm Assembly (Intake)"/>
    <n v="0"/>
    <s v="4L-3855"/>
    <s v="Caterpillar"/>
    <n v="3"/>
  </r>
  <r>
    <s v="0143"/>
    <x v="14"/>
    <n v="7600011304"/>
    <s v="Bowthruster*Lower Unit (Brunvoll)*Lower Unit (Brunvoll)"/>
    <x v="96"/>
    <s v="Y"/>
    <n v="1"/>
    <s v="Lower Unit (Brunvoll)"/>
    <s v="Bowthruster*Lower Unit (Brunvoll)*Lower Unit (Brunvoll)"/>
    <n v="0"/>
    <s v="SPZ-AP"/>
    <s v="BRUNVOLL"/>
    <n v="1"/>
  </r>
  <r>
    <s v="0143"/>
    <x v="14"/>
    <n v="9800000178"/>
    <s v="Bowthruster*Bowthruster Engine (CAT D379)*Line, Fuel Oil (379 or 398)"/>
    <x v="96"/>
    <s v="Y"/>
    <n v="1"/>
    <s v="Line, Fuel Oil (379 or 398)"/>
    <s v="Bowthruster*Bowthruster Engine (CAT D379)*Line, Fuel Oil (379 or 398)"/>
    <n v="0"/>
    <s v="2W-0509"/>
    <s v="Caterpillar"/>
    <n v="3"/>
  </r>
  <r>
    <s v="0143"/>
    <x v="14"/>
    <n v="9800000179"/>
    <s v="Bowthruster*Bowthruster Engine (CAT D379)*Line, Fuel Oil (379 or 398)"/>
    <x v="96"/>
    <s v="Y"/>
    <n v="1"/>
    <s v="Line, Fuel Oil (379 or 398)"/>
    <s v="Bowthruster*Bowthruster Engine (CAT D379)*Line, Fuel Oil (379 or 398)"/>
    <n v="1"/>
    <s v="2W-0511"/>
    <s v="Caterpillar"/>
    <n v="3"/>
  </r>
  <r>
    <s v="0143"/>
    <x v="14"/>
    <n v="12100000005"/>
    <s v="Dragarm Hoisting*Swell Compensator*Hydraulic Cylinder, Swell Compensator*Cylinder, Hydraulic, Swell Compensator"/>
    <x v="97"/>
    <s v="Y"/>
    <n v="1"/>
    <s v="Cylinder, Hydraulic, Swell Compensator"/>
    <s v="Dragarm Hoisting*Swell Compensator*Hydraulic Cylinder, Swell Compensator*Cylinder, Hydraulic, Swell Compensator"/>
    <n v="0"/>
    <s v="C5212SK-NOPAK"/>
    <s v="SHEFFER"/>
    <n v="1"/>
  </r>
  <r>
    <s v="0143"/>
    <x v="14"/>
    <n v="13000000120"/>
    <s v="Dragarm Hoisting*Trunnion Davit (Port)*Jet Hose Reel (Port)*Gear, Hose Reel"/>
    <x v="97"/>
    <s v="Y"/>
    <n v="1"/>
    <s v="Gear, Hose Reel"/>
    <s v="Dragarm Hoisting*Trunnion Davit (Port)*Jet Hose Reel (Port)*Gear, Hose Reel"/>
    <n v="0"/>
    <s v="142-04-0461"/>
    <s v="Gldd Dwg "/>
    <n v="2"/>
  </r>
  <r>
    <s v="0143"/>
    <x v="14"/>
    <n v="13500002109"/>
    <s v="Bowthruster*Bowthruster Engine (CAT D379)*Line, Fuel Oil (379 or 398)"/>
    <x v="96"/>
    <s v="Y"/>
    <n v="1"/>
    <s v="Line, Fuel Oil (379 or 398)"/>
    <s v="Bowthruster*Bowthruster Engine (CAT D379)*Line, Fuel Oil (379 or 398)"/>
    <n v="1"/>
    <s v="2W-0506"/>
    <s v="Caterpillar"/>
    <n v="3"/>
  </r>
  <r>
    <s v="0143"/>
    <x v="14"/>
    <n v="13500002308"/>
    <s v="Pump, Dredge (Port)*Dredge Pump (Port)*Stuffing Box (D/P)*Sleeve, Shaft (D/P)"/>
    <x v="82"/>
    <s v="Y"/>
    <n v="1"/>
    <s v="Sleeve, Shaft (D/P)"/>
    <s v="Pump, Dredge (Port)*Dredge Pump (Port)*Stuffing Box (D/P)*Sleeve, Shaft (D/P)"/>
    <n v="0"/>
    <s v="A-3681 Item 26"/>
    <s v="MOBILE PULLEY"/>
    <n v="2"/>
  </r>
  <r>
    <s v="0143"/>
    <x v="14"/>
    <n v="14500000639"/>
    <s v="Bowthruster*Bowthruster Engine (CAT D379)*AFTERCOOLER CONN. GROUP*Core Assembly"/>
    <x v="96"/>
    <s v="Y"/>
    <n v="1"/>
    <s v="Core Assembly"/>
    <s v="Bowthruster*Bowthruster Engine (CAT D379)*AFTERCOOLER CONN. GROUP*Core Assembly"/>
    <n v="0"/>
    <s v="3N-4363"/>
    <s v="Caterpillar"/>
    <n v="3"/>
  </r>
  <r>
    <s v="0143"/>
    <x v="14"/>
    <n v="27900001798"/>
    <s v="Bowthruster*Bowthruster Engine (CAT D379)*D-398 OVERHAUL (IN-FRAME)*Bearing, Rod"/>
    <x v="96"/>
    <s v="Y"/>
    <n v="1"/>
    <s v="Bearing, Rod"/>
    <s v="Bowthruster*Bowthruster Engine (CAT D379)*D-398 OVERHAUL (IN-FRAME)*Bearing, Rod"/>
    <n v="0"/>
    <s v="8N-7769"/>
    <s v="Caterpillar"/>
    <n v="3"/>
  </r>
  <r>
    <s v="0143"/>
    <x v="14"/>
    <n v="45000019751"/>
    <s v="Dragarm Hoisting*Trunnion Davit (Port)*Jet Hose Reel (Port)*Hydraulic Motor, Hose Reel*Motor, Hose Reel (New)"/>
    <x v="97"/>
    <s v="Y"/>
    <n v="1"/>
    <s v="Motor, Hose Reel (New)"/>
    <s v="Dragarm Hoisting*Trunnion Davit (Port)*Jet Hose Reel (Port)*Hydraulic Motor, Hose Reel*Motor, Hose Reel (New)"/>
    <n v="0"/>
    <s v="MS18-1-111-R18-2A10-E000"/>
    <s v="POCLAIN"/>
    <n v="2"/>
  </r>
  <r>
    <s v="0143"/>
    <x v="14"/>
    <n v="45000020494"/>
    <s v="Bilge/Ballast*Ballast Pump Set (#1) (Stbd) (P/R)*Pump, Magnum I*Coupling*Coupling"/>
    <x v="83"/>
    <s v="Y"/>
    <n v="1"/>
    <s v="Coupling"/>
    <s v="Bilge/Ballast*Ballast Pump Set (#1) (Stbd) (P/R)*Pump, Magnum I*Coupling*Coupling"/>
    <n v="0"/>
    <s v="32ZP57"/>
    <s v="Grainger"/>
    <n v="1"/>
  </r>
  <r>
    <s v="0143"/>
    <x v="14"/>
    <n v="45000020496"/>
    <s v="Bilge/Ballast*Ballast Pump Set (#1) (Stbd) (P/R)*Motor (40 HP)*Motor, 40 HP (Marathon Electric)"/>
    <x v="83"/>
    <s v="Y"/>
    <n v="1"/>
    <s v="Motor, 40 HP (Marathon Electric)"/>
    <s v="Bilge/Ballast*Ballast Pump Set (#1) (Stbd) (P/R)*Motor (40 HP)*Motor, 40 HP (Marathon Electric)"/>
    <n v="1"/>
    <m/>
    <m/>
    <n v="1"/>
  </r>
  <r>
    <s v="0143"/>
    <x v="14"/>
    <n v="45000020560"/>
    <s v="Dragarm Hoisting*Draghead Winch (Port)*Motor (Electric) (60 HP)*Motor, DH Winch, 60 HP"/>
    <x v="97"/>
    <s v="Y"/>
    <n v="1"/>
    <s v="Motor, DH Winch, 60 HP"/>
    <s v="Dragarm Hoisting*Draghead Winch (Port)*Motor (Electric) (60 HP)*Motor, DH Winch, 60 HP"/>
    <n v="0"/>
    <s v="1138082001"/>
    <s v="PACEMAKER"/>
    <n v="1"/>
  </r>
  <r>
    <s v="0143"/>
    <x v="14"/>
    <n v="45000020561"/>
    <s v="Dragarm Hoisting*Draghead Winch (Port)*Motor (Hydraulic)*Hydraulic Motor, DH Winch"/>
    <x v="97"/>
    <s v="Y"/>
    <n v="2"/>
    <s v="Hydraulic Motor, DH Winch"/>
    <s v="Dragarm Hoisting*Draghead Winch (Port)*Motor (Hydraulic)*Hydraulic Motor, DH Winch"/>
    <n v="0"/>
    <s v="23MF"/>
    <s v="Falk"/>
    <n v="1"/>
  </r>
  <r>
    <s v="0143"/>
    <x v="14"/>
    <n v="45000020565"/>
    <s v="Dragarm Hoisting*Gimbal Winch (Port)*Motor (Electric) (30 HP)*Motor, Gimbal Winch, 30 HP"/>
    <x v="97"/>
    <s v="Y"/>
    <n v="1"/>
    <s v="Motor, Gimbal Winch, 30 HP"/>
    <s v="Dragarm Hoisting*Gimbal Winch (Port)*Motor (Electric) (30 HP)*Motor, Gimbal Winch, 30 HP"/>
    <n v="0"/>
    <s v="HHI-30-18-286T"/>
    <s v="CROWN TRITON"/>
    <n v="1"/>
  </r>
  <r>
    <s v="0143"/>
    <x v="14"/>
    <n v="45000021593"/>
    <s v="Dragarm Hoisting*Trunnion Davit (Port)*Jet Hose Reel (Port)*Pinion Gear, New Style Gear, Splined ID"/>
    <x v="97"/>
    <s v="Y"/>
    <n v="1"/>
    <s v="Pinion Gear, New Style Gear, Splined ID"/>
    <s v="Dragarm Hoisting*Trunnion Davit (Port)*Jet Hose Reel (Port)*Pinion Gear, New Style Gear, Splined ID"/>
    <n v="0"/>
    <s v="3DP, 34T 5480 DIN BORE"/>
    <s v="P&amp;G MACHINE"/>
    <n v="2"/>
  </r>
  <r>
    <s v="0143"/>
    <x v="14"/>
    <n v="45000021754"/>
    <s v="Fuel Oil Transfer*Fuel Oil Transfer Pump Set (Port)*FUEL OIL TRANSFER PUMP SET (COMPLETE)"/>
    <x v="81"/>
    <s v="Y"/>
    <n v="1"/>
    <s v="FUEL OIL TRANSFER PUMP SET (COMPLETE)"/>
    <s v="Fuel Oil Transfer*Fuel Oil Transfer Pump Set (Port)*FUEL OIL TRANSFER PUMP SET (COMPLETE)"/>
    <n v="0"/>
    <s v="TYPE 1"/>
    <s v="ROPER"/>
    <n v="1"/>
  </r>
  <r>
    <s v="0143"/>
    <x v="14"/>
    <n v="45000021757"/>
    <s v="Fuel Oil Transfer*Fuel Oil Transfer Pump Set (Port)*Motor (3 HP)*Motor, FO Transfer Pump, 3 HP"/>
    <x v="81"/>
    <s v="Y"/>
    <n v="1"/>
    <s v="Motor, FO Transfer Pump, 3 HP"/>
    <s v="Fuel Oil Transfer*Fuel Oil Transfer Pump Set (Port)*Motor (3 HP)*Motor, FO Transfer Pump, 3 HP"/>
    <n v="0"/>
    <s v="3KX01A"/>
    <s v="Dayton"/>
    <n v="1"/>
  </r>
  <r>
    <s v="0143"/>
    <x v="14"/>
    <n v="45000021928"/>
    <s v="Loop Cooling*Freshwater Loop Pump Set (#1)*Motor (25 HP)*Motor, FW Loop Pump, 25 HP"/>
    <x v="102"/>
    <s v="Y"/>
    <n v="1"/>
    <s v="Motor, FW Loop Pump, 25 HP"/>
    <s v="Loop Cooling*Freshwater Loop Pump Set (#1)*Motor (25 HP)*Motor, FW Loop Pump, 25 HP"/>
    <n v="0"/>
    <m/>
    <m/>
    <n v="1"/>
  </r>
  <r>
    <s v="0143"/>
    <x v="14"/>
    <n v="45000021943"/>
    <s v="Steering*Steering System Pump Set (Port)*Motor (25 HP)*Motor, Steering System, 25 HP"/>
    <x v="103"/>
    <s v="Y"/>
    <n v="1"/>
    <s v="Motor, Steering System, 25 HP"/>
    <s v="Steering*Steering System Pump Set (Port)*Motor (25 HP)*Motor, Steering System, 25 HP"/>
    <n v="1"/>
    <s v="284T"/>
    <s v="Baldor"/>
    <n v="1"/>
  </r>
  <r>
    <s v="0143"/>
    <x v="14"/>
    <n v="45000025816"/>
    <s v="Dragarm Hoisting*Trunnion Davit (Port)*Hydraulic Cylinder, Trunnion Davit*Hydraulic Cylinder, Trunnion Davit"/>
    <x v="97"/>
    <s v="Y"/>
    <n v="1"/>
    <s v="Hydraulic Cylinder, Trunnion Davit"/>
    <s v="Dragarm Hoisting*Trunnion Davit (Port)*Hydraulic Cylinder, Trunnion Davit*Hydraulic Cylinder, Trunnion Davit"/>
    <n v="0"/>
    <s v="143-22-0325 (REV 2)-C"/>
    <s v="Gldd Dwg "/>
    <n v="2"/>
  </r>
  <r>
    <s v="0143"/>
    <x v="14"/>
    <n v="45000033336"/>
    <s v="Hydraulic Service System*HPU, Bow Pumpout*Hydraulic Pump*Hydraulic Pump Motor*Motor, HPU, 40 HP"/>
    <x v="104"/>
    <s v="Y"/>
    <n v="1"/>
    <s v="Motor, HPU, 40 HP"/>
    <s v="Hydraulic Service System*HPU, Bow Pumpout*Hydraulic Pump*Hydraulic Pump Motor*Motor, HPU, 40 HP"/>
    <n v="0"/>
    <s v="40CP-1-40-18 40-3-1800-324TC"/>
    <s v="ELEKTRM"/>
    <n v="1"/>
  </r>
  <r>
    <s v="0143"/>
    <x v="14"/>
    <n v="54000000929"/>
    <s v="Dragarm Hoisting*Deck Sheaves*Sheave 22&quot; (Bearing Type)*Pin, Deck Sheave"/>
    <x v="97"/>
    <s v="Y"/>
    <n v="2"/>
    <s v="Pin, Deck Sheave"/>
    <s v="Dragarm Hoisting*Deck Sheaves*Sheave 22&quot; (Bearing Type)*Pin, Deck Sheave"/>
    <n v="6"/>
    <m/>
    <m/>
    <n v="1"/>
  </r>
  <r>
    <s v="0143"/>
    <x v="14"/>
    <n v="60400000870"/>
    <s v="Generators*Genset (Port)*Generator, 600 KW*Generator, 600 KW*Diodes-Forward Bias"/>
    <x v="4"/>
    <s v="Y"/>
    <n v="2"/>
    <s v="Diodes-Forward Bias"/>
    <s v="Generators*Genset (Port)*Generator, 600 KW*Generator, 600 KW*Diodes-Forward Bias"/>
    <n v="0"/>
    <s v="85035904-40"/>
    <s v="KATO"/>
    <n v="2"/>
  </r>
  <r>
    <s v="0143"/>
    <x v="14"/>
    <n v="60400000871"/>
    <s v="Generators*Genset (Port)*Generator, 600 KW*Generator, 600 KW*Diodes-Reverse Bias"/>
    <x v="4"/>
    <s v="Y"/>
    <n v="2"/>
    <s v="Diodes-Reverse Bias"/>
    <s v="Generators*Genset (Port)*Generator, 600 KW*Generator, 600 KW*Diodes-Reverse Bias"/>
    <n v="0"/>
    <s v="85035904-50"/>
    <s v="KATO"/>
    <n v="2"/>
  </r>
  <r>
    <s v="0143"/>
    <x v="14"/>
    <n v="60400006298"/>
    <s v="Dragarm Hoisting*Draghead Winch (Port)*Coupling*Hub, 1070T Steelflex"/>
    <x v="97"/>
    <s v="Y"/>
    <n v="1"/>
    <s v="Hub, 1070T Steelflex"/>
    <s v="Dragarm Hoisting*Draghead Winch (Port)*Coupling*Hub, 1070T Steelflex"/>
    <n v="5"/>
    <s v="704640"/>
    <s v="Falk/Rexnord"/>
    <n v="6"/>
  </r>
  <r>
    <s v="0143"/>
    <x v="14"/>
    <n v="60400006299"/>
    <s v="Dragarm Hoisting*Draghead Winch (Port)*Coupling*Cover/ Grid Assembly, 1070T10"/>
    <x v="97"/>
    <s v="Y"/>
    <n v="1"/>
    <s v="Cover/ Grid Assembly, 1070T10"/>
    <s v="Dragarm Hoisting*Draghead Winch (Port)*Coupling*Cover/ Grid Assembly, 1070T10"/>
    <n v="5"/>
    <s v="775809"/>
    <s v="Falk/Rexnord"/>
    <n v="6"/>
  </r>
  <r>
    <s v="0143"/>
    <x v="14"/>
    <n v="60400006300"/>
    <s v="Dragarm Hoisting*Draghead Winch (Port)*Coupling*Hub, 1070T, Steelflex (Gearbox Side)"/>
    <x v="97"/>
    <s v="Y"/>
    <n v="1"/>
    <s v="Hub, 1070T, Steelflex (Gearbox Side)"/>
    <s v="Dragarm Hoisting*Draghead Winch (Port)*Coupling*Hub, 1070T, Steelflex (Gearbox Side)"/>
    <n v="5"/>
    <s v="7404642"/>
    <s v="Falk/Rexnord"/>
    <n v="6"/>
  </r>
  <r>
    <s v="0143"/>
    <x v="14"/>
    <n v="62400002376"/>
    <s v="Piping (Dredge)*X Piping: Suction/Discharge*Elbow (30 Deg)"/>
    <x v="80"/>
    <s v="Y"/>
    <n v="2"/>
    <s v="Elbow (30 Deg)"/>
    <s v="Piping (Dredge)*X Piping: Suction/Discharge*Elbow (30 Deg)"/>
    <n v="0"/>
    <s v="142-03-17636 (Rev 1)"/>
    <s v="Gldd Dwg "/>
    <n v="3"/>
  </r>
  <r>
    <s v="0143"/>
    <x v="14"/>
    <n v="62400002377"/>
    <s v="Piping (Dredge)*X Piping: Suction/Discharge*Elbow (30 Deg)"/>
    <x v="80"/>
    <s v="Y"/>
    <n v="2"/>
    <s v="Elbow (30 Deg)"/>
    <s v="Piping (Dredge)*X Piping: Suction/Discharge*Elbow (30 Deg)"/>
    <n v="0"/>
    <s v="142-03-17636 (Rev 1)"/>
    <s v="Gldd Dwg "/>
    <n v="3"/>
  </r>
  <r>
    <s v="0143"/>
    <x v="14"/>
    <n v="66200004769"/>
    <s v="Electrical*Automation System*RTD, 0-400'F"/>
    <x v="61"/>
    <s v="Y"/>
    <n v="1"/>
    <s v="RTD, 0-400'F"/>
    <s v="Electrical*Automation System*RTD, 0-400'F"/>
    <n v="0"/>
    <s v="40705K35"/>
    <s v="McMaster-Carr"/>
    <n v="1"/>
  </r>
  <r>
    <s v="0143"/>
    <x v="14"/>
    <n v="66200005481"/>
    <s v="Electrical*MCC*Contact, Auxiliary"/>
    <x v="61"/>
    <s v="Y"/>
    <n v="1"/>
    <s v="Contact, Auxiliary"/>
    <s v="Electrical*MCC*Contact, Auxiliary"/>
    <n v="0"/>
    <s v="CR305X300A"/>
    <s v="General Electric"/>
    <n v="1"/>
  </r>
  <r>
    <s v="0143"/>
    <x v="14"/>
    <n v="66200006817"/>
    <s v="Dragarm Hoisting*Draghead Winch (Port)*Motor (Hydraulic)*Hydraulic Motor, DH Winch*A Valve"/>
    <x v="97"/>
    <s v="Y"/>
    <n v="1"/>
    <s v="A Valve"/>
    <s v="Dragarm Hoisting*Draghead Winch (Port)*Motor (Hydraulic)*Hydraulic Motor, DH Winch*A Valve"/>
    <n v="2"/>
    <s v="9510085-6"/>
    <s v="Falk"/>
    <n v="1"/>
  </r>
  <r>
    <s v="0143"/>
    <x v="14"/>
    <n v="66200006818"/>
    <s v="Dragarm Hoisting*Draghead Winch (Stbd)*Motor (Hydraulic)*Hydraulic Motor*A Valve"/>
    <x v="97"/>
    <s v="Y"/>
    <n v="1"/>
    <s v="A Valve"/>
    <s v="Dragarm Hoisting*Draghead Winch (Stbd)*Motor (Hydraulic)*Hydraulic Motor*A Valve"/>
    <n v="1"/>
    <s v="9510085-6"/>
    <s v="Falk"/>
    <n v="1"/>
  </r>
  <r>
    <s v="0143"/>
    <x v="14"/>
    <n v="66200012466"/>
    <s v="Fuel Oil Transfer*Repair Pipe (Fuel Oil Transfer)*Flex Hose, 45&quot; Long"/>
    <x v="81"/>
    <s v="Y"/>
    <n v="1"/>
    <s v="Flex Hose, 45&quot; Long"/>
    <s v="Fuel Oil Transfer*Repair Pipe (Fuel Oil Transfer)*Flex Hose, 45&quot; Long"/>
    <n v="4"/>
    <m/>
    <m/>
    <n v="1"/>
  </r>
  <r>
    <s v="0147"/>
    <x v="15"/>
    <n v="7069"/>
    <s v="Piping (Jet Water)*Jet Water Valves (14&quot;-18&quot;)*Valve, 18&quot;"/>
    <x v="100"/>
    <s v="Y"/>
    <n v="3"/>
    <s v="Valve, 18&quot;"/>
    <s v="Piping (Jet Water)*Jet Water Valves (14&quot;-18&quot;)*Valve, 18&quot;"/>
    <n v="3"/>
    <s v="184356131X"/>
    <s v="Center Line"/>
    <n v="1"/>
  </r>
  <r>
    <s v="0147"/>
    <x v="15"/>
    <n v="8000"/>
    <s v="Piping (Jet Water)*Jet Hoses*Jet Hose, Gimbal"/>
    <x v="100"/>
    <s v="Y"/>
    <n v="1"/>
    <s v="Jet Hose, Gimbal"/>
    <s v="Piping (Jet Water)*Jet Hoses*Jet Hose, Gimbal"/>
    <n v="1"/>
    <m/>
    <m/>
    <n v="1"/>
  </r>
  <r>
    <s v="0147"/>
    <x v="15"/>
    <n v="9548"/>
    <s v="Pump, Dredge (Stbd)*Dredge Pump (Stbd)*Hardware &amp; Gaskets*O-Ring, Shaft Sleeve"/>
    <x v="99"/>
    <s v="Y"/>
    <n v="4"/>
    <s v="O-Ring, Shaft Sleeve"/>
    <s v="Pump, Dredge (Stbd)*Dredge Pump (Stbd)*Hardware &amp; Gaskets*O-Ring, Shaft Sleeve"/>
    <n v="4"/>
    <s v="7710P-47"/>
    <s v="GIW"/>
    <n v="2"/>
  </r>
  <r>
    <s v="0147"/>
    <x v="15"/>
    <n v="10855"/>
    <s v="Pump, Dredge (Stbd)*Dredge Pump (Stbd)*Hardware &amp; Gaskets*Shim, Vibracon"/>
    <x v="99"/>
    <s v="Y"/>
    <n v="1"/>
    <s v="Shim, Vibracon"/>
    <s v="Pump, Dredge (Stbd)*Dredge Pump (Stbd)*Hardware &amp; Gaskets*Shim, Vibracon"/>
    <n v="4"/>
    <s v="SM48SS-ID60"/>
    <s v="VIBRACON"/>
    <n v="2"/>
  </r>
  <r>
    <s v="0147"/>
    <x v="15"/>
    <n v="14182"/>
    <s v="Dragheads*Draghead Wild Dragon*Visor Seal, Top"/>
    <x v="17"/>
    <s v="Y"/>
    <n v="2"/>
    <s v="Visor Seal, Top"/>
    <s v="Dragheads*Draghead Wild Dragon*Visor Seal, Top"/>
    <n v="0"/>
    <s v="147-11-14544 (Item 104)"/>
    <s v="GLDD DWG"/>
    <n v="1"/>
  </r>
  <r>
    <s v="0147"/>
    <x v="15"/>
    <n v="14184"/>
    <s v="Dragheads*Draghead Wild Dragon*Wear Block w/Nozzle (Weld On)"/>
    <x v="17"/>
    <s v="Y"/>
    <n v="10"/>
    <s v="Wear Block w/Nozzle (Weld On)"/>
    <s v="Dragheads*Draghead Wild Dragon*Wear Block w/Nozzle (Weld On)"/>
    <n v="0"/>
    <s v="56211719"/>
    <s v="IHC STOCK CODE"/>
    <n v="1"/>
  </r>
  <r>
    <s v="0147"/>
    <x v="15"/>
    <n v="14186"/>
    <s v="Dragheads*Draghead Wild Dragon*Wear Block w/o Nozzle (Weld On)"/>
    <x v="17"/>
    <s v="Y"/>
    <n v="5"/>
    <s v="Wear Block w/o Nozzle (Weld On)"/>
    <s v="Dragheads*Draghead Wild Dragon*Wear Block w/o Nozzle (Weld On)"/>
    <n v="0"/>
    <s v="100406493"/>
    <s v="IHC STOCK CODE"/>
    <n v="1"/>
  </r>
  <r>
    <s v="0147"/>
    <x v="15"/>
    <n v="25344"/>
    <s v="Pump, Dredge (Port)*Dredge Pump (Port)*Stuffing Box (D/P)*Impeller Release Ring Kit (13&quot; Hub)"/>
    <x v="82"/>
    <s v="Y"/>
    <n v="1"/>
    <s v="Impeller Release Ring Kit (13&quot; Hub)"/>
    <s v="Pump, Dredge (Port)*Dredge Pump (Port)*Stuffing Box (D/P)*Impeller Release Ring Kit (13&quot; Hub)"/>
    <n v="1"/>
    <s v="0912X (13&quot; HUB)"/>
    <s v="GIW"/>
    <n v="2"/>
  </r>
  <r>
    <s v="0147"/>
    <x v="15"/>
    <n v="50546"/>
    <s v="Dragheads*Draghead Wild Dragon*Visor Seal, Side"/>
    <x v="17"/>
    <s v="Y"/>
    <n v="4"/>
    <s v="Visor Seal, Side"/>
    <s v="Dragheads*Draghead Wild Dragon*Visor Seal, Side"/>
    <n v="0"/>
    <s v="147-11-14544 (Item 108)"/>
    <s v="GLDD DWG"/>
    <n v="1"/>
  </r>
  <r>
    <s v="0147"/>
    <x v="15"/>
    <n v="50581"/>
    <s v="Dragheads*Draghead Wild Dragon*Wear Plate, Side, Wild Dragon"/>
    <x v="17"/>
    <s v="Y"/>
    <n v="4"/>
    <s v="Wear Plate, Side, Wild Dragon"/>
    <s v="Dragheads*Draghead Wild Dragon*Wear Plate, Side, Wild Dragon"/>
    <n v="2"/>
    <s v="147-11-24351"/>
    <s v="Gldd Dwg "/>
    <n v="1"/>
  </r>
  <r>
    <s v="0147"/>
    <x v="15"/>
    <n v="7600009145"/>
    <s v="Electrical*Switchboard*Switchboard (Main)*Transducer, AC Current (Multitek)"/>
    <x v="61"/>
    <s v="Y"/>
    <n v="2"/>
    <s v="Transducer, AC Current (Multitek)"/>
    <s v="Electrical*Switchboard*Switchboard (Main)*Transducer, AC Current (Multitek)"/>
    <n v="2"/>
    <s v="M100AL1PE"/>
    <s v="MULTITEK"/>
    <n v="1"/>
  </r>
  <r>
    <s v="0147"/>
    <x v="15"/>
    <n v="7600009148"/>
    <s v="Electrical*Switchboard*Switchboard (Main)*Transducer, Watts (Multitek)"/>
    <x v="61"/>
    <s v="Y"/>
    <n v="2"/>
    <s v="Transducer, Watts (Multitek)"/>
    <s v="Electrical*Switchboard*Switchboard (Main)*Transducer, Watts (Multitek)"/>
    <n v="2"/>
    <s v="M100WA1PEOC"/>
    <s v="MULTITEK"/>
    <n v="1"/>
  </r>
  <r>
    <s v="0147"/>
    <x v="15"/>
    <n v="9200002111"/>
    <s v="Piping (Dredge)*Valves (30&quot;)*Valve, 30&quot;, Complete Assembly"/>
    <x v="80"/>
    <s v="Y"/>
    <n v="2"/>
    <s v="Valve, 30&quot;, Complete Assembly"/>
    <s v="Piping (Dredge)*Valves (30&quot;)*Valve, 30&quot;, Complete Assembly"/>
    <n v="0"/>
    <s v="147-09-0407"/>
    <s v="Gldd Dwg "/>
    <n v="1"/>
  </r>
  <r>
    <s v="0147"/>
    <x v="15"/>
    <n v="12500000692"/>
    <s v="Pump, Jet (Port)*Jet Pump (Port)*Impeller, J/P, 31-3/4&quot; (RH)"/>
    <x v="105"/>
    <s v="Y"/>
    <n v="1"/>
    <s v="Impeller, J/P, 31-3/4&quot; (RH)"/>
    <s v="Pump, Jet (Port)*Jet Pump (Port)*Impeller, J/P, 31-3/4&quot; (RH)"/>
    <n v="1"/>
    <s v="410-1493C-01-0028G"/>
    <s v="GEORGA IRON WORKS"/>
    <n v="2"/>
  </r>
  <r>
    <s v="0147"/>
    <x v="15"/>
    <n v="12500000693"/>
    <s v="Pump, Jet (Port)*Jet Pump (Port)*Liner, Suction Side, J/P"/>
    <x v="105"/>
    <s v="Y"/>
    <n v="1"/>
    <s v="Liner, Suction Side, J/P"/>
    <s v="Pump, Jet (Port)*Jet Pump (Port)*Liner, Suction Side, J/P"/>
    <n v="2"/>
    <s v="0781B"/>
    <s v="GEORGA IRON WORKS"/>
    <n v="2"/>
  </r>
  <r>
    <s v="0147"/>
    <x v="15"/>
    <n v="12500000694"/>
    <s v="Pump, Jet (Port)*Jet Pump (Port)*Stuffing Box"/>
    <x v="105"/>
    <s v="Y"/>
    <n v="1"/>
    <s v="Stuffing Box"/>
    <s v="Pump, Jet (Port)*Jet Pump (Port)*Stuffing Box"/>
    <n v="2"/>
    <s v="616-0694D-02-0000A"/>
    <s v="GEORGA IRON WORKS"/>
    <n v="2"/>
  </r>
  <r>
    <s v="0147"/>
    <x v="15"/>
    <n v="12500000701"/>
    <s v="Pump, Jet (Port)*Jet Pump (Port)*Jet Pump Bearing Assembly (Port)*Bearing Assembly, Jet Pump (Complete)"/>
    <x v="105"/>
    <s v="Y"/>
    <n v="1"/>
    <s v="Bearing Assembly, Jet Pump (Complete)"/>
    <s v="Pump, Jet (Port)*Jet Pump (Port)*Jet Pump Bearing Assembly (Port)*Bearing Assembly, Jet Pump (Complete)"/>
    <n v="0"/>
    <s v="650-0864D-02-0000A"/>
    <s v="GEORGA IRON WORKS"/>
    <n v="2"/>
  </r>
  <r>
    <s v="0147"/>
    <x v="15"/>
    <n v="45000023397"/>
    <s v="Steering*Steering Gear Unit (#1) (Port)*PUMP"/>
    <x v="103"/>
    <s v="Y"/>
    <n v="2"/>
    <s v="PUMP"/>
    <s v="Steering*Steering Gear Unit (#1) (Port)*PUMP"/>
    <n v="2"/>
    <s v="182801-8057"/>
    <s v="LITTON/SPERRY"/>
    <n v="2"/>
  </r>
  <r>
    <s v="0147"/>
    <x v="15"/>
    <n v="45000024414"/>
    <s v="Pump, Dredge (Port)*Gearbox (Port)*Coupling (Rato-S 3111-2400)*Element, Coupling"/>
    <x v="82"/>
    <s v="Y"/>
    <n v="1"/>
    <s v="Element, Coupling"/>
    <s v="Pump, Dredge (Port)*Gearbox (Port)*Coupling (Rato-S 3111-2400)*Element, Coupling"/>
    <n v="9"/>
    <s v="EG3111A003"/>
    <s v="AMERICAN VULKAN CORP."/>
    <n v="2"/>
  </r>
  <r>
    <s v="0147"/>
    <x v="15"/>
    <n v="45000024564"/>
    <s v="Dragheads*Draghead Teeth*Pin, Locking, 20-LP (Dredge Technology)"/>
    <x v="17"/>
    <s v="Y"/>
    <n v="20"/>
    <s v="Pin, Locking, 20-LP (Dredge Technology)"/>
    <s v="Dragheads*Draghead Teeth*Pin, Locking, 20-LP (Dredge Technology)"/>
    <n v="278"/>
    <s v="56524121"/>
    <s v="DREDGE TECHNOLOGY CORPORATION"/>
    <n v="1"/>
  </r>
  <r>
    <s v="0147"/>
    <x v="15"/>
    <n v="45000029106"/>
    <s v="Propulsion*CPP Hydraulic Unit (Port)*Base Plate, Return Filter"/>
    <x v="101"/>
    <s v="Y"/>
    <n v="2"/>
    <s v="Base Plate, Return Filter"/>
    <s v="Propulsion*CPP Hydraulic Unit (Port)*Base Plate, Return Filter"/>
    <n v="4"/>
    <s v="W084833218"/>
    <s v="LIPS"/>
    <n v="2"/>
  </r>
  <r>
    <s v="0147"/>
    <x v="15"/>
    <n v="45100005193"/>
    <s v="Dragheads*Draghead Teeth*Adapter, Weld-On (20-CB-AWN3) (IHC)"/>
    <x v="17"/>
    <s v="Y"/>
    <n v="5"/>
    <s v="Adapter, Weld-On (20-CB-AWN3) (IHC)"/>
    <s v="Dragheads*Draghead Teeth*Adapter, Weld-On (20-CB-AWN3) (IHC)"/>
    <n v="0"/>
    <s v="56524115"/>
    <s v="IHC ARRANGE DWG 50401500"/>
    <n v="1"/>
  </r>
  <r>
    <s v="0147"/>
    <x v="15"/>
    <n v="47100000116"/>
    <s v="Dragheads*Draghead Wild Dragon*Jet Water Nozzle Bolt, Wild Dragon"/>
    <x v="17"/>
    <s v="Y"/>
    <n v="20"/>
    <s v="Jet Water Nozzle Bolt, Wild Dragon"/>
    <s v="Dragheads*Draghead Wild Dragon*Jet Water Nozzle Bolt, Wild Dragon"/>
    <n v="25"/>
    <s v="147-11-24002"/>
    <s v="GLDD DWG"/>
    <n v="1"/>
  </r>
  <r>
    <s v="0147"/>
    <x v="15"/>
    <n v="50800000100"/>
    <s v="Piping (Dredge)*Dragarm (Port)*Suction By-Pass Assembly*HYDRAULIC CYLINDER, BYPASS LOCKING WEDGE"/>
    <x v="80"/>
    <s v="Y"/>
    <n v="1"/>
    <s v="HYDRAULIC CYLINDER, BYPASS LOCKING WEDGE"/>
    <s v="Piping (Dredge)*Dragarm (Port)*Suction By-Pass Assembly*HYDRAULIC CYLINDER, BYPASS LOCKING WEDGE"/>
    <n v="1"/>
    <s v="147-11-21461R6"/>
    <s v="DWG"/>
    <n v="2"/>
  </r>
  <r>
    <s v="0147"/>
    <x v="15"/>
    <n v="60400003240"/>
    <s v="Generators*Harbor Genset*Generator (Harbor)*Speed Control, EPG"/>
    <x v="4"/>
    <s v="Y"/>
    <n v="1"/>
    <s v="Speed Control, EPG"/>
    <s v="Generators*Harbor Genset*Generator (Harbor)*Speed Control, EPG"/>
    <n v="1"/>
    <s v="8290-184"/>
    <s v="GOVERNOR CONTROL SYS, INC."/>
    <n v="1"/>
  </r>
  <r>
    <s v="0147"/>
    <x v="15"/>
    <n v="60400003241"/>
    <s v="Generators*Harbor Genset*Generator (Harbor)*Actuator, EPG 1724"/>
    <x v="4"/>
    <s v="Y"/>
    <n v="1"/>
    <s v="Actuator, EPG 1724"/>
    <s v="Generators*Harbor Genset*Generator (Harbor)*Actuator, EPG 1724"/>
    <n v="1"/>
    <s v="8256-016"/>
    <s v="GOVERNOR CONTROL SYS, INC."/>
    <n v="1"/>
  </r>
  <r>
    <s v="0147"/>
    <x v="15"/>
    <n v="62400002477"/>
    <s v="Piping (Dredge)*Valves (30&quot;)*Hydraulic Cylinder Assembly"/>
    <x v="80"/>
    <s v="Y"/>
    <n v="1"/>
    <s v="Hydraulic Cylinder Assembly"/>
    <s v="Piping (Dredge)*Valves (30&quot;)*Hydraulic Cylinder Assembly"/>
    <n v="1"/>
    <s v="147-09-28629"/>
    <s v="Gldd Dwg "/>
    <n v="1"/>
  </r>
  <r>
    <s v="0147"/>
    <x v="15"/>
    <n v="62400002478"/>
    <s v="Piping (Dredge)*Valves (31.5&quot;)*Hydraulic Cylinder Assembly"/>
    <x v="80"/>
    <s v="Y"/>
    <n v="1"/>
    <s v="Hydraulic Cylinder Assembly"/>
    <s v="Piping (Dredge)*Valves (31.5&quot;)*Hydraulic Cylinder Assembly"/>
    <n v="1"/>
    <s v="147-09-28629"/>
    <s v="Gldd Dwg "/>
    <n v="1"/>
  </r>
  <r>
    <s v="0147"/>
    <x v="15"/>
    <n v="62400008867"/>
    <s v="Propulsion*CPP Hydraulic Unit (Port)*Signal Conditioner"/>
    <x v="101"/>
    <s v="Y"/>
    <n v="4"/>
    <s v="Signal Conditioner"/>
    <s v="Propulsion*CPP Hydraulic Unit (Port)*Signal Conditioner"/>
    <n v="11"/>
    <s v="2810913"/>
    <s v="PHOENIX"/>
    <n v="2"/>
  </r>
  <r>
    <s v="0147"/>
    <x v="15"/>
    <n v="66200005442"/>
    <s v="HVAC*HVAC-Electronics Room*HVAC*HVAC Compressor"/>
    <x v="38"/>
    <s v="Y"/>
    <n v="1"/>
    <s v="HVAC Compressor"/>
    <s v="HVAC*HVAC-Electronics Room*HVAC*HVAC Compressor"/>
    <n v="1"/>
    <s v="ZR57K3-TFD-950"/>
    <s v="ESI"/>
    <n v="1"/>
  </r>
  <r>
    <s v="0147"/>
    <x v="15"/>
    <n v="66200005628"/>
    <s v="Propulsion*Main Engine (Port) (Cat 3612)*LUBRICATION SYSTEM*Oil Cooler (Reman)"/>
    <x v="101"/>
    <s v="Y"/>
    <n v="2"/>
    <s v="Oil Cooler (Reman)"/>
    <s v="Propulsion*Main Engine (Port) (Cat 3612)*LUBRICATION SYSTEM*Oil Cooler (Reman)"/>
    <n v="3"/>
    <s v="OR-5546"/>
    <s v="Caterpillar"/>
    <n v="2"/>
  </r>
  <r>
    <s v="0147"/>
    <x v="15"/>
    <n v="66200005660"/>
    <s v="HVAC*HVAC-ECR*Compressor, 480VAC"/>
    <x v="38"/>
    <s v="Y"/>
    <n v="1"/>
    <s v="Compressor, 480VAC"/>
    <s v="HVAC*HVAC-ECR*Compressor, 480VAC"/>
    <n v="1"/>
    <s v="ZR57K3-TFD-950"/>
    <s v="ESI"/>
    <n v="1"/>
  </r>
  <r>
    <s v="0147"/>
    <x v="15"/>
    <n v="66200005661"/>
    <s v="Electrical*Switchboard*Switchboard (Main)*Transducer, Frequency (Multitek)"/>
    <x v="61"/>
    <s v="Y"/>
    <n v="1"/>
    <s v="Transducer, Frequency (Multitek)"/>
    <s v="Electrical*Switchboard*Switchboard (Main)*Transducer, Frequency (Multitek)"/>
    <n v="6"/>
    <s v="M100FL12"/>
    <s v="ESI"/>
    <n v="1"/>
  </r>
  <r>
    <s v="0147"/>
    <x v="15"/>
    <n v="66200006706"/>
    <s v="Propulsion*Main Engine (Port) (Cat 3612)*FUEL SYSTEM*Fuel Pressure Regulator"/>
    <x v="101"/>
    <s v="Y"/>
    <n v="1"/>
    <s v="Fuel Pressure Regulator"/>
    <s v="Propulsion*Main Engine (Port) (Cat 3612)*FUEL SYSTEM*Fuel Pressure Regulator"/>
    <n v="0"/>
    <s v="419-5687"/>
    <s v="Caterpillar"/>
    <n v="2"/>
  </r>
  <r>
    <s v="0147"/>
    <x v="15"/>
    <n v="66200006713"/>
    <s v="Navigation/Communication*Radar*X-Band 10cm Display*Turning Unit*Power Supply"/>
    <x v="77"/>
    <s v="Y"/>
    <n v="1"/>
    <s v="Power Supply"/>
    <s v="Navigation/Communication*Radar*X-Band 10cm Display*Turning Unit*Power Supply"/>
    <n v="1"/>
    <s v="T65801809-4"/>
    <s v="SPERRY"/>
    <n v="1"/>
  </r>
  <r>
    <s v="0147"/>
    <x v="15"/>
    <n v="66200006714"/>
    <s v="Navigation/Communication*Radar*X-Band 10cm Display*Turning Unit*Modulator PCB"/>
    <x v="77"/>
    <s v="Y"/>
    <n v="1"/>
    <s v="Modulator PCB"/>
    <s v="Navigation/Communication*Radar*X-Band 10cm Display*Turning Unit*Modulator PCB"/>
    <n v="1"/>
    <s v="T65825812-7"/>
    <s v="SPERRY"/>
    <n v="1"/>
  </r>
  <r>
    <s v="0147"/>
    <x v="15"/>
    <n v="66200006715"/>
    <s v="Navigation/Communication*Radar*X-Band 10cm Display*Turning Unit*Magnetron"/>
    <x v="77"/>
    <s v="Y"/>
    <n v="1"/>
    <s v="Magnetron"/>
    <s v="Navigation/Communication*Radar*X-Band 10cm Display*Turning Unit*Magnetron"/>
    <n v="2"/>
    <s v="T91003496-2"/>
    <s v="SPERRY"/>
    <n v="1"/>
  </r>
  <r>
    <s v="0147"/>
    <x v="15"/>
    <n v="66200006716"/>
    <s v="Navigation/Communication*Radar*X-Band 10cm Display*Turning Unit*Belt"/>
    <x v="77"/>
    <s v="Y"/>
    <n v="1"/>
    <s v="Belt"/>
    <s v="Navigation/Communication*Radar*X-Band 10cm Display*Turning Unit*Belt"/>
    <n v="1"/>
    <s v="MA00008979"/>
    <s v="SPERRY"/>
    <n v="1"/>
  </r>
  <r>
    <s v="0147"/>
    <x v="15"/>
    <n v="66200006717"/>
    <s v="Navigation/Communication*Radar*X-Band 10cm Display*Turning Unit*Motor Gearbox"/>
    <x v="77"/>
    <s v="Y"/>
    <n v="1"/>
    <s v="Motor Gearbox"/>
    <s v="Navigation/Communication*Radar*X-Band 10cm Display*Turning Unit*Motor Gearbox"/>
    <n v="1"/>
    <s v="T91003765-6"/>
    <s v="SPERRY"/>
    <n v="1"/>
  </r>
  <r>
    <s v="0147"/>
    <x v="15"/>
    <n v="66200006718"/>
    <s v="Navigation/Communication*Radar*X-Band 10cm Display*Turning Unit*Thermal Switch"/>
    <x v="77"/>
    <s v="Y"/>
    <n v="1"/>
    <s v="Thermal Switch"/>
    <s v="Navigation/Communication*Radar*X-Band 10cm Display*Turning Unit*Thermal Switch"/>
    <n v="2"/>
    <s v="MA00007765"/>
    <s v="SPERRY"/>
    <n v="1"/>
  </r>
  <r>
    <s v="0147"/>
    <x v="15"/>
    <n v="66200006719"/>
    <s v="Navigation/Communication*Radar*X-Band 10cm Display*Turning Unit*Fan Assembly"/>
    <x v="77"/>
    <s v="Y"/>
    <n v="1"/>
    <s v="Fan Assembly"/>
    <s v="Navigation/Communication*Radar*X-Band 10cm Display*Turning Unit*Fan Assembly"/>
    <n v="1"/>
    <s v="T65830656-1"/>
    <s v="SPERRY"/>
    <n v="1"/>
  </r>
  <r>
    <s v="0147"/>
    <x v="15"/>
    <n v="66200006720"/>
    <s v="Navigation/Communication*Radar*X-Band 10cm Display*Turning Unit*Trigger PCB"/>
    <x v="77"/>
    <s v="Y"/>
    <n v="1"/>
    <s v="Trigger PCB"/>
    <s v="Navigation/Communication*Radar*X-Band 10cm Display*Turning Unit*Trigger PCB"/>
    <n v="1"/>
    <s v="T65801801-15"/>
    <s v="SPERRY"/>
    <n v="1"/>
  </r>
  <r>
    <s v="0147"/>
    <x v="15"/>
    <n v="66200006721"/>
    <s v="Navigation/Communication*Radar*X-Band 10cm Display*Turning Unit*Input PCB, Aloft X-Band"/>
    <x v="77"/>
    <s v="Y"/>
    <n v="1"/>
    <s v="Input PCB, Aloft X-Band"/>
    <s v="Navigation/Communication*Radar*X-Band 10cm Display*Turning Unit*Input PCB, Aloft X-Band"/>
    <n v="1"/>
    <s v="T65801813-8"/>
    <s v="SPERRY"/>
    <n v="1"/>
  </r>
  <r>
    <s v="0147"/>
    <x v="15"/>
    <n v="66200006722"/>
    <s v="Navigation/Communication*Radar*X-Band 10cm Display*Turning Unit*Mains Filter"/>
    <x v="77"/>
    <s v="Y"/>
    <n v="1"/>
    <s v="Mains Filter"/>
    <s v="Navigation/Communication*Radar*X-Band 10cm Display*Turning Unit*Mains Filter"/>
    <n v="1"/>
    <s v="T91005228-1"/>
    <s v="SPERRY"/>
    <n v="1"/>
  </r>
  <r>
    <s v="0147"/>
    <x v="15"/>
    <n v="66200006723"/>
    <s v="Navigation/Communication*Radar*X-Band 10cm Display*Turning Unit*Bearing and Heading Marker PCB"/>
    <x v="77"/>
    <s v="Y"/>
    <n v="1"/>
    <s v="Bearing and Heading Marker PCB"/>
    <s v="Navigation/Communication*Radar*X-Band 10cm Display*Turning Unit*Bearing and Heading Marker PCB"/>
    <n v="1"/>
    <s v="T65801805-6"/>
    <s v="SPERRY"/>
    <n v="1"/>
  </r>
  <r>
    <s v="0147"/>
    <x v="15"/>
    <n v="66200006724"/>
    <s v="Navigation/Communication*Radar*X-Band 10cm Display*Turning Unit*Motor Drive PCB"/>
    <x v="77"/>
    <s v="Y"/>
    <n v="1"/>
    <s v="Motor Drive PCB"/>
    <s v="Navigation/Communication*Radar*X-Band 10cm Display*Turning Unit*Motor Drive PCB"/>
    <n v="1"/>
    <s v="T65801811-9"/>
    <s v="SPERRY"/>
    <n v="1"/>
  </r>
  <r>
    <s v="0147"/>
    <x v="15"/>
    <n v="66200006725"/>
    <s v="Navigation/Communication*Radar*X-Band 10cm Display*Turning Unit*Top Housing Assembly"/>
    <x v="77"/>
    <s v="Y"/>
    <n v="1"/>
    <s v="Top Housing Assembly"/>
    <s v="Navigation/Communication*Radar*X-Band 10cm Display*Turning Unit*Top Housing Assembly"/>
    <n v="1"/>
    <s v="T65901720-6"/>
    <s v="SPERRY"/>
    <n v="1"/>
  </r>
  <r>
    <s v="0147"/>
    <x v="15"/>
    <n v="66200006726"/>
    <s v="Navigation/Communication*Radar*X-Band 10cm Display*Turning Unit*Pulse Disc"/>
    <x v="77"/>
    <s v="Y"/>
    <n v="1"/>
    <s v="Pulse Disc"/>
    <s v="Navigation/Communication*Radar*X-Band 10cm Display*Turning Unit*Pulse Disc"/>
    <n v="1"/>
    <s v="65801633-1"/>
    <s v="SPERRY"/>
    <n v="1"/>
  </r>
  <r>
    <s v="0147"/>
    <x v="15"/>
    <n v="66200006778"/>
    <s v="Propulsion*Main Engine (Port) (Cat 3612)*FUEL SYSTEM*Fuel Pressure Regulator*Body-Valve, Bare Block"/>
    <x v="101"/>
    <s v="Y"/>
    <n v="1"/>
    <s v="Body-Valve, Bare Block"/>
    <s v="Propulsion*Main Engine (Port) (Cat 3612)*FUEL SYSTEM*Fuel Pressure Regulator*Body-Valve, Bare Block"/>
    <n v="3"/>
    <s v="419-5687"/>
    <s v="PATTEN/ Ring Power"/>
    <n v="2"/>
  </r>
  <r>
    <s v="0147"/>
    <x v="15"/>
    <n v="66200006842"/>
    <s v="Propulsion*Main Engine (Port) (Cat 3612)*FUEL SYSTEM*Fuel Pressure Regulator*Screw, Set"/>
    <x v="101"/>
    <s v="Y"/>
    <n v="1"/>
    <s v="Screw, Set"/>
    <s v="Propulsion*Main Engine (Port) (Cat 3612)*FUEL SYSTEM*Fuel Pressure Regulator*Screw, Set"/>
    <n v="2"/>
    <s v="010-2461"/>
    <s v="PATTEN/ Ring Power"/>
    <n v="2"/>
  </r>
  <r>
    <s v="0147"/>
    <x v="15"/>
    <n v="66200006843"/>
    <s v="Propulsion*Main Engine (Port) (Cat 3612)*FUEL SYSTEM*Fuel Pressure Regulator*O-Ring"/>
    <x v="101"/>
    <s v="Y"/>
    <n v="5"/>
    <s v="O-Ring"/>
    <s v="Propulsion*Main Engine (Port) (Cat 3612)*FUEL SYSTEM*Fuel Pressure Regulator*O-Ring"/>
    <n v="10"/>
    <s v="6V-1903"/>
    <s v="PATTEN/ Ring Power"/>
    <n v="2"/>
  </r>
  <r>
    <s v="0147"/>
    <x v="15"/>
    <n v="66200006844"/>
    <s v="Propulsion*Main Engine (Port) (Cat 3612)*FUEL SYSTEM*Fuel Pressure Regulator*O-Ring"/>
    <x v="101"/>
    <s v="Y"/>
    <n v="5"/>
    <s v="O-Ring"/>
    <s v="Propulsion*Main Engine (Port) (Cat 3612)*FUEL SYSTEM*Fuel Pressure Regulator*O-Ring"/>
    <n v="10"/>
    <s v="214-7568"/>
    <s v="PATTEN/ Ring Power"/>
    <n v="2"/>
  </r>
  <r>
    <s v="0147"/>
    <x v="15"/>
    <n v="66200006891"/>
    <s v="Generators*Port Genset*Generator Engine (Port) (CAT 3516)*Valve Tester"/>
    <x v="4"/>
    <s v="Y"/>
    <n v="2"/>
    <s v="Valve Tester"/>
    <s v="Generators*Port Genset*Generator Engine (Port) (CAT 3516)*Valve Tester"/>
    <n v="3"/>
    <s v="141-9882"/>
    <s v="PATTEN/ Ring Power"/>
    <n v="2"/>
  </r>
  <r>
    <s v="0147"/>
    <x v="15"/>
    <n v="66200006892"/>
    <s v="Generators*Harbor Genset*Harbor Generator Engine (CAT 3408)*Valve Tester"/>
    <x v="4"/>
    <s v="Y"/>
    <n v="2"/>
    <s v="Valve Tester"/>
    <s v="Generators*Harbor Genset*Harbor Generator Engine (CAT 3408)*Valve Tester"/>
    <n v="3"/>
    <s v="141-9882"/>
    <s v="PATTEN/ Ring Power"/>
    <n v="1"/>
  </r>
  <r>
    <s v="0147"/>
    <x v="15"/>
    <n v="66200006893"/>
    <s v="Propulsion*Main Engine (Port) (Cat 3612)*Valve Tester"/>
    <x v="101"/>
    <s v="Y"/>
    <n v="2"/>
    <s v="Valve Tester"/>
    <s v="Propulsion*Main Engine (Port) (Cat 3612)*Valve Tester"/>
    <n v="2"/>
    <s v="141-9882"/>
    <s v="PATTEN/ Ring Power"/>
    <n v="2"/>
  </r>
  <r>
    <s v="0147"/>
    <x v="15"/>
    <n v="66200007802"/>
    <s v="Mooring/Anchor Handling*Bow Connection Winch*Valve, Proportional Directional"/>
    <x v="106"/>
    <s v="Y"/>
    <n v="1"/>
    <s v="Valve, Proportional Directional"/>
    <s v="Mooring/Anchor Handling*Bow Connection Winch*Valve, Proportional Directional"/>
    <n v="2"/>
    <s v="6 C-20/25EG24N9K31/A1V"/>
    <s v="BOSCH REXROTH CORPORATION"/>
    <n v="1"/>
  </r>
  <r>
    <s v="0147"/>
    <x v="15"/>
    <n v="66200007803"/>
    <s v="Dragheads*Draghead Wild Dragon*Hyd. Pwr Unit (W. Dragon)*HYDRAULIC POWER UNIT*Unloading"/>
    <x v="17"/>
    <s v="Y"/>
    <n v="1"/>
    <s v="Unloading"/>
    <s v="Dragheads*Draghead Wild Dragon*Hyd. Pwr Unit (W. Dragon)*HYDRAULIC POWER UNIT*Unloading"/>
    <n v="1"/>
    <s v="SWH-G03-C6B-A110-20"/>
    <s v="PDI (Power Dynamics Innovations Llc)"/>
    <n v="1"/>
  </r>
  <r>
    <s v="0147"/>
    <x v="15"/>
    <n v="66200007915"/>
    <s v="Propulsion*Main Engine (Port) (Cat 3612)*FUEL SYSTEM*LINES GP - FUEL*Fuel Tube Assembly"/>
    <x v="101"/>
    <s v="Y"/>
    <n v="1"/>
    <s v="Fuel Tube Assembly"/>
    <s v="Propulsion*Main Engine (Port) (Cat 3612)*FUEL SYSTEM*LINES GP - FUEL*Fuel Tube Assembly"/>
    <n v="1"/>
    <s v="7W-1555"/>
    <s v="Caterpillar"/>
    <n v="2"/>
  </r>
  <r>
    <s v="0147"/>
    <x v="15"/>
    <n v="66200007916"/>
    <s v="Propulsion*Main Engine (Port) (Cat 3612)*FUEL SYSTEM*LINES GP - FUEL*Fuel Tube Assembly*Tee - Swivel, Fuel Manifold"/>
    <x v="101"/>
    <s v="Y"/>
    <n v="1"/>
    <s v="Tee - Swivel, Fuel Manifold"/>
    <s v="Propulsion*Main Engine (Port) (Cat 3612)*FUEL SYSTEM*LINES GP - FUEL*Fuel Tube Assembly*Tee - Swivel, Fuel Manifold"/>
    <n v="1"/>
    <s v="5P-4984"/>
    <s v="Caterpillar"/>
    <n v="2"/>
  </r>
  <r>
    <s v="0147"/>
    <x v="15"/>
    <n v="66200007917"/>
    <s v="Propulsion*Main Engine (Port) (Cat 3612)*FUEL SYSTEM*LINES GP - FUEL*Fuel Tube Assembly*Tee - Face Seal, Fuel Manifold"/>
    <x v="101"/>
    <s v="Y"/>
    <n v="1"/>
    <s v="Tee - Face Seal, Fuel Manifold"/>
    <s v="Propulsion*Main Engine (Port) (Cat 3612)*FUEL SYSTEM*LINES GP - FUEL*Fuel Tube Assembly*Tee - Face Seal, Fuel Manifold"/>
    <n v="2"/>
    <s v="6V-8782"/>
    <s v="Caterpillar"/>
    <n v="2"/>
  </r>
  <r>
    <s v="0147"/>
    <x v="15"/>
    <n v="66200007918"/>
    <s v="Propulsion*Main Engine (Port) (Cat 3612)*FUEL SYSTEM*LINES GP - FUEL*Fuel Tube Assembly*Elbow - Swivel, Fuel Regulator"/>
    <x v="101"/>
    <s v="Y"/>
    <n v="1"/>
    <s v="Elbow - Swivel, Fuel Regulator"/>
    <s v="Propulsion*Main Engine (Port) (Cat 3612)*FUEL SYSTEM*LINES GP - FUEL*Fuel Tube Assembly*Elbow - Swivel, Fuel Regulator"/>
    <n v="1"/>
    <s v="5P-0789"/>
    <s v="Caterpillar"/>
    <n v="2"/>
  </r>
  <r>
    <s v="0147"/>
    <x v="15"/>
    <n v="66200008071"/>
    <s v="Propulsion*Main Engine (Port) (Cat 3612)*LUBRICATION SYSTEM*LINES GP - CENTRIF FILTER*Tube Assemble (Middle Spinner)"/>
    <x v="101"/>
    <s v="Y"/>
    <n v="1"/>
    <s v="Tube Assemble (Middle Spinner)"/>
    <s v="Propulsion*Main Engine (Port) (Cat 3612)*LUBRICATION SYSTEM*LINES GP - CENTRIF FILTER*Tube Assemble (Middle Spinner)"/>
    <n v="1"/>
    <s v="4P-4046"/>
    <s v="PATTEN/ Ring Power"/>
    <n v="2"/>
  </r>
  <r>
    <s v="0147"/>
    <x v="15"/>
    <n v="66200008072"/>
    <s v="Propulsion*Main Engine (Port) (Cat 3612)*LUBRICATION SYSTEM*LINES GP - CENTRIF FILTER*Tube Assembly (After Spinner)"/>
    <x v="101"/>
    <s v="Y"/>
    <n v="1"/>
    <s v="Tube Assembly (After Spinner)"/>
    <s v="Propulsion*Main Engine (Port) (Cat 3612)*LUBRICATION SYSTEM*LINES GP - CENTRIF FILTER*Tube Assembly (After Spinner)"/>
    <n v="1"/>
    <s v="4P-4047"/>
    <s v="PATTEN/ Ring Power"/>
    <n v="2"/>
  </r>
  <r>
    <s v="0147"/>
    <x v="15"/>
    <n v="66200008073"/>
    <s v="Propulsion*Main Engine (Port) (Cat 3612)*LUBRICATION SYSTEM*LINES GP - CENTRIF FILTER*Tube Assembly (Fwd to Mid)"/>
    <x v="101"/>
    <s v="Y"/>
    <n v="1"/>
    <s v="Tube Assembly (Fwd to Mid)"/>
    <s v="Propulsion*Main Engine (Port) (Cat 3612)*LUBRICATION SYSTEM*LINES GP - CENTRIF FILTER*Tube Assembly (Fwd to Mid)"/>
    <n v="1"/>
    <s v="4P-6104"/>
    <s v="PATTEN/ Ring Power"/>
    <n v="2"/>
  </r>
  <r>
    <s v="0147"/>
    <x v="15"/>
    <n v="66200008074"/>
    <s v="Propulsion*Main Engine (Port) (Cat 3612)*LUBRICATION SYSTEM*LINES GP - CENTRIF FILTER*Tube Assembly (Forward Spinners)"/>
    <x v="101"/>
    <s v="Y"/>
    <n v="1"/>
    <s v="Tube Assembly (Forward Spinners)"/>
    <s v="Propulsion*Main Engine (Port) (Cat 3612)*LUBRICATION SYSTEM*LINES GP - CENTRIF FILTER*Tube Assembly (Forward Spinners)"/>
    <n v="1"/>
    <s v="107-8199"/>
    <s v="PATTEN/ Ring Power"/>
    <n v="2"/>
  </r>
  <r>
    <s v="0147"/>
    <x v="15"/>
    <n v="66200008075"/>
    <s v="Propulsion*Main Engine (Port) (Cat 3612)*LUBRICATION SYSTEM*LINES GP - CENTRIF FILTER*Tube Assembly (Tee-Union to Spinners)"/>
    <x v="101"/>
    <s v="Y"/>
    <n v="1"/>
    <s v="Tube Assembly (Tee-Union to Spinners)"/>
    <s v="Propulsion*Main Engine (Port) (Cat 3612)*LUBRICATION SYSTEM*LINES GP - CENTRIF FILTER*Tube Assembly (Tee-Union to Spinners)"/>
    <n v="1"/>
    <s v="6K-4235"/>
    <s v="PATTEN/ Ring Power"/>
    <n v="2"/>
  </r>
  <r>
    <s v="0147"/>
    <x v="15"/>
    <n v="66200008076"/>
    <s v="Propulsion*Main Engine (Port) (Cat 3612)*LUBRICATION SYSTEM*LINES GP - TURBOCHRGR OIL*Tube Assembly (Left Turbo Supply)"/>
    <x v="101"/>
    <s v="Y"/>
    <n v="1"/>
    <s v="Tube Assembly (Left Turbo Supply)"/>
    <s v="Propulsion*Main Engine (Port) (Cat 3612)*LUBRICATION SYSTEM*LINES GP - TURBOCHRGR OIL*Tube Assembly (Left Turbo Supply)"/>
    <n v="1"/>
    <s v="387-1135"/>
    <s v="PATTEN/ Ring Power"/>
    <n v="2"/>
  </r>
  <r>
    <s v="0147"/>
    <x v="15"/>
    <n v="66200008077"/>
    <s v="Propulsion*Main Engine (Port) (Cat 3612)*LUBRICATION SYSTEM*LINES GP - TURBOCHRGR OIL*Tube Assembly (Right Turbo Supply)"/>
    <x v="101"/>
    <s v="Y"/>
    <n v="1"/>
    <s v="Tube Assembly (Right Turbo Supply)"/>
    <s v="Propulsion*Main Engine (Port) (Cat 3612)*LUBRICATION SYSTEM*LINES GP - TURBOCHRGR OIL*Tube Assembly (Right Turbo Supply)"/>
    <n v="1"/>
    <s v="160-1573"/>
    <s v="PATTEN/ Ring Power"/>
    <n v="2"/>
  </r>
  <r>
    <s v="0147"/>
    <x v="15"/>
    <n v="66200008078"/>
    <s v="Propulsion*Main Engine (Port) (Cat 3612)*LUBRICATION SYSTEM*LINES GP - TURBOCHRGR OIL*Tee-Swivel"/>
    <x v="101"/>
    <s v="Y"/>
    <n v="1"/>
    <s v="Tee-Swivel"/>
    <s v="Propulsion*Main Engine (Port) (Cat 3612)*LUBRICATION SYSTEM*LINES GP - TURBOCHRGR OIL*Tee-Swivel"/>
    <n v="2"/>
    <s v="9S-0176"/>
    <s v="PATTEN/ Ring Power"/>
    <n v="2"/>
  </r>
  <r>
    <s v="0147"/>
    <x v="15"/>
    <n v="66200008079"/>
    <s v="Propulsion*Main Engine (Port) (Cat 3612)*LUBRICATION SYSTEM*LINES GP - TURBOCHRGR OIL*Tube Assembly (Left Turbo Drain)"/>
    <x v="101"/>
    <s v="Y"/>
    <n v="1"/>
    <s v="Tube Assembly (Left Turbo Drain)"/>
    <s v="Propulsion*Main Engine (Port) (Cat 3612)*LUBRICATION SYSTEM*LINES GP - TURBOCHRGR OIL*Tube Assembly (Left Turbo Drain)"/>
    <n v="1"/>
    <s v="7W-5280"/>
    <s v="PATTEN/ Ring Power"/>
    <n v="2"/>
  </r>
  <r>
    <s v="0147"/>
    <x v="15"/>
    <n v="66200008080"/>
    <s v="Propulsion*Main Engine (Port) (Cat 3612)*LUBRICATION SYSTEM*LINES GP - TURBOCHRGR OIL*Tube Assembly (Right Turbo Drain)"/>
    <x v="101"/>
    <s v="Y"/>
    <n v="1"/>
    <s v="Tube Assembly (Right Turbo Drain)"/>
    <s v="Propulsion*Main Engine (Port) (Cat 3612)*LUBRICATION SYSTEM*LINES GP - TURBOCHRGR OIL*Tube Assembly (Right Turbo Drain)"/>
    <n v="1"/>
    <s v="7W-5282"/>
    <s v="PATTEN/ Ring Power"/>
    <n v="2"/>
  </r>
  <r>
    <s v="0147"/>
    <x v="15"/>
    <n v="66200008081"/>
    <s v="Propulsion*Main Engine (Port) (Cat 3612)*LUBRICATION SYSTEM*LINES GP - PRELUBRICATION*Tube Assembly (Fwd Upper Cntr)"/>
    <x v="101"/>
    <s v="Y"/>
    <n v="1"/>
    <s v="Tube Assembly (Fwd Upper Cntr)"/>
    <s v="Propulsion*Main Engine (Port) (Cat 3612)*LUBRICATION SYSTEM*LINES GP - PRELUBRICATION*Tube Assembly (Fwd Upper Cntr)"/>
    <n v="2"/>
    <s v="153-3491"/>
    <s v="PATTEN/ Ring Power"/>
    <n v="2"/>
  </r>
  <r>
    <s v="0147"/>
    <x v="15"/>
    <n v="66200008082"/>
    <s v="Propulsion*Main Engine (Port) (Cat 3612)*LUBRICATION SYSTEM*LINES GP - PRELUBRICATION*Tube Assembly (Fwd Lower Cntr)"/>
    <x v="101"/>
    <s v="Y"/>
    <n v="1"/>
    <s v="Tube Assembly (Fwd Lower Cntr)"/>
    <s v="Propulsion*Main Engine (Port) (Cat 3612)*LUBRICATION SYSTEM*LINES GP - PRELUBRICATION*Tube Assembly (Fwd Lower Cntr)"/>
    <n v="1"/>
    <s v="138-8234"/>
    <s v="PATTEN/ Ring Power"/>
    <n v="2"/>
  </r>
  <r>
    <s v="0147"/>
    <x v="15"/>
    <n v="66200008084"/>
    <s v="Propulsion*Main Engine (Port) (Cat 3612)*LUBRICATION SYSTEM*LINES GP - PRELUBRICATION*Tube Assembly (Medium of Three)"/>
    <x v="101"/>
    <s v="Y"/>
    <n v="1"/>
    <s v="Tube Assembly (Medium of Three)"/>
    <s v="Propulsion*Main Engine (Port) (Cat 3612)*LUBRICATION SYSTEM*LINES GP - PRELUBRICATION*Tube Assembly (Medium of Three)"/>
    <n v="0"/>
    <s v="138-8231"/>
    <s v="PATTEN/ Ring Power"/>
    <n v="2"/>
  </r>
  <r>
    <s v="0147"/>
    <x v="15"/>
    <n v="66200008085"/>
    <s v="Propulsion*Main Engine (Port) (Cat 3612)*LUBRICATION SYSTEM*LINES GP - PRELUBRICATION*Tube Assembly (Longest of Three)"/>
    <x v="101"/>
    <s v="Y"/>
    <n v="1"/>
    <s v="Tube Assembly (Longest of Three)"/>
    <s v="Propulsion*Main Engine (Port) (Cat 3612)*LUBRICATION SYSTEM*LINES GP - PRELUBRICATION*Tube Assembly (Longest of Three)"/>
    <n v="0"/>
    <s v="138-8232"/>
    <s v="PATTEN/ Ring Power"/>
    <n v="2"/>
  </r>
  <r>
    <s v="0147"/>
    <x v="15"/>
    <n v="66200008086"/>
    <s v="Propulsion*Main Engine (Port) (Cat 3612)*LUBRICATION SYSTEM*LINES GP - PRELUBRICATION*Tube Assembly (Shortest of Three)"/>
    <x v="101"/>
    <s v="Y"/>
    <n v="1"/>
    <s v="Tube Assembly (Shortest of Three)"/>
    <s v="Propulsion*Main Engine (Port) (Cat 3612)*LUBRICATION SYSTEM*LINES GP - PRELUBRICATION*Tube Assembly (Shortest of Three)"/>
    <n v="0"/>
    <s v="138-8233"/>
    <s v="PATTEN/ Ring Power"/>
    <n v="2"/>
  </r>
  <r>
    <s v="0147"/>
    <x v="15"/>
    <n v="66200008087"/>
    <s v="Propulsion*Main Engine (Port) (Cat 3612)*LUBRICATION SYSTEM*LINES GP - PRELUBRICATION*Tube Assembly (Second Back Fwd Cntr)"/>
    <x v="101"/>
    <s v="Y"/>
    <n v="1"/>
    <s v="Tube Assembly (Second Back Fwd Cntr)"/>
    <s v="Propulsion*Main Engine (Port) (Cat 3612)*LUBRICATION SYSTEM*LINES GP - PRELUBRICATION*Tube Assembly (Second Back Fwd Cntr)"/>
    <n v="1"/>
    <s v="153-3492"/>
    <s v="PATTEN/ Ring Power"/>
    <n v="2"/>
  </r>
  <r>
    <s v="0147"/>
    <x v="15"/>
    <n v="66200008088"/>
    <s v="Propulsion*Main Engine (Port) (Cat 3612)*LUBRICATION SYSTEM*LINES GP - PRELUBRICATION*Tube Assembly (Second from Aft End)"/>
    <x v="101"/>
    <s v="Y"/>
    <n v="1"/>
    <s v="Tube Assembly (Second from Aft End)"/>
    <s v="Propulsion*Main Engine (Port) (Cat 3612)*LUBRICATION SYSTEM*LINES GP - PRELUBRICATION*Tube Assembly (Second from Aft End)"/>
    <n v="0"/>
    <s v="153-3493"/>
    <s v="PATTEN/ Ring Power"/>
    <n v="2"/>
  </r>
  <r>
    <s v="0147"/>
    <x v="15"/>
    <n v="66200008089"/>
    <s v="Propulsion*Main Engine (Port) (Cat 3612)*LUBRICATION SYSTEM*LINES GP - PRELUBRICATION*Tube Assembly (Aft End Eng Block)"/>
    <x v="101"/>
    <s v="Y"/>
    <n v="1"/>
    <s v="Tube Assembly (Aft End Eng Block)"/>
    <s v="Propulsion*Main Engine (Port) (Cat 3612)*LUBRICATION SYSTEM*LINES GP - PRELUBRICATION*Tube Assembly (Aft End Eng Block)"/>
    <n v="0"/>
    <s v="153-3494"/>
    <s v="PATTEN/ Ring Power"/>
    <n v="2"/>
  </r>
  <r>
    <s v="0147"/>
    <x v="15"/>
    <n v="66200008090"/>
    <s v="Propulsion*Main Engine (Port) (Cat 3612)*LUBRICATION SYSTEM*LINES GP - PRELUBRICATION*Elbow (Hose to Tubing)"/>
    <x v="101"/>
    <s v="Y"/>
    <n v="1"/>
    <s v="Elbow (Hose to Tubing)"/>
    <s v="Propulsion*Main Engine (Port) (Cat 3612)*LUBRICATION SYSTEM*LINES GP - PRELUBRICATION*Elbow (Hose to Tubing)"/>
    <n v="2"/>
    <s v="067-6495"/>
    <s v="PATTEN/ Ring Power"/>
    <n v="2"/>
  </r>
  <r>
    <s v="0147"/>
    <x v="15"/>
    <n v="66200008252"/>
    <s v="Safety Firefighting*Fire: Emergency Fire Pump Set*FIRE: EMERGENCY PUMP*Seal, Mechanical"/>
    <x v="84"/>
    <s v="Y"/>
    <n v="1"/>
    <s v="Seal, Mechanical"/>
    <s v="Safety Firefighting*Fire: Emergency Fire Pump Set*FIRE: EMERGENCY PUMP*Seal, Mechanical"/>
    <n v="3"/>
    <s v="M116967"/>
    <s v="ESI"/>
    <n v="1"/>
  </r>
  <r>
    <s v="0147"/>
    <x v="15"/>
    <n v="66200008253"/>
    <s v="Generators*Port Genset*Generator Engine (Port) (CAT 3516)*LUBRICATION SYSTEM*LINES GP-OIL SUPPLY*Valve As. - Toggle (Engine Oil)"/>
    <x v="4"/>
    <s v="Y"/>
    <n v="1"/>
    <s v="Valve As. - Toggle (Engine Oil)"/>
    <s v="Generators*Port Genset*Generator Engine (Port) (CAT 3516)*LUBRICATION SYSTEM*LINES GP-OIL SUPPLY*Valve As. - Toggle (Engine Oil)"/>
    <n v="1"/>
    <s v="4W-0290"/>
    <s v="PATTEN/ Ring Power"/>
    <n v="2"/>
  </r>
  <r>
    <s v="0147"/>
    <x v="15"/>
    <n v="66200008254"/>
    <s v="Generators*Port Genset*Generator Engine (Port) (CAT 3516)*LUBRICATION SYSTEM*LINES GP-OIL SUPPLY*Elbow- Flared"/>
    <x v="4"/>
    <s v="Y"/>
    <n v="1"/>
    <s v="Elbow- Flared"/>
    <s v="Generators*Port Genset*Generator Engine (Port) (CAT 3516)*LUBRICATION SYSTEM*LINES GP-OIL SUPPLY*Elbow- Flared"/>
    <n v="1"/>
    <s v="6K-9194"/>
    <s v="PATTEN/ Ring Power"/>
    <n v="2"/>
  </r>
  <r>
    <s v="0147"/>
    <x v="15"/>
    <n v="66200008255"/>
    <s v="Generators*Port Genset*Generator Engine (Port) (CAT 3516)*LUBRICATION SYSTEM*LINES GP-OIL SUPPLY*Elbow-Flared"/>
    <x v="4"/>
    <s v="Y"/>
    <n v="1"/>
    <s v="Elbow-Flared"/>
    <s v="Generators*Port Genset*Generator Engine (Port) (CAT 3516)*LUBRICATION SYSTEM*LINES GP-OIL SUPPLY*Elbow-Flared"/>
    <n v="1"/>
    <s v="7D-8793"/>
    <s v="PATTEN/ Ring Power"/>
    <n v="2"/>
  </r>
  <r>
    <s v="0147"/>
    <x v="15"/>
    <n v="66200008260"/>
    <s v="Generators*Port Genset*Generator Engine (Port) (CAT 3516)*LUBRICATION SYSTEM*LINES GP-OIL SUPPLY*Tube As. (Secondary Tubing)"/>
    <x v="4"/>
    <s v="Y"/>
    <n v="1"/>
    <s v="Tube As. (Secondary Tubing)"/>
    <s v="Generators*Port Genset*Generator Engine (Port) (CAT 3516)*LUBRICATION SYSTEM*LINES GP-OIL SUPPLY*Tube As. (Secondary Tubing)"/>
    <n v="1"/>
    <s v="4W-0289"/>
    <s v="PATTEN/ Ring Power"/>
    <n v="2"/>
  </r>
  <r>
    <s v="0147"/>
    <x v="15"/>
    <n v="66200008261"/>
    <s v="Generators*Port Genset*Generator Engine (Port) (CAT 3516)*LUBRICATION SYSTEM*LINES GP-OIL SUPPLY*Tube As. (Primary Tubing)"/>
    <x v="4"/>
    <s v="Y"/>
    <n v="1"/>
    <s v="Tube As. (Primary Tubing)"/>
    <s v="Generators*Port Genset*Generator Engine (Port) (CAT 3516)*LUBRICATION SYSTEM*LINES GP-OIL SUPPLY*Tube As. (Primary Tubing)"/>
    <n v="1"/>
    <s v="4W-0288"/>
    <s v="PATTEN/ Ring Power"/>
    <n v="2"/>
  </r>
  <r>
    <s v="0147"/>
    <x v="15"/>
    <n v="66200008263"/>
    <s v="Generators*Port Genset*Generator Engine (Port) (CAT 3516)*LUBRICATION SYSTEM*LINES GP-TURBOCHARGER*Tube As. (Right Side)"/>
    <x v="4"/>
    <s v="Y"/>
    <n v="1"/>
    <s v="Tube As. (Right Side)"/>
    <s v="Generators*Port Genset*Generator Engine (Port) (CAT 3516)*LUBRICATION SYSTEM*LINES GP-TURBOCHARGER*Tube As. (Right Side)"/>
    <n v="1"/>
    <s v="9Y-7759"/>
    <s v="PATTEN/ Ring Power"/>
    <n v="2"/>
  </r>
  <r>
    <s v="0147"/>
    <x v="15"/>
    <n v="66200008264"/>
    <s v="Generators*Port Genset*Generator Engine (Port) (CAT 3516)*LUBRICATION SYSTEM*LINES GP-TURBOCHARGER*Tube As. (Left Side)"/>
    <x v="4"/>
    <s v="Y"/>
    <n v="1"/>
    <s v="Tube As. (Left Side)"/>
    <s v="Generators*Port Genset*Generator Engine (Port) (CAT 3516)*LUBRICATION SYSTEM*LINES GP-TURBOCHARGER*Tube As. (Left Side)"/>
    <n v="1"/>
    <s v="9Y-7760"/>
    <s v="PATTEN/ Ring Power"/>
    <n v="2"/>
  </r>
  <r>
    <s v="0147"/>
    <x v="15"/>
    <n v="66200008265"/>
    <s v="Generators*Port Genset*Generator Engine (Port) (CAT 3516)*LUBRICATION SYSTEM*LINES GP-TURBOCHARGER*Tube As. (L/R Turbo Lines)"/>
    <x v="4"/>
    <s v="Y"/>
    <n v="1"/>
    <s v="Tube As. (L/R Turbo Lines)"/>
    <s v="Generators*Port Genset*Generator Engine (Port) (CAT 3516)*LUBRICATION SYSTEM*LINES GP-TURBOCHARGER*Tube As. (L/R Turbo Lines)"/>
    <n v="1"/>
    <s v="9Y-0860"/>
    <s v="PATTEN/ Ring Power"/>
    <n v="2"/>
  </r>
  <r>
    <s v="0147"/>
    <x v="15"/>
    <n v="66200008267"/>
    <s v="Generators*Port Genset*Generator Engine (Port) (CAT 3516)*LUBRICATION SYSTEM*LINES GP-CENTR FILTER*Tube As."/>
    <x v="4"/>
    <s v="Y"/>
    <n v="1"/>
    <s v="Tube As."/>
    <s v="Generators*Port Genset*Generator Engine (Port) (CAT 3516)*LUBRICATION SYSTEM*LINES GP-CENTR FILTER*Tube As."/>
    <n v="1"/>
    <s v="150-4157"/>
    <s v="PATTEN/ Ring Power"/>
    <n v="2"/>
  </r>
  <r>
    <s v="0147"/>
    <x v="15"/>
    <n v="66200008469"/>
    <s v="Dragheads*Draghead Wild Dragon*Hyd. Pwr Unit (W. Dragon)*HYDRAULIC POWER UNIT*Unloader"/>
    <x v="17"/>
    <s v="Y"/>
    <n v="2"/>
    <s v="Unloader"/>
    <s v="Dragheads*Draghead Wild Dragon*Hyd. Pwr Unit (W. Dragon)*HYDRAULIC POWER UNIT*Unloader"/>
    <n v="1"/>
    <s v="SWH-G03-C6B-A110-20"/>
    <s v="POWER DYNAMICS INNOVATIONS LLC"/>
    <n v="1"/>
  </r>
  <r>
    <s v="0147"/>
    <x v="15"/>
    <n v="66200008496"/>
    <s v="Generators*Port Genset*Generator Engine (Port) (CAT 3516)*COOLING SYSTEM*Tube, AC/OC"/>
    <x v="4"/>
    <s v="Y"/>
    <n v="1"/>
    <s v="Tube, AC/OC"/>
    <s v="Generators*Port Genset*Generator Engine (Port) (CAT 3516)*COOLING SYSTEM*Tube, AC/OC"/>
    <n v="1"/>
    <s v="111-3821"/>
    <s v="PATTEN/ Ring Power"/>
    <n v="2"/>
  </r>
  <r>
    <s v="0147"/>
    <x v="15"/>
    <n v="66200009004"/>
    <s v="Hull/Structure*Watertight Doors/Hatches - LI*Hydraulic Operating Components*Motor Valve Block"/>
    <x v="85"/>
    <s v="Y"/>
    <n v="1"/>
    <s v="Motor Valve Block"/>
    <s v="Hull/Structure*Watertight Doors/Hatches - LI*Hydraulic Operating Components*Motor Valve Block"/>
    <n v="4"/>
    <s v="D-WK-838-4"/>
    <s v="WALZ &amp; KRENZER"/>
    <n v="1"/>
  </r>
  <r>
    <s v="0147"/>
    <x v="15"/>
    <n v="66200009014"/>
    <s v="Hull/Structure*Watertight Doors/Hatches - LI*Hydraulic Operating Components*Valve Manifold"/>
    <x v="85"/>
    <s v="Y"/>
    <n v="1"/>
    <s v="Valve Manifold"/>
    <s v="Hull/Structure*Watertight Doors/Hatches - LI*Hydraulic Operating Components*Valve Manifold"/>
    <n v="2"/>
    <s v="241520BA"/>
    <s v="WALZ &amp; KRENZER"/>
    <n v="1"/>
  </r>
  <r>
    <s v="0147"/>
    <x v="15"/>
    <n v="66200009017"/>
    <s v="Hull/Structure*Watertight Doors/Hatches - LI*Hydraulic Operating Components*Solenoid Valve"/>
    <x v="85"/>
    <s v="Y"/>
    <n v="2"/>
    <s v="Solenoid Valve"/>
    <s v="Hull/Structure*Watertight Doors/Hatches - LI*Hydraulic Operating Components*Solenoid Valve"/>
    <n v="4"/>
    <s v="2110035 3P/4W"/>
    <s v="WALZ &amp; KRENZER"/>
    <n v="1"/>
  </r>
  <r>
    <s v="0147"/>
    <x v="15"/>
    <n v="66200009018"/>
    <s v="Hull/Structure*Watertight Doors/Hatches - LI*Hydraulic Operating Components*Motor"/>
    <x v="85"/>
    <s v="Y"/>
    <n v="1"/>
    <s v="Motor"/>
    <s v="Hull/Structure*Watertight Doors/Hatches - LI*Hydraulic Operating Components*Motor"/>
    <n v="1"/>
    <s v="35Q57-T494G1"/>
    <s v="Baldor"/>
    <n v="1"/>
  </r>
  <r>
    <s v="0147"/>
    <x v="15"/>
    <n v="66200009019"/>
    <s v="Hull/Structure*Watertight Doors/Hatches - LI*Hydraulic Operating Components*Pump"/>
    <x v="85"/>
    <s v="Y"/>
    <n v="1"/>
    <s v="Pump"/>
    <s v="Hull/Structure*Watertight Doors/Hatches - LI*Hydraulic Operating Components*Pump"/>
    <n v="2"/>
    <s v="PZG1AR041S1"/>
    <s v="Parker"/>
    <n v="1"/>
  </r>
  <r>
    <s v="0147"/>
    <x v="15"/>
    <n v="66200009650"/>
    <s v="Pump, Jet (Port)*Jet Pump Motor (Port) (1000 HP)*Motor, Jet Pump (1000 HP)*Bearing, Opp Drive End"/>
    <x v="105"/>
    <s v="Y"/>
    <n v="1"/>
    <s v="Bearing, Opp Drive End"/>
    <s v="Pump, Jet (Port)*Jet Pump Motor (Port) (1000 HP)*Motor, Jet Pump (1000 HP)*Bearing, Opp Drive End"/>
    <n v="1"/>
    <s v="120BC02J3"/>
    <s v="General Electric"/>
    <n v="2"/>
  </r>
  <r>
    <s v="0147"/>
    <x v="15"/>
    <n v="66200009840"/>
    <s v="Propulsion*Main Engine (Port) (Cat 3612)*AIR INLET &amp; EXHAUST SYSTEM*ELBOW GP - AIR INLET*Elbow (Air Inlet)"/>
    <x v="101"/>
    <s v="Y"/>
    <n v="2"/>
    <s v="Elbow (Air Inlet)"/>
    <s v="Propulsion*Main Engine (Port) (Cat 3612)*AIR INLET &amp; EXHAUST SYSTEM*ELBOW GP - AIR INLET*Elbow (Air Inlet)"/>
    <n v="1"/>
    <s v="130-6259"/>
    <s v="Caterpillar"/>
    <n v="2"/>
  </r>
  <r>
    <s v="0147"/>
    <x v="15"/>
    <n v="66200009841"/>
    <s v="Propulsion*Main Engine (Port) (Cat 3612)*AIR INLET &amp; EXHAUST SYSTEM*ELBOW GP - AIR INLET*Elbow (Lines GP)"/>
    <x v="101"/>
    <s v="Y"/>
    <n v="2"/>
    <s v="Elbow (Lines GP)"/>
    <s v="Propulsion*Main Engine (Port) (Cat 3612)*AIR INLET &amp; EXHAUST SYSTEM*ELBOW GP - AIR INLET*Elbow (Lines GP)"/>
    <n v="2"/>
    <s v="153-8406"/>
    <s v="Caterpillar"/>
    <n v="2"/>
  </r>
  <r>
    <s v="0147"/>
    <x v="15"/>
    <n v="66200009842"/>
    <s v="Propulsion*Main Engine (Port) (Cat 3612)*AIR INLET &amp; EXHAUST SYSTEM*ELBOW GP - AIR INLET*Elbow (Lines Gp)"/>
    <x v="101"/>
    <s v="Y"/>
    <n v="2"/>
    <s v="Elbow (Lines Gp)"/>
    <s v="Propulsion*Main Engine (Port) (Cat 3612)*AIR INLET &amp; EXHAUST SYSTEM*ELBOW GP - AIR INLET*Elbow (Lines Gp)"/>
    <n v="2"/>
    <s v="153-8407"/>
    <s v="Caterpillar"/>
    <n v="2"/>
  </r>
  <r>
    <s v="0147"/>
    <x v="15"/>
    <n v="66200010052"/>
    <s v="Electrical*Automation System*HOPPER CYLINDER I/O SENSO*Cable Assembly"/>
    <x v="61"/>
    <s v="Y"/>
    <n v="12"/>
    <s v="Cable Assembly"/>
    <s v="Electrical*Automation System*HOPPER CYLINDER I/O SENSO*Cable Assembly"/>
    <n v="28"/>
    <s v="S425-000-1A-008-VX44T2-050"/>
    <s v="Allied Electric Manual"/>
    <n v="1"/>
  </r>
  <r>
    <s v="0147"/>
    <x v="15"/>
    <n v="66200010088"/>
    <s v="Propulsion*Main Engine (Port) (Cat 3612)*ELECTRICAL/STARTING SYS*SENSORS*Crankcase Pressure Contactor"/>
    <x v="101"/>
    <s v="Y"/>
    <n v="2"/>
    <s v="Crankcase Pressure Contactor"/>
    <s v="Propulsion*Main Engine (Port) (Cat 3612)*ELECTRICAL/STARTING SYS*SENSORS*Crankcase Pressure Contactor"/>
    <n v="3"/>
    <s v="117-1864"/>
    <s v="Caterpillar"/>
    <n v="2"/>
  </r>
  <r>
    <s v="0147"/>
    <x v="15"/>
    <n v="66200010109"/>
    <s v="Electrical*Switchboard*Switchboard (Main)*Transducer, Voltage (Multitek)"/>
    <x v="61"/>
    <s v="Y"/>
    <n v="2"/>
    <s v="Transducer, Voltage (Multitek)"/>
    <s v="Electrical*Switchboard*Switchboard (Main)*Transducer, Voltage (Multitek)"/>
    <n v="3"/>
    <s v="M100VL1"/>
    <s v="MULTITEK"/>
    <n v="1"/>
  </r>
  <r>
    <s v="0147"/>
    <x v="15"/>
    <n v="66200010291"/>
    <s v="Safety Lifesaving*Lifeboat - 20 Man (Port)*LIFEBOAT*Shifter (Throttle)"/>
    <x v="107"/>
    <s v="Y"/>
    <n v="1"/>
    <s v="Shifter (Throttle)"/>
    <s v="Safety Lifesaving*Lifeboat - 20 Man (Port)*LIFEBOAT*Shifter (Throttle)"/>
    <n v="1"/>
    <s v="309473"/>
    <s v="Palfinger Marine"/>
    <n v="2"/>
  </r>
  <r>
    <s v="0147"/>
    <x v="15"/>
    <n v="66200010292"/>
    <s v="Propulsion*CPP Hydraulic Unit (Port)*Signal Conditioner"/>
    <x v="101"/>
    <s v="Y"/>
    <n v="4"/>
    <s v="Signal Conditioner"/>
    <s v="Propulsion*CPP Hydraulic Unit (Port)*Signal Conditioner"/>
    <n v="4"/>
    <s v="2810939"/>
    <s v="ESI"/>
    <n v="2"/>
  </r>
  <r>
    <s v="0147"/>
    <x v="15"/>
    <n v="66200010335"/>
    <s v="Propulsion*CPP Hydraulic Unit (Port)*LMP Circuit Board"/>
    <x v="101"/>
    <s v="Y"/>
    <n v="1"/>
    <s v="LMP Circuit Board"/>
    <s v="Propulsion*CPP Hydraulic Unit (Port)*LMP Circuit Board"/>
    <n v="2"/>
    <s v="W006927795"/>
    <s v="WARTSILA/LIPS"/>
    <n v="2"/>
  </r>
  <r>
    <s v="0147"/>
    <x v="15"/>
    <n v="66200010343"/>
    <s v="Propulsion*Main Engine (Port) (Cat 3612)*ELECTRICAL/STARTING SYS*Low Voltage Battery Alarm Relay"/>
    <x v="101"/>
    <s v="Y"/>
    <n v="1"/>
    <s v="Low Voltage Battery Alarm Relay"/>
    <s v="Propulsion*Main Engine (Port) (Cat 3612)*ELECTRICAL/STARTING SYS*Low Voltage Battery Alarm Relay"/>
    <n v="6"/>
    <s v="7C3508"/>
    <s v="Caterpillar"/>
    <n v="2"/>
  </r>
  <r>
    <s v="0147"/>
    <x v="15"/>
    <n v="66200010733"/>
    <s v="Generators*Harbor Genset*Harbor Generator Engine (CAT 3408)*Governor Linkage Kit, Elec. Powered"/>
    <x v="4"/>
    <s v="Y"/>
    <n v="1"/>
    <s v="Governor Linkage Kit, Elec. Powered"/>
    <s v="Generators*Harbor Genset*Harbor Generator Engine (CAT 3408)*Governor Linkage Kit, Elec. Powered"/>
    <n v="1"/>
    <s v="8924-370"/>
    <s v="Woodward"/>
    <n v="1"/>
  </r>
  <r>
    <s v="0147"/>
    <x v="15"/>
    <n v="66200010843"/>
    <s v="Electrical*Automation System*Bow Connection Controls*Directional Control Valve*Bow Coupling Clamp/Locking Pin"/>
    <x v="61"/>
    <s v="Y"/>
    <n v="2"/>
    <s v="Bow Coupling Clamp/Locking Pin"/>
    <s v="Electrical*Automation System*Bow Connection Controls*Directional Control Valve*Bow Coupling Clamp/Locking Pin"/>
    <n v="4"/>
    <s v="6553-D03-115/DF-10"/>
    <s v="DYNEX"/>
    <n v="1"/>
  </r>
  <r>
    <s v="0147"/>
    <x v="15"/>
    <n v="66200010844"/>
    <s v="Electrical*Automation System*Bow Connection Controls*Directional Control Valve*Solenoid Coil"/>
    <x v="61"/>
    <s v="Y"/>
    <n v="2"/>
    <s v="Solenoid Coil"/>
    <s v="Electrical*Automation System*Bow Connection Controls*Directional Control Valve*Solenoid Coil"/>
    <n v="3"/>
    <s v="1127.261"/>
    <s v="DYNEX"/>
    <n v="1"/>
  </r>
  <r>
    <s v="0147"/>
    <x v="15"/>
    <n v="66200011109"/>
    <s v="Electrical*Motor Control Centers*Relay, Ice Cube, Octal Base, 10A"/>
    <x v="61"/>
    <s v="Y"/>
    <n v="1"/>
    <s v="Relay, Ice Cube, Octal Base, 10A"/>
    <s v="Electrical*Motor Control Centers*Relay, Ice Cube, Octal Base, 10A"/>
    <n v="9"/>
    <s v="D3RR2A"/>
    <s v="ESI"/>
    <n v="1"/>
  </r>
  <r>
    <s v="0147"/>
    <x v="15"/>
    <n v="66200011146"/>
    <s v="Electrical*Motor Control Centers*Contact Kit, Size 6"/>
    <x v="61"/>
    <s v="Y"/>
    <n v="1"/>
    <s v="Contact Kit, Size 6"/>
    <s v="Electrical*Motor Control Centers*Contact Kit, Size 6"/>
    <n v="6"/>
    <s v="9963CC"/>
    <s v="ESI"/>
    <n v="1"/>
  </r>
  <r>
    <s v="0147"/>
    <x v="15"/>
    <n v="66200011150"/>
    <s v="Generators*Port Genset*Generator Engine (Port) (CAT 3516)*Electrical/Starting System*Air Start Motor"/>
    <x v="4"/>
    <s v="Y"/>
    <n v="1"/>
    <s v="Air Start Motor"/>
    <s v="Generators*Port Genset*Generator Engine (Port) (CAT 3516)*Electrical/Starting System*Air Start Motor"/>
    <n v="2"/>
    <s v="7C-3372"/>
    <s v="PATTEN/ Ring Power"/>
    <n v="2"/>
  </r>
  <r>
    <s v="0147"/>
    <x v="15"/>
    <n v="66200011291"/>
    <s v="Navigation/Communication*Communication*BOX MOUNT TELEPHONE*Phone, Bulkhead Mount"/>
    <x v="77"/>
    <s v="Y"/>
    <n v="2"/>
    <s v="Phone, Bulkhead Mount"/>
    <s v="Navigation/Communication*Communication*BOX MOUNT TELEPHONE*Phone, Bulkhead Mount"/>
    <n v="2"/>
    <s v="4600"/>
    <s v="HOSE MCCANN"/>
    <n v="1"/>
  </r>
  <r>
    <s v="0147"/>
    <x v="15"/>
    <n v="66200011292"/>
    <s v="Propulsion*CPP Hydraulic Unit (Port)*Amplifier, 3-Way"/>
    <x v="101"/>
    <s v="Y"/>
    <n v="2"/>
    <s v="Amplifier, 3-Way"/>
    <s v="Propulsion*CPP Hydraulic Unit (Port)*Amplifier, 3-Way"/>
    <n v="2"/>
    <s v="2811284"/>
    <s v="ESI"/>
    <n v="2"/>
  </r>
  <r>
    <s v="0147"/>
    <x v="15"/>
    <n v="66200012424"/>
    <s v="Navigation/Communication*General/Public Announcement*Equipment Rack*Supervision Clock Card"/>
    <x v="77"/>
    <s v="Y"/>
    <n v="1"/>
    <s v="Supervision Clock Card"/>
    <s v="Navigation/Communication*General/Public Announcement*Equipment Rack*Supervision Clock Card"/>
    <n v="1"/>
    <s v="HMUM-SCPO-7002"/>
    <s v="Hose McCann"/>
    <n v="1"/>
  </r>
  <r>
    <s v="0147"/>
    <x v="15"/>
    <n v="66200012425"/>
    <s v="Navigation/Communication*General/Public Announcement*Equipment Rack*General Alarm Card"/>
    <x v="77"/>
    <s v="Y"/>
    <n v="1"/>
    <s v="General Alarm Card"/>
    <s v="Navigation/Communication*General/Public Announcement*Equipment Rack*General Alarm Card"/>
    <n v="1"/>
    <s v="HMUM-GASV-7002"/>
    <s v="Hose McCann"/>
    <n v="1"/>
  </r>
  <r>
    <s v="0147"/>
    <x v="15"/>
    <n v="66200012426"/>
    <s v="Navigation/Communication*General/Public Announcement*Equipment Rack*PA Zone Interface Card"/>
    <x v="77"/>
    <s v="Y"/>
    <n v="1"/>
    <s v="PA Zone Interface Card"/>
    <s v="Navigation/Communication*General/Public Announcement*Equipment Rack*PA Zone Interface Card"/>
    <n v="1"/>
    <s v="HMUM-MIXX-7002"/>
    <s v="Hose McCann"/>
    <n v="1"/>
  </r>
  <r>
    <s v="0147"/>
    <x v="15"/>
    <n v="66200012427"/>
    <s v="Navigation/Communication*General/Public Announcement*Equipment Rack*MIC/AUX Control Card"/>
    <x v="77"/>
    <s v="Y"/>
    <n v="1"/>
    <s v="MIC/AUX Control Card"/>
    <s v="Navigation/Communication*General/Public Announcement*Equipment Rack*MIC/AUX Control Card"/>
    <n v="1"/>
    <s v="HMUM-AVIF-7002"/>
    <s v="Hose McCann"/>
    <n v="1"/>
  </r>
  <r>
    <s v="0147"/>
    <x v="15"/>
    <n v="66200012428"/>
    <s v="Navigation/Communication*General/Public Announcement*Equipment Rack*Audio Interface Card"/>
    <x v="77"/>
    <s v="Y"/>
    <n v="1"/>
    <s v="Audio Interface Card"/>
    <s v="Navigation/Communication*General/Public Announcement*Equipment Rack*Audio Interface Card"/>
    <n v="1"/>
    <s v="HMUM-AVOP-7003"/>
    <s v="Hose McCann"/>
    <n v="1"/>
  </r>
  <r>
    <s v="0147"/>
    <x v="15"/>
    <n v="66200012429"/>
    <s v="Navigation/Communication*General/Public Announcement*Equipment Rack*Telephone Line Interface Card"/>
    <x v="77"/>
    <s v="Y"/>
    <n v="1"/>
    <s v="Telephone Line Interface Card"/>
    <s v="Navigation/Communication*General/Public Announcement*Equipment Rack*Telephone Line Interface Card"/>
    <n v="1"/>
    <s v="HMUM-TBPA-7001"/>
    <s v="Hose McCann"/>
    <n v="1"/>
  </r>
  <r>
    <s v="0147"/>
    <x v="15"/>
    <n v="66200012430"/>
    <s v="Navigation/Communication*General/Public Announcement*Equipment Rack*Miscellaneous Fuse Card"/>
    <x v="77"/>
    <s v="Y"/>
    <n v="1"/>
    <s v="Miscellaneous Fuse Card"/>
    <s v="Navigation/Communication*General/Public Announcement*Equipment Rack*Miscellaneous Fuse Card"/>
    <n v="1"/>
    <s v="HMUM-MCFC-7001"/>
    <s v="Hose McCann"/>
    <n v="1"/>
  </r>
  <r>
    <s v="0147"/>
    <x v="15"/>
    <n v="66200012431"/>
    <s v="Navigation/Communication*General/Public Announcement*Equipment Rack*Ring Voltage Control Card"/>
    <x v="77"/>
    <s v="Y"/>
    <n v="1"/>
    <s v="Ring Voltage Control Card"/>
    <s v="Navigation/Communication*General/Public Announcement*Equipment Rack*Ring Voltage Control Card"/>
    <n v="1"/>
    <s v="HMUM-RPBX-7001"/>
    <s v="Hose McCann"/>
    <n v="1"/>
  </r>
  <r>
    <s v="0147"/>
    <x v="15"/>
    <n v="66200012432"/>
    <s v="Navigation/Communication*General/Public Announcement*Equipment Rack*Direct Line Interface Card"/>
    <x v="77"/>
    <s v="Y"/>
    <n v="1"/>
    <s v="Direct Line Interface Card"/>
    <s v="Navigation/Communication*General/Public Announcement*Equipment Rack*Direct Line Interface Card"/>
    <n v="1"/>
    <s v="HMUM-DRLS--7001"/>
    <s v="Hose McCann"/>
    <n v="1"/>
  </r>
  <r>
    <s v="0147"/>
    <x v="15"/>
    <n v="66200012433"/>
    <s v="Navigation/Communication*General/Public Announcement*Equipment Rack*Flasher and Timing Card"/>
    <x v="77"/>
    <s v="Y"/>
    <n v="1"/>
    <s v="Flasher and Timing Card"/>
    <s v="Navigation/Communication*General/Public Announcement*Equipment Rack*Flasher and Timing Card"/>
    <n v="1"/>
    <s v="HMUM-FLT1-7001"/>
    <s v="Hose McCann"/>
    <n v="1"/>
  </r>
  <r>
    <s v="0147"/>
    <x v="15"/>
    <n v="66200012434"/>
    <s v="Navigation/Communication*General/Public Announcement*Equipment Rack*Talkback Control Card"/>
    <x v="77"/>
    <s v="Y"/>
    <n v="1"/>
    <s v="Talkback Control Card"/>
    <s v="Navigation/Communication*General/Public Announcement*Equipment Rack*Talkback Control Card"/>
    <n v="1"/>
    <s v="HMUM-TBCC-7001"/>
    <s v="Hose McCann"/>
    <n v="1"/>
  </r>
  <r>
    <s v="0147"/>
    <x v="15"/>
    <n v="66200012435"/>
    <s v="Navigation/Communication*General/Public Announcement*Equipment Rack*Talkback Station Control Card"/>
    <x v="77"/>
    <s v="Y"/>
    <n v="1"/>
    <s v="Talkback Station Control Card"/>
    <s v="Navigation/Communication*General/Public Announcement*Equipment Rack*Talkback Station Control Card"/>
    <n v="1"/>
    <s v="HMUM-TBSC-7002"/>
    <s v="Hose McCann"/>
    <n v="1"/>
  </r>
  <r>
    <s v="0147"/>
    <x v="15"/>
    <n v="66200012436"/>
    <s v="Navigation/Communication*General/Public Announcement*Equipment Rack*Audio 70V Switch Card"/>
    <x v="77"/>
    <s v="Y"/>
    <n v="1"/>
    <s v="Audio 70V Switch Card"/>
    <s v="Navigation/Communication*General/Public Announcement*Equipment Rack*Audio 70V Switch Card"/>
    <n v="1"/>
    <s v="HMUM-AUDX-7001"/>
    <s v="Hose McCann"/>
    <n v="1"/>
  </r>
  <r>
    <s v="0147"/>
    <x v="15"/>
    <n v="66200012437"/>
    <s v="Navigation/Communication*General/Public Announcement*Equipment Rack*Speaker Run Trouble Card"/>
    <x v="77"/>
    <s v="Y"/>
    <n v="1"/>
    <s v="Speaker Run Trouble Card"/>
    <s v="Navigation/Communication*General/Public Announcement*Equipment Rack*Speaker Run Trouble Card"/>
    <n v="1"/>
    <s v="HMUM-QSLS-7002"/>
    <s v="Hose McCann"/>
    <n v="1"/>
  </r>
  <r>
    <s v="0147"/>
    <x v="15"/>
    <n v="66200012438"/>
    <s v="Navigation/Communication*General/Public Announcement*Equipment Rack*Dual Supervision Detection Card"/>
    <x v="77"/>
    <s v="Y"/>
    <n v="1"/>
    <s v="Dual Supervision Detection Card"/>
    <s v="Navigation/Communication*General/Public Announcement*Equipment Rack*Dual Supervision Detection Card"/>
    <n v="1"/>
    <s v="HMUMDSDC-7002"/>
    <s v="Hose McCann"/>
    <n v="1"/>
  </r>
  <r>
    <s v="0147"/>
    <x v="15"/>
    <n v="66200014001"/>
    <s v="Safety Lifesaving*CO2 Monitor (CO2 Room)*Monitor, CO2"/>
    <x v="107"/>
    <s v="Y"/>
    <n v="1"/>
    <s v="Monitor, CO2"/>
    <s v="Safety Lifesaving*CO2 Monitor (CO2 Room)*Monitor, CO2"/>
    <n v="0"/>
    <s v="RAD 0102-6"/>
    <s v="Chart Inc."/>
    <n v="1"/>
  </r>
  <r>
    <s v="0147"/>
    <x v="15"/>
    <n v="66200014002"/>
    <s v="Safety Lifesaving*CO2 Monitor (CO2 Room)*Dual Strobe Kit"/>
    <x v="107"/>
    <s v="Y"/>
    <n v="1"/>
    <s v="Dual Strobe Kit"/>
    <s v="Safety Lifesaving*CO2 Monitor (CO2 Room)*Dual Strobe Kit"/>
    <n v="1"/>
    <s v="CM-1026"/>
    <s v="Chart Inc."/>
    <n v="1"/>
  </r>
  <r>
    <s v="0147"/>
    <x v="15"/>
    <n v="66200014406"/>
    <s v="Bowthruster*Controls, Bowthruster*Button, Push"/>
    <x v="96"/>
    <s v="Y"/>
    <n v="2"/>
    <s v="Button, Push"/>
    <s v="Bowthruster*Controls, Bowthruster*Button, Push"/>
    <n v="22"/>
    <s v="02-616.011"/>
    <s v="ESI"/>
    <n v="1"/>
  </r>
  <r>
    <s v="0147"/>
    <x v="15"/>
    <n v="66200014407"/>
    <s v="Bowthruster*Controls, Bowthruster*Buzzer"/>
    <x v="96"/>
    <s v="Y"/>
    <n v="1"/>
    <s v="Buzzer"/>
    <s v="Bowthruster*Controls, Bowthruster*Buzzer"/>
    <n v="4"/>
    <s v="02-810.001"/>
    <s v="ESI"/>
    <n v="1"/>
  </r>
  <r>
    <s v="0147"/>
    <x v="15"/>
    <n v="66200014408"/>
    <s v="Bowthruster*Controls, Bowthruster*Lens"/>
    <x v="96"/>
    <s v="Y"/>
    <n v="2"/>
    <s v="Lens"/>
    <s v="Bowthruster*Controls, Bowthruster*Lens"/>
    <n v="27"/>
    <s v="02-902.7"/>
    <s v="ESI"/>
    <n v="1"/>
  </r>
  <r>
    <s v="0147"/>
    <x v="15"/>
    <n v="66200014426"/>
    <s v="Bowthruster*Controls, Bowthruster*Button, Push"/>
    <x v="96"/>
    <s v="Y"/>
    <n v="2"/>
    <s v="Button, Push"/>
    <s v="Bowthruster*Controls, Bowthruster*Button, Push"/>
    <n v="12"/>
    <s v="02-021.001"/>
    <s v="ESI"/>
    <n v="1"/>
  </r>
  <r>
    <s v="0147"/>
    <x v="15"/>
    <n v="66200014504"/>
    <s v="Electrical*Panels/Consoles*Drag Tender Console*Indicator, Actuator, 24mm x 48mm"/>
    <x v="61"/>
    <s v="Y"/>
    <n v="2"/>
    <s v="Indicator, Actuator, 24mm x 48mm"/>
    <s v="Electrical*Panels/Consoles*Drag Tender Console*Indicator, Actuator, 24mm x 48mm"/>
    <n v="0"/>
    <s v="03-021.001"/>
    <s v="ESI"/>
    <n v="1"/>
  </r>
  <r>
    <s v="0147"/>
    <x v="15"/>
    <n v="66200014506"/>
    <s v="Electrical*Panels/Consoles*Drag Tender Console*Pushbutton, Illuminated, 1C Contacts"/>
    <x v="61"/>
    <s v="Y"/>
    <n v="2"/>
    <s v="Pushbutton, Illuminated, 1C Contacts"/>
    <s v="Electrical*Panels/Consoles*Drag Tender Console*Pushbutton, Illuminated, 1C Contacts"/>
    <n v="0"/>
    <s v="03-616.011"/>
    <s v="ESI"/>
    <n v="1"/>
  </r>
  <r>
    <s v="0147"/>
    <x v="15"/>
    <n v="66200014507"/>
    <s v="Electrical*Panels/Consoles*Drag Tender Console*Pushbutton, Illuminated, 2C Contacts"/>
    <x v="61"/>
    <s v="Y"/>
    <n v="2"/>
    <s v="Pushbutton, Illuminated, 2C Contacts"/>
    <s v="Electrical*Panels/Consoles*Drag Tender Console*Pushbutton, Illuminated, 2C Contacts"/>
    <n v="0"/>
    <s v="03-619.011"/>
    <s v="ESI"/>
    <n v="1"/>
  </r>
  <r>
    <s v="0147"/>
    <x v="15"/>
    <n v="66200014508"/>
    <s v="Electrical*Panels/Consoles*Drag Tender Console*Lens, Single Head"/>
    <x v="61"/>
    <s v="Y"/>
    <n v="2"/>
    <s v="Lens, Single Head"/>
    <s v="Electrical*Panels/Consoles*Drag Tender Console*Lens, Single Head"/>
    <n v="3"/>
    <s v="03-941.7"/>
    <s v="ESI"/>
    <n v="1"/>
  </r>
  <r>
    <s v="0147"/>
    <x v="15"/>
    <n v="66200016031"/>
    <s v="HVAC*A/C Plant-Accomodations*A/C PLANT*Coil, LLSV"/>
    <x v="38"/>
    <s v="Y"/>
    <n v="2"/>
    <s v="Coil, LLSV"/>
    <s v="HVAC*A/C Plant-Accomodations*A/C PLANT*Coil, LLSV"/>
    <n v="2"/>
    <s v="MKC-2"/>
    <s v="Carrier"/>
    <n v="1"/>
  </r>
  <r>
    <s v="0147"/>
    <x v="15"/>
    <n v="66200016051"/>
    <s v="HVAC*A/C Plant-Accomodations*A/C PLANT*LLSV Complete"/>
    <x v="38"/>
    <s v="Y"/>
    <n v="1"/>
    <s v="LLSV Complete"/>
    <s v="HVAC*A/C Plant-Accomodations*A/C PLANT*LLSV Complete"/>
    <n v="0"/>
    <s v="E-19"/>
    <s v="CARRIER"/>
    <n v="1"/>
  </r>
  <r>
    <s v="0147"/>
    <x v="15"/>
    <n v="66200016052"/>
    <s v="HVAC*A/C Plant-Accomodations*A/C PLANT*LLSV Rebuild Kit"/>
    <x v="38"/>
    <s v="Y"/>
    <n v="2"/>
    <s v="LLSV Rebuild Kit"/>
    <s v="HVAC*A/C Plant-Accomodations*A/C PLANT*LLSV Rebuild Kit"/>
    <n v="3"/>
    <s v="E-19"/>
    <s v="CARRIER"/>
    <n v="1"/>
  </r>
  <r>
    <s v="0147"/>
    <x v="15"/>
    <n v="66200016202"/>
    <s v="Navigation/Communication*Navigation*STEERING CONTROLS*RUDDER SERVER AMPLIFIER*Coupling, Rudder Server Box"/>
    <x v="77"/>
    <s v="Y"/>
    <n v="1"/>
    <s v="Coupling, Rudder Server Box"/>
    <s v="Navigation/Communication*Navigation*STEERING CONTROLS*RUDDER SERVER AMPLIFIER*Coupling, Rudder Server Box"/>
    <n v="3"/>
    <s v="1887158-120"/>
    <s v="SPERRY"/>
    <n v="1"/>
  </r>
  <r>
    <s v="0147"/>
    <x v="15"/>
    <n v="66200016557"/>
    <s v="Electrical*Motor Control Centers*Aux, Contacts"/>
    <x v="61"/>
    <s v="Y"/>
    <n v="2"/>
    <s v="Aux, Contacts"/>
    <s v="Electrical*Motor Control Centers*Aux, Contacts"/>
    <n v="8"/>
    <s v="C320KGS4"/>
    <s v="ESI"/>
    <n v="1"/>
  </r>
  <r>
    <s v="0147"/>
    <x v="15"/>
    <n v="66200016560"/>
    <s v="Safety Firefighting*Fire: Damper*Damper, Modified (VC-422) Incin. Room*Actuator, Damper"/>
    <x v="84"/>
    <s v="Y"/>
    <n v="1"/>
    <s v="Actuator, Damper"/>
    <s v="Safety Firefighting*Fire: Damper*Damper, Modified (VC-422) Incin. Room*Actuator, Damper"/>
    <n v="2"/>
    <s v="Sure 24-10-CW"/>
    <s v="ESI"/>
    <n v="1"/>
  </r>
  <r>
    <s v="0147"/>
    <x v="15"/>
    <n v="66200016652"/>
    <s v="Electrical*Motor Control Centers*Coil, Magnetic"/>
    <x v="61"/>
    <s v="Y"/>
    <n v="2"/>
    <s v="Coil, Magnetic"/>
    <s v="Electrical*Motor Control Centers*Coil, Magnetic"/>
    <n v="3"/>
    <s v="9-2756-1 KIT"/>
    <s v="ESI"/>
    <n v="1"/>
  </r>
  <r>
    <s v="0147"/>
    <x v="15"/>
    <n v="66200016653"/>
    <s v="Electrical*Motor Control Centers*Coil, Magnetic"/>
    <x v="61"/>
    <s v="Y"/>
    <n v="2"/>
    <s v="Coil, Magnetic"/>
    <s v="Electrical*Motor Control Centers*Coil, Magnetic"/>
    <n v="2"/>
    <s v="9-1891-1 KIT"/>
    <s v="ESI"/>
    <n v="1"/>
  </r>
  <r>
    <s v="0147"/>
    <x v="15"/>
    <n v="66200016654"/>
    <s v="Electrical*Motor Control Centers*Coil, Magnetic"/>
    <x v="61"/>
    <s v="Y"/>
    <n v="2"/>
    <s v="Coil, Magnetic"/>
    <s v="Electrical*Motor Control Centers*Coil, Magnetic"/>
    <n v="2"/>
    <s v="9-3285-1 KIT"/>
    <s v="ESI"/>
    <n v="1"/>
  </r>
  <r>
    <s v="0147"/>
    <x v="15"/>
    <n v="66200016655"/>
    <s v="Electrical*Motor Control Centers*Aux, Contacts"/>
    <x v="61"/>
    <s v="Y"/>
    <n v="2"/>
    <s v="Aux, Contacts"/>
    <s v="Electrical*Motor Control Centers*Aux, Contacts"/>
    <n v="4"/>
    <s v="C320KGT15"/>
    <s v="ESI"/>
    <n v="1"/>
  </r>
  <r>
    <s v="0147"/>
    <x v="15"/>
    <n v="66200016656"/>
    <s v="Electrical*Motor Control Centers*Aux, Contacts"/>
    <x v="61"/>
    <s v="Y"/>
    <n v="2"/>
    <s v="Aux, Contacts"/>
    <s v="Electrical*Motor Control Centers*Aux, Contacts"/>
    <n v="4"/>
    <s v="C320KGS31"/>
    <s v="ESI"/>
    <n v="1"/>
  </r>
  <r>
    <s v="0147"/>
    <x v="15"/>
    <n v="66200016657"/>
    <s v="Electrical*Motor Control Centers*Aux, Contacts"/>
    <x v="61"/>
    <s v="Y"/>
    <n v="2"/>
    <s v="Aux, Contacts"/>
    <s v="Electrical*Motor Control Centers*Aux, Contacts"/>
    <n v="4"/>
    <s v="C320KGS41"/>
    <s v="ESI"/>
    <n v="1"/>
  </r>
  <r>
    <s v="0147"/>
    <x v="15"/>
    <n v="66200016658"/>
    <s v="Electrical*Motor Control Centers*Contacts"/>
    <x v="61"/>
    <s v="Y"/>
    <n v="2"/>
    <s v="Contacts"/>
    <s v="Electrical*Motor Control Centers*Contacts"/>
    <n v="4"/>
    <s v="6-43-6"/>
    <s v="ESI"/>
    <n v="1"/>
  </r>
  <r>
    <s v="0147"/>
    <x v="15"/>
    <n v="66200016659"/>
    <s v="Electrical*Motor Control Centers*Contacts"/>
    <x v="61"/>
    <s v="Y"/>
    <n v="2"/>
    <s v="Contacts"/>
    <s v="Electrical*Motor Control Centers*Contacts"/>
    <n v="4"/>
    <s v="6-65-8"/>
    <s v="ESI"/>
    <n v="1"/>
  </r>
  <r>
    <s v="0147"/>
    <x v="15"/>
    <n v="66200016790"/>
    <s v="Electrical*Main Switchboard*Adapter, Plug In"/>
    <x v="61"/>
    <s v="Y"/>
    <n v="1"/>
    <s v="Adapter, Plug In"/>
    <s v="Electrical*Main Switchboard*Adapter, Plug In"/>
    <n v="1"/>
    <s v="506C059G04"/>
    <s v="ESI"/>
    <n v="1"/>
  </r>
  <r>
    <s v="0147"/>
    <x v="15"/>
    <n v="66200016867"/>
    <s v="Electrical*Automation System*Bow Connection Controls*Pilot Check Valve"/>
    <x v="61"/>
    <s v="Y"/>
    <n v="2"/>
    <s v="Pilot Check Valve"/>
    <s v="Electrical*Automation System*Bow Connection Controls*Pilot Check Valve"/>
    <n v="2"/>
    <s v="CKCBXCN"/>
    <s v="PDI (Power Dynamics Innovations Llc)"/>
    <n v="1"/>
  </r>
  <r>
    <s v="0147"/>
    <x v="15"/>
    <n v="66200016868"/>
    <s v="Electrical*Automation System*Bow Connection Controls*x-Flow Control"/>
    <x v="61"/>
    <s v="Y"/>
    <n v="2"/>
    <s v="x-Flow Control"/>
    <s v="Electrical*Automation System*Bow Connection Controls*x-Flow Control"/>
    <n v="2"/>
    <s v="PAT46 30640"/>
    <s v="PDI (Power Dynamics Innovations Llc)"/>
    <n v="1"/>
  </r>
  <r>
    <s v="0147"/>
    <x v="15"/>
    <n v="66200017141"/>
    <s v="Hydraulic Service System*Hydraulic Components*Valves*Main Stage (DCV), Meter In Choke Check"/>
    <x v="104"/>
    <s v="Y"/>
    <n v="1"/>
    <s v="Main Stage (DCV), Meter In Choke Check"/>
    <s v="Hydraulic Service System*Hydraulic Components*Valves*Main Stage (DCV), Meter In Choke Check"/>
    <n v="1"/>
    <s v="SW-G04-C27S-T-A120-20-ABK-PO"/>
    <s v="PDI (Power Dynamics Innovations Llc)"/>
    <n v="1"/>
  </r>
  <r>
    <s v="0147"/>
    <x v="15"/>
    <n v="66200017734"/>
    <s v="Navigation/Communication*General/Public Announcement*Equipment Rack*Supervision/Feed/Standby Interface Card"/>
    <x v="77"/>
    <s v="Y"/>
    <n v="1"/>
    <s v="Supervision/Feed/Standby Interface Card"/>
    <s v="Navigation/Communication*General/Public Announcement*Equipment Rack*Supervision/Feed/Standby Interface Card"/>
    <n v="0"/>
    <s v="HMUM-SVIF-7003M"/>
    <s v="Hose McCann"/>
    <n v="1"/>
  </r>
  <r>
    <s v="0147"/>
    <x v="15"/>
    <n v="66200017735"/>
    <s v="Navigation/Communication*General/Public Announcement*Equipment Rack*Contact Maker Supervision Card"/>
    <x v="77"/>
    <s v="Y"/>
    <n v="1"/>
    <s v="Contact Maker Supervision Card"/>
    <s v="Navigation/Communication*General/Public Announcement*Equipment Rack*Contact Maker Supervision Card"/>
    <m/>
    <s v="HMUM-CMLS-7001"/>
    <s v="Hose McCann"/>
    <n v="1"/>
  </r>
  <r>
    <s v="0147"/>
    <x v="15"/>
    <n v="66200017736"/>
    <s v="Electrical*Automation System*Monitors/Displays*Panel View, Touch Screen"/>
    <x v="61"/>
    <s v="Y"/>
    <n v="1"/>
    <s v="Panel View, Touch Screen"/>
    <s v="Electrical*Automation System*Monitors/Displays*Panel View, Touch Screen"/>
    <n v="1"/>
    <s v="2711P-T12C4D8"/>
    <s v="Allen-Bradley"/>
    <n v="1"/>
  </r>
  <r>
    <s v="0147"/>
    <x v="15"/>
    <n v="66200017898"/>
    <s v="Safety Lifesaving*Lifeboat - 20 Man (Port)*LIFEBOAT SUPPLIES*Searchlight, Hand Held"/>
    <x v="107"/>
    <s v="Y"/>
    <n v="1"/>
    <s v="Searchlight, Hand Held"/>
    <s v="Safety Lifesaving*Lifeboat - 20 Man (Port)*LIFEBOAT SUPPLIES*Searchlight, Hand Held"/>
    <n v="1"/>
    <s v="17082660"/>
    <s v="ESI"/>
    <n v="2"/>
  </r>
  <r>
    <s v="0147"/>
    <x v="15"/>
    <n v="68400000009"/>
    <s v="Propulsion*Main Engine (Port) (Cat 3612)*AIR INLET &amp; EXHAUST SYSTEM*SHUTOFF GP-AIR(RIG SAVER)*Shut Off Assembly"/>
    <x v="101"/>
    <s v="Y"/>
    <n v="1"/>
    <s v="Shut Off Assembly"/>
    <s v="Propulsion*Main Engine (Port) (Cat 3612)*AIR INLET &amp; EXHAUST SYSTEM*SHUTOFF GP-AIR(RIG SAVER)*Shut Off Assembly"/>
    <n v="1"/>
    <s v="176-1383"/>
    <s v="Caterpillar"/>
    <n v="2"/>
  </r>
  <r>
    <s v="0147"/>
    <x v="15"/>
    <n v="68400000022"/>
    <s v="Hydraulic Service System*Hydraulic Power Unit*Hyd Power Unit Motor (#1) (Port) (350 Hp)*Coupling (Series T4)*Coupling, 70MM, Atra-Flex"/>
    <x v="104"/>
    <s v="Y"/>
    <n v="1"/>
    <s v="Coupling, 70MM, Atra-Flex"/>
    <s v="Hydraulic Service System*Hydraulic Power Unit*Hyd Power Unit Motor (#1) (Port) (350 Hp)*Coupling (Series T4)*Coupling, 70MM, Atra-Flex"/>
    <n v="3"/>
    <s v="T4RH073019P-70"/>
    <s v="PDI (Power Dynamics Innovations Llc)"/>
    <n v="2"/>
  </r>
  <r>
    <s v="0147"/>
    <x v="15"/>
    <n v="68400000023"/>
    <s v="Hydraulic Service System*Hydraulic Power Unit*Hyd Power Unit Motor (#1) (Port) (350 Hp)*Coupling (Series T4)*Coupling, 80MM, Atra-Flex"/>
    <x v="104"/>
    <s v="Y"/>
    <n v="1"/>
    <s v="Coupling, 80MM, Atra-Flex"/>
    <s v="Hydraulic Service System*Hydraulic Power Unit*Hyd Power Unit Motor (#1) (Port) (350 Hp)*Coupling (Series T4)*Coupling, 80MM, Atra-Flex"/>
    <n v="3"/>
    <s v="T4RH073019P-80"/>
    <s v="PDI (Power Dynamics Innovations Llc)"/>
    <n v="2"/>
  </r>
  <r>
    <s v="0147"/>
    <x v="15"/>
    <n v="68400000024"/>
    <s v="Hydraulic Service System*Hydraulic Power Unit*Hyd Power Unit Motor (#1) (Port) (350 Hp)*Coupling (Series T4)*Insert, Heavy Duty, Yellow"/>
    <x v="104"/>
    <s v="Y"/>
    <n v="2"/>
    <s v="Insert, Heavy Duty, Yellow"/>
    <s v="Hydraulic Service System*Hydraulic Power Unit*Hyd Power Unit Motor (#1) (Port) (350 Hp)*Coupling (Series T4)*Insert, Heavy Duty, Yellow"/>
    <n v="9"/>
    <s v="T4INSERTYELLOW-HD"/>
    <s v="PDI (Power Dynamics Innovations Llc)"/>
    <n v="2"/>
  </r>
  <r>
    <s v="0147"/>
    <x v="15"/>
    <n v="68400000025"/>
    <s v="Hydraulic Service System*Hydraulic Power Unit*Hyd Power Unit Motor (#1) (Port) (350 Hp)*Coupling (Series T4)*Clamp, Split"/>
    <x v="104"/>
    <s v="Y"/>
    <n v="2"/>
    <s v="Clamp, Split"/>
    <s v="Hydraulic Service System*Hydraulic Power Unit*Hyd Power Unit Motor (#1) (Port) (350 Hp)*Coupling (Series T4)*Clamp, Split"/>
    <n v="2"/>
    <s v="T4FH073019P"/>
    <s v="PDI (Power Dynamics Innovations Llc)"/>
    <n v="2"/>
  </r>
  <r>
    <s v="0147"/>
    <x v="15"/>
    <n v="68400000026"/>
    <s v="Hydraulic Service System*Hydraulic Power Unit*Hyd Power Unit Motor (#1) (Port) (350 Hp)*Coupling (Series T4)*Bolt, Through, Drive Ring"/>
    <x v="104"/>
    <s v="Y"/>
    <n v="3"/>
    <s v="Bolt, Through, Drive Ring"/>
    <s v="Hydraulic Service System*Hydraulic Power Unit*Hyd Power Unit Motor (#1) (Port) (350 Hp)*Coupling (Series T4)*Bolt, Through, Drive Ring"/>
    <n v="4"/>
    <s v="T4DRTB"/>
    <s v="PDI (Power Dynamics Innovations Llc)"/>
    <n v="2"/>
  </r>
  <r>
    <s v="0147"/>
    <x v="15"/>
    <n v="68400000027"/>
    <s v="Hydraulic Service System*Hydraulic Power Unit*Hyd Power Unit Motor (#1) (Port) (350 Hp)*Coupling (Series T4)*Bolt Kit, Through, Drive Ring"/>
    <x v="104"/>
    <s v="Y"/>
    <n v="2"/>
    <s v="Bolt Kit, Through, Drive Ring"/>
    <s v="Hydraulic Service System*Hydraulic Power Unit*Hyd Power Unit Motor (#1) (Port) (350 Hp)*Coupling (Series T4)*Bolt Kit, Through, Drive Ring"/>
    <n v="3"/>
    <s v="T4BKTB073019P"/>
    <s v="PDI (Power Dynamics Innovations Llc)"/>
    <n v="2"/>
  </r>
  <r>
    <s v="0147"/>
    <x v="15"/>
    <n v="68400000042"/>
    <s v="Electrical*Automation System*Draghead I/O Sensors*Senosr, High/High"/>
    <x v="61"/>
    <s v="Y"/>
    <n v="2"/>
    <s v="Senosr, High/High"/>
    <s v="Electrical*Automation System*Draghead I/O Sensors*Senosr, High/High"/>
    <n v="5"/>
    <s v="II5300"/>
    <s v="Electrical Source USA"/>
    <n v="1"/>
  </r>
  <r>
    <s v="0147"/>
    <x v="15"/>
    <n v="68400000049"/>
    <s v="Fleet Consumables*Valves, 6&quot; and Smaller*Valve, Fuel Quick Closing"/>
    <x v="55"/>
    <s v="Y"/>
    <n v="1"/>
    <s v="Valve, Fuel Quick Closing"/>
    <s v="Fleet Consumables*Valves, 6&quot; and Smaller*Valve, Fuel Quick Closing"/>
    <n v="2"/>
    <s v="9733.100"/>
    <s v="W&amp;O"/>
    <n v="1"/>
  </r>
  <r>
    <s v="0147"/>
    <x v="15"/>
    <n v="68400000050"/>
    <s v="Electrical*UPS*Swich, A/C Line Disconnect"/>
    <x v="61"/>
    <s v="Y"/>
    <n v="1"/>
    <s v="Swich, A/C Line Disconnect"/>
    <s v="Electrical*UPS*Swich, A/C Line Disconnect"/>
    <n v="3"/>
    <s v="51242200"/>
    <s v="ESI"/>
    <n v="1"/>
  </r>
  <r>
    <s v="0147"/>
    <x v="15"/>
    <n v="68400000051"/>
    <s v="Electrical*UPS*Switch, UPS Bypass"/>
    <x v="61"/>
    <s v="Y"/>
    <n v="1"/>
    <s v="Switch, UPS Bypass"/>
    <s v="Electrical*UPS*Switch, UPS Bypass"/>
    <n v="3"/>
    <s v="51242402"/>
    <s v="ESI"/>
    <n v="1"/>
  </r>
  <r>
    <s v="0147"/>
    <x v="15"/>
    <n v="68400000054"/>
    <s v="Propulsion*Main Engine (Port) (Cat 3612)*ELECTRICAL/STARTING SYS*Electrical Converter Group (CIP)"/>
    <x v="101"/>
    <s v="Y"/>
    <n v="1"/>
    <s v="Electrical Converter Group (CIP)"/>
    <s v="Propulsion*Main Engine (Port) (Cat 3612)*ELECTRICAL/STARTING SYS*Electrical Converter Group (CIP)"/>
    <n v="1"/>
    <s v="9X-9591"/>
    <s v="Caterpillar"/>
    <n v="2"/>
  </r>
  <r>
    <s v="0147"/>
    <x v="15"/>
    <n v="68400000055"/>
    <s v="Propulsion*Main Engine (Port) (Cat 3612)*ELECTRICAL/STARTING SYS*Frequency Input, Acromag Series 250T"/>
    <x v="101"/>
    <s v="Y"/>
    <n v="1"/>
    <s v="Frequency Input, Acromag Series 250T"/>
    <s v="Propulsion*Main Engine (Port) (Cat 3612)*ELECTRICAL/STARTING SYS*Frequency Input, Acromag Series 250T"/>
    <n v="2"/>
    <s v="Model-250"/>
    <s v="Acromag/ESI"/>
    <n v="2"/>
  </r>
  <r>
    <s v="0147"/>
    <x v="15"/>
    <n v="68400000056"/>
    <s v="Electrical*Automation System*Monitors/Displays*Touch Screen, Panel View"/>
    <x v="61"/>
    <s v="Y"/>
    <n v="1"/>
    <s v="Touch Screen, Panel View"/>
    <s v="Electrical*Automation System*Monitors/Displays*Touch Screen, Panel View"/>
    <n v="1"/>
    <s v="2711-T10C16L1"/>
    <s v="Allen-Bradley"/>
    <n v="1"/>
  </r>
  <r>
    <s v="0147"/>
    <x v="15"/>
    <n v="68400000058"/>
    <s v="Bowthruster*Bowthruster (Aft)*Drive, Bowthruster (Aft)*Keypad, Remote"/>
    <x v="96"/>
    <s v="Y"/>
    <n v="1"/>
    <s v="Keypad, Remote"/>
    <s v="Bowthruster*Bowthruster (Aft)*Drive, Bowthruster (Aft)*Keypad, Remote"/>
    <n v="1"/>
    <s v="KEYPAD-LOC/REM"/>
    <s v="Eaton"/>
    <n v="2"/>
  </r>
  <r>
    <s v="0147"/>
    <x v="15"/>
    <n v="68400000059"/>
    <s v="Bowthruster*Bowthruster (Aft)*Drive, Bowthruster (Aft)*Cable, RS232, 13 Ft."/>
    <x v="96"/>
    <s v="Y"/>
    <n v="1"/>
    <s v="Cable, RS232, 13 Ft."/>
    <s v="Bowthruster*Bowthruster (Aft)*Drive, Bowthruster (Aft)*Cable, RS232, 13 Ft."/>
    <m/>
    <s v="PP00104"/>
    <s v="Eaton"/>
    <n v="2"/>
  </r>
  <r>
    <s v="0147"/>
    <x v="15"/>
    <n v="68400000069"/>
    <s v="Navigation/Communication*Search Lights*Cover, Glass"/>
    <x v="77"/>
    <s v="Y"/>
    <n v="1"/>
    <s v="Cover, Glass"/>
    <s v="Navigation/Communication*Search Lights*Cover, Glass"/>
    <n v="1"/>
    <s v="EF239"/>
    <s v="CARLISLE AND FINCH"/>
    <n v="1"/>
  </r>
  <r>
    <s v="0147"/>
    <x v="15"/>
    <n v="68400000082"/>
    <s v="Bowthruster*Bowthruster (Aft)*Drive, Bowthruster (Aft)*Kit, Power Board"/>
    <x v="96"/>
    <s v="Y"/>
    <n v="1"/>
    <s v="Kit, Power Board"/>
    <s v="Bowthruster*Bowthruster (Aft)*Drive, Bowthruster (Aft)*Kit, Power Board"/>
    <n v="1"/>
    <s v="S01017"/>
    <s v="Eaton"/>
    <n v="2"/>
  </r>
  <r>
    <s v="0147"/>
    <x v="15"/>
    <n v="68400000083"/>
    <s v="Bowthruster*Bowthruster (Aft)*Drive, Bowthruster (Aft)*Fan, Cooling"/>
    <x v="96"/>
    <s v="Y"/>
    <n v="1"/>
    <s v="Fan, Cooling"/>
    <s v="Bowthruster*Bowthruster (Aft)*Drive, Bowthruster (Aft)*Fan, Cooling"/>
    <n v="1"/>
    <s v="PP00072"/>
    <s v="Eaton"/>
    <n v="2"/>
  </r>
  <r>
    <s v="0147"/>
    <x v="15"/>
    <n v="68400000098"/>
    <s v="Hydraulic Service System*Hydraulic Power Unit*Hydraulic Power Unit MCC*Kit, Magnet Repair"/>
    <x v="104"/>
    <s v="Y"/>
    <n v="1"/>
    <s v="Kit, Magnet Repair"/>
    <s v="Hydraulic Service System*Hydraulic Power Unit*Hydraulic Power Unit MCC*Kit, Magnet Repair"/>
    <n v="1"/>
    <s v="99-3467"/>
    <s v="Eaton"/>
    <n v="1"/>
  </r>
  <r>
    <s v="0147"/>
    <x v="15"/>
    <n v="68400000099"/>
    <s v="Hydraulic Service System*Hydraulic Power Unit*Hydraulic Power Unit MCC*Resistor, Saving, AC Interlock"/>
    <x v="104"/>
    <s v="Y"/>
    <n v="1"/>
    <s v="Resistor, Saving, AC Interlock"/>
    <s v="Hydraulic Service System*Hydraulic Power Unit*Hydraulic Power Unit MCC*Resistor, Saving, AC Interlock"/>
    <n v="1"/>
    <s v="10-6144"/>
    <s v="Eaton"/>
    <n v="1"/>
  </r>
  <r>
    <s v="0147"/>
    <x v="15"/>
    <n v="68400000100"/>
    <s v="Hydraulic Service System*Hydraulic Power Unit*Hydraulic Power Unit MCC*Coil Set, Main"/>
    <x v="104"/>
    <s v="Y"/>
    <n v="1"/>
    <s v="Coil Set, Main"/>
    <s v="Hydraulic Service System*Hydraulic Power Unit*Hydraulic Power Unit MCC*Coil Set, Main"/>
    <n v="1"/>
    <s v="9-3006"/>
    <s v="Eaton"/>
    <n v="1"/>
  </r>
  <r>
    <s v="0147"/>
    <x v="15"/>
    <n v="68400000101"/>
    <s v="Hydraulic Service System*Hydraulic Power Unit*Hydraulic Power Unit MCC*Contact, Aux. (2NO-2NC)"/>
    <x v="104"/>
    <s v="Y"/>
    <n v="1"/>
    <s v="Contact, Aux. (2NO-2NC)"/>
    <s v="Hydraulic Service System*Hydraulic Power Unit*Hydraulic Power Unit MCC*Contact, Aux. (2NO-2NC)"/>
    <n v="1"/>
    <s v="C320KA8"/>
    <s v="Eaton"/>
    <n v="1"/>
  </r>
  <r>
    <s v="0147"/>
    <x v="15"/>
    <n v="68400000102"/>
    <s v="Hydraulic Service System*Hydraulic Power Unit*Hydraulic Power Unit MCC*Feeder Group"/>
    <x v="104"/>
    <s v="Y"/>
    <n v="1"/>
    <s v="Feeder Group"/>
    <s v="Hydraulic Service System*Hydraulic Power Unit*Hydraulic Power Unit MCC*Feeder Group"/>
    <n v="1"/>
    <s v="9-3007"/>
    <s v="Eaton"/>
    <n v="1"/>
  </r>
  <r>
    <s v="0147"/>
    <x v="15"/>
    <n v="68400000103"/>
    <s v="Hydraulic Service System*Hydraulic Power Unit*Hydraulic Power Unit MCC*Starter, Motor, NEMA Size 6"/>
    <x v="104"/>
    <s v="Y"/>
    <n v="1"/>
    <s v="Starter, Motor, NEMA Size 6"/>
    <s v="Hydraulic Service System*Hydraulic Power Unit*Hydraulic Power Unit MCC*Starter, Motor, NEMA Size 6"/>
    <n v="1"/>
    <s v="AN16TN0"/>
    <s v="Eaton"/>
    <n v="1"/>
  </r>
  <r>
    <s v="0147"/>
    <x v="15"/>
    <n v="68400000110"/>
    <s v="Propulsion*Gearbox (Port)*Coupling (Rato S 3110-2210/1070)*Element, Coupling"/>
    <x v="101"/>
    <s v="Y"/>
    <n v="1"/>
    <s v="Element, Coupling"/>
    <s v="Propulsion*Gearbox (Port)*Coupling (Rato S 3110-2210/1070)*Element, Coupling"/>
    <n v="9"/>
    <s v="EG3111A003"/>
    <s v="AMERICAN VULKAN CORP."/>
    <n v="2"/>
  </r>
  <r>
    <s v="0147"/>
    <x v="15"/>
    <n v="68400000130"/>
    <s v="Navigation/Communication*General/Public Announcement*Equipment Rack*Amplifier"/>
    <x v="77"/>
    <s v="Y"/>
    <n v="1"/>
    <s v="Amplifier"/>
    <s v="Navigation/Communication*General/Public Announcement*Equipment Rack*Amplifier"/>
    <n v="1"/>
    <s v="HMUM-A250"/>
    <s v="Hose McCann"/>
    <n v="1"/>
  </r>
  <r>
    <s v="0147"/>
    <x v="15"/>
    <n v="68400000131"/>
    <s v="Navigation/Communication*General/Public Announcement*Equipment Rack*Power Supply"/>
    <x v="77"/>
    <s v="Y"/>
    <n v="1"/>
    <s v="Power Supply"/>
    <s v="Navigation/Communication*General/Public Announcement*Equipment Rack*Power Supply"/>
    <n v="2"/>
    <s v="PSSW-7403"/>
    <s v="Hose McCann"/>
    <n v="1"/>
  </r>
  <r>
    <s v="0147"/>
    <x v="15"/>
    <n v="68400000136"/>
    <s v="Piping (Dredge)*Dragarm (Port)*Suction By-Pass Assembly*Hydraulic Controls*Valve, Directional Control"/>
    <x v="80"/>
    <s v="Y"/>
    <n v="1"/>
    <s v="Valve, Directional Control"/>
    <s v="Piping (Dredge)*Dragarm (Port)*Suction By-Pass Assembly*Hydraulic Controls*Valve, Directional Control"/>
    <n v="0"/>
    <s v="SHW-G02-C4-A120-20-N"/>
    <s v="PDI (Power Dynamics Innovations Llc)"/>
    <n v="2"/>
  </r>
  <r>
    <s v="0147"/>
    <x v="15"/>
    <n v="68400000137"/>
    <s v="Piping (Dredge)*Dragarm (Port)*Suction By-Pass Assembly*Hydraulic Controls*Flow Control"/>
    <x v="80"/>
    <s v="Y"/>
    <n v="1"/>
    <s v="Flow Control"/>
    <s v="Piping (Dredge)*Dragarm (Port)*Suction By-Pass Assembly*Hydraulic Controls*Flow Control"/>
    <n v="0"/>
    <s v="MT-02W-K-30 (N)"/>
    <s v="PDI (Power Dynamics Innovations Llc)"/>
    <n v="2"/>
  </r>
  <r>
    <s v="0147"/>
    <x v="15"/>
    <n v="68400000138"/>
    <s v="Piping (Dredge)*Dragarm (Port)*Suction By-Pass Assembly*Hydraulic Controls*Valve, Counter Balance"/>
    <x v="80"/>
    <s v="Y"/>
    <n v="1"/>
    <s v="Valve, Counter Balance"/>
    <s v="Piping (Dredge)*Dragarm (Port)*Suction By-Pass Assembly*Hydraulic Controls*Valve, Counter Balance"/>
    <n v="0"/>
    <s v="CBCA-LHN-EBY/S"/>
    <s v="PDI (Power Dynamics Innovations Llc)"/>
    <n v="2"/>
  </r>
  <r>
    <s v="0147"/>
    <x v="15"/>
    <n v="68400000139"/>
    <s v="Piping (Dredge)*Dragarm (Port)*Suction By-Pass Assembly*Hydraulic Controls*Valve, Pressure Reducing"/>
    <x v="80"/>
    <s v="Y"/>
    <n v="1"/>
    <s v="Valve, Pressure Reducing"/>
    <s v="Piping (Dredge)*Dragarm (Port)*Suction By-Pass Assembly*Hydraulic Controls*Valve, Pressure Reducing"/>
    <n v="0"/>
    <s v="MPR-02P-K-3-30-N (N)"/>
    <s v="PDI (Power Dynamics Innovations Llc)"/>
    <n v="2"/>
  </r>
  <r>
    <s v="0147"/>
    <x v="15"/>
    <n v="68400000140"/>
    <s v="Piping (Dredge)*Dragarm (Port)*Suction By-Pass Assembly*Hydraulic Controls*Kit, Stud, 10X12X12 w/Nuts"/>
    <x v="80"/>
    <s v="Y"/>
    <n v="1"/>
    <s v="Kit, Stud, 10X12X12 w/Nuts"/>
    <s v="Piping (Dredge)*Dragarm (Port)*Suction By-Pass Assembly*Hydraulic Controls*Kit, Stud, 10X12X12 w/Nuts"/>
    <n v="0"/>
    <s v="992-012"/>
    <s v="PDI (Power Dynamics Innovations Llc)"/>
    <n v="2"/>
  </r>
  <r>
    <s v="0147"/>
    <x v="15"/>
    <n v="68400000141"/>
    <s v="Piping (Dredge)*Dragarm (Port)*Suction By-Pass Assembly*Hydraulic Controls*Kit, Stud, M5X12&quot; w/Nuts"/>
    <x v="80"/>
    <s v="Y"/>
    <n v="1"/>
    <s v="Kit, Stud, M5X12&quot; w/Nuts"/>
    <s v="Piping (Dredge)*Dragarm (Port)*Suction By-Pass Assembly*Hydraulic Controls*Kit, Stud, M5X12&quot; w/Nuts"/>
    <n v="0"/>
    <s v="992-112"/>
    <s v="PDI (Power Dynamics Innovations Llc)"/>
    <n v="2"/>
  </r>
  <r>
    <s v="0148"/>
    <x v="16"/>
    <n v="27123"/>
    <s v="Pump, Dredge (Port)*Dredge Pump (Port)*Impeller"/>
    <x v="82"/>
    <s v="Y"/>
    <n v="1"/>
    <s v="Impeller"/>
    <s v="Pump, Dredge (Port)*Dredge Pump (Port)*Impeller"/>
    <n v="0"/>
    <s v="A-4372"/>
    <s v="SPI/MPMW"/>
    <n v="2"/>
  </r>
  <r>
    <s v="0148"/>
    <x v="16"/>
    <n v="27125"/>
    <s v="Pump, Dredge (Port)*Dredge Pump (Port)*Door, Engine Side"/>
    <x v="82"/>
    <s v="Y"/>
    <n v="1"/>
    <s v="Door, Engine Side"/>
    <s v="Pump, Dredge (Port)*Dredge Pump (Port)*Door, Engine Side"/>
    <n v="0"/>
    <s v="A-4371"/>
    <s v="SPI/MPMW"/>
    <n v="2"/>
  </r>
  <r>
    <s v="0148"/>
    <x v="16"/>
    <n v="27133"/>
    <s v="Pump, Dredge (Port)*Dredge Pump (Port)*Housing, Floating Seal"/>
    <x v="82"/>
    <s v="Y"/>
    <n v="1"/>
    <s v="Housing, Floating Seal"/>
    <s v="Pump, Dredge (Port)*Dredge Pump (Port)*Housing, Floating Seal"/>
    <n v="2"/>
    <s v="A-4373"/>
    <s v="SPI/MPMW"/>
    <n v="2"/>
  </r>
  <r>
    <s v="0148"/>
    <x v="16"/>
    <n v="27314"/>
    <s v="Pump, Jet*Pump, Jet (Stbd)(HP)*Bearing Housing, Cartridge"/>
    <x v="108"/>
    <s v="Y"/>
    <n v="1"/>
    <s v="Bearing Housing, Cartridge"/>
    <s v="Pump, Jet*Pump, Jet (Stbd)(HP)*Bearing Housing, Cartridge"/>
    <n v="0"/>
    <s v="651-7441D-00-0P30C"/>
    <s v="GIW INDUSTRIES"/>
    <n v="1"/>
  </r>
  <r>
    <s v="0148"/>
    <x v="16"/>
    <n v="27831"/>
    <s v="Generators*Service Genset (Port)*Service Generator Engine (Port) (CAT D399)*AFTERCOOLERS, R.S.&amp; L.S.*Aftercooler Core"/>
    <x v="4"/>
    <s v="Y"/>
    <n v="2"/>
    <s v="Aftercooler Core"/>
    <s v="Generators*Service Genset (Port)*Service Generator Engine (Port) (CAT D399)*AFTERCOOLERS, R.S.&amp; L.S.*Aftercooler Core"/>
    <n v="2"/>
    <s v="3N-4365"/>
    <s v="Caterpillar"/>
    <n v="2"/>
  </r>
  <r>
    <s v="0148"/>
    <x v="16"/>
    <n v="27994"/>
    <s v="Generators*Service Genset (Port)*Service Generator Engine (Port) (CAT D399)*FUEL INJECTIONS NOZZLES*Line Assembly # 1 &amp; 16"/>
    <x v="4"/>
    <s v="Y"/>
    <n v="1"/>
    <s v="Line Assembly # 1 &amp; 16"/>
    <s v="Generators*Service Genset (Port)*Service Generator Engine (Port) (CAT D399)*FUEL INJECTIONS NOZZLES*Line Assembly # 1 &amp; 16"/>
    <n v="0"/>
    <s v="7L-0321"/>
    <s v="Caterpillar"/>
    <n v="2"/>
  </r>
  <r>
    <s v="0148"/>
    <x v="16"/>
    <n v="27995"/>
    <s v="Generators*Service Genset (Port)*Service Generator Engine (Port) (CAT D399)*FUEL INJECTIONS NOZZLES*Line Assembly # 2 &amp; 15"/>
    <x v="4"/>
    <s v="Y"/>
    <n v="1"/>
    <s v="Line Assembly # 2 &amp; 15"/>
    <s v="Generators*Service Genset (Port)*Service Generator Engine (Port) (CAT D399)*FUEL INJECTIONS NOZZLES*Line Assembly # 2 &amp; 15"/>
    <n v="0"/>
    <s v="7L-0322"/>
    <s v="Caterpillar"/>
    <n v="2"/>
  </r>
  <r>
    <s v="0148"/>
    <x v="16"/>
    <n v="27996"/>
    <s v="Generators*Service Genset (Port)*Service Generator Engine (Port) (CAT D399)*FUEL INJECTIONS NOZZLES*Line Assembly # 3 &amp; 14"/>
    <x v="4"/>
    <s v="Y"/>
    <n v="1"/>
    <s v="Line Assembly # 3 &amp; 14"/>
    <s v="Generators*Service Genset (Port)*Service Generator Engine (Port) (CAT D399)*FUEL INJECTIONS NOZZLES*Line Assembly # 3 &amp; 14"/>
    <n v="0"/>
    <s v="7L-0323"/>
    <s v="Caterpillar"/>
    <n v="2"/>
  </r>
  <r>
    <s v="0148"/>
    <x v="16"/>
    <n v="27997"/>
    <s v="Generators*Service Genset (Port)*Service Generator Engine (Port) (CAT D399)*FUEL INJECTIONS NOZZLES*Line Assembly # 4 &amp; 13"/>
    <x v="4"/>
    <s v="Y"/>
    <n v="1"/>
    <s v="Line Assembly # 4 &amp; 13"/>
    <s v="Generators*Service Genset (Port)*Service Generator Engine (Port) (CAT D399)*FUEL INJECTIONS NOZZLES*Line Assembly # 4 &amp; 13"/>
    <n v="0"/>
    <s v="7L-0324"/>
    <s v="Caterpillar"/>
    <n v="2"/>
  </r>
  <r>
    <s v="0148"/>
    <x v="16"/>
    <n v="27998"/>
    <s v="Generators*Service Genset (Port)*Service Generator Engine (Port) (CAT D399)*FUEL INJECTIONS NOZZLES*Line Assembly # 5 &amp; 12"/>
    <x v="4"/>
    <s v="Y"/>
    <n v="1"/>
    <s v="Line Assembly # 5 &amp; 12"/>
    <s v="Generators*Service Genset (Port)*Service Generator Engine (Port) (CAT D399)*FUEL INJECTIONS NOZZLES*Line Assembly # 5 &amp; 12"/>
    <n v="0"/>
    <s v="7L-0325"/>
    <s v="Caterpillar"/>
    <n v="2"/>
  </r>
  <r>
    <s v="0148"/>
    <x v="16"/>
    <n v="27999"/>
    <s v="Generators*Service Genset (Port)*Service Generator Engine (Port) (CAT D399)*FUEL INJECTIONS NOZZLES*Line Assembly # 6 &amp; 11"/>
    <x v="4"/>
    <s v="Y"/>
    <n v="1"/>
    <s v="Line Assembly # 6 &amp; 11"/>
    <s v="Generators*Service Genset (Port)*Service Generator Engine (Port) (CAT D399)*FUEL INJECTIONS NOZZLES*Line Assembly # 6 &amp; 11"/>
    <n v="0"/>
    <s v="7L-0326"/>
    <s v="Caterpillar"/>
    <n v="2"/>
  </r>
  <r>
    <s v="0148"/>
    <x v="16"/>
    <n v="28000"/>
    <s v="Generators*Service Genset (Port)*Service Generator Engine (Port) (CAT D399)*FUEL INJECTIONS NOZZLES*Line Assembly # 7 &amp; 10"/>
    <x v="4"/>
    <s v="Y"/>
    <n v="1"/>
    <s v="Line Assembly # 7 &amp; 10"/>
    <s v="Generators*Service Genset (Port)*Service Generator Engine (Port) (CAT D399)*FUEL INJECTIONS NOZZLES*Line Assembly # 7 &amp; 10"/>
    <n v="0"/>
    <s v="7L-0327"/>
    <s v="Caterpillar"/>
    <n v="2"/>
  </r>
  <r>
    <s v="0148"/>
    <x v="16"/>
    <n v="28001"/>
    <s v="Generators*Service Genset (Port)*Service Generator Engine (Port) (CAT D399)*FUEL INJECTIONS NOZZLES*Line Assembly # 8 &amp; 9"/>
    <x v="4"/>
    <s v="Y"/>
    <n v="1"/>
    <s v="Line Assembly # 8 &amp; 9"/>
    <s v="Generators*Service Genset (Port)*Service Generator Engine (Port) (CAT D399)*FUEL INJECTIONS NOZZLES*Line Assembly # 8 &amp; 9"/>
    <n v="0"/>
    <s v="7L-0328"/>
    <s v="Caterpillar"/>
    <n v="2"/>
  </r>
  <r>
    <s v="0148"/>
    <x v="16"/>
    <n v="28132"/>
    <s v="Generators*Service Genset (Port)*Service Generator Engine (Port) (CAT D399)*STARTER, AIR*Air Starter Complete"/>
    <x v="4"/>
    <s v="Y"/>
    <n v="1"/>
    <s v="Air Starter Complete"/>
    <s v="Generators*Service Genset (Port)*Service Generator Engine (Port) (CAT D399)*STARTER, AIR*Air Starter Complete"/>
    <n v="2"/>
    <s v="3N-9413"/>
    <s v="Caterpillar"/>
    <n v="2"/>
  </r>
  <r>
    <s v="0148"/>
    <x v="16"/>
    <n v="28294"/>
    <s v="Compressed Air*Start Air Compressor (Port)*V Belt, Air Start Compressor, 20HP"/>
    <x v="79"/>
    <s v="Y"/>
    <n v="1"/>
    <s v="V Belt, Air Start Compressor, 20HP"/>
    <s v="Compressed Air*Start Air Compressor (Port)*V Belt, Air Start Compressor, 20HP"/>
    <n v="0"/>
    <s v="C-112"/>
    <s v="INGERSOLL RAND"/>
    <n v="4"/>
  </r>
  <r>
    <s v="0148"/>
    <x v="16"/>
    <n v="29051"/>
    <s v="Pump, Dredge (Port)*Dredge Pump Engine (Port) (Alco)*CYLINDER HEADS*Cylinder Head W/ Valves"/>
    <x v="82"/>
    <s v="Y"/>
    <n v="6"/>
    <s v="Cylinder Head W/ Valves"/>
    <s v="Pump, Dredge (Port)*Dredge Pump Engine (Port) (Alco)*CYLINDER HEADS*Cylinder Head W/ Valves"/>
    <n v="15"/>
    <s v="22200243"/>
    <s v="ALCO"/>
    <n v="4"/>
  </r>
  <r>
    <s v="0148"/>
    <x v="16"/>
    <n v="29349"/>
    <s v="Propulsion*Main Engine (Port) (Alco Power)*Turbo/ Supercharger*Gasket Kit, Turbo - 16 Cyl."/>
    <x v="101"/>
    <s v="Y"/>
    <n v="1"/>
    <s v="Gasket Kit, Turbo - 16 Cyl."/>
    <s v="Propulsion*Main Engine (Port) (Alco Power)*Turbo/ Supercharger*Gasket Kit, Turbo - 16 Cyl."/>
    <n v="2"/>
    <s v="25000380-1"/>
    <s v="ALCO"/>
    <n v="2"/>
  </r>
  <r>
    <s v="0148"/>
    <x v="16"/>
    <n v="31402"/>
    <s v="Propulsion*Gearbox (Port)*Clutch (Astern)*Bearing Spacer, Rotary Seal"/>
    <x v="101"/>
    <s v="Y"/>
    <n v="1"/>
    <s v="Bearing Spacer, Rotary Seal"/>
    <s v="Propulsion*Gearbox (Port)*Clutch (Astern)*Bearing Spacer, Rotary Seal"/>
    <n v="5"/>
    <s v="204908"/>
    <s v="Industrial Clutch Corp."/>
    <n v="4"/>
  </r>
  <r>
    <s v="0148"/>
    <x v="16"/>
    <n v="31410"/>
    <s v="Propulsion*Gearbox (Port)*Clutch (Astern)*Cylinder Assembly"/>
    <x v="101"/>
    <s v="Y"/>
    <n v="1"/>
    <s v="Cylinder Assembly"/>
    <s v="Propulsion*Gearbox (Port)*Clutch (Astern)*Cylinder Assembly"/>
    <n v="1"/>
    <s v="208070"/>
    <s v="Industrial Clutch Corp."/>
    <n v="4"/>
  </r>
  <r>
    <s v="0148"/>
    <x v="16"/>
    <n v="31413"/>
    <s v="Propulsion*Gearbox (Port)*Clutch (Astern)*Pressure Plate"/>
    <x v="101"/>
    <s v="Y"/>
    <n v="1"/>
    <s v="Pressure Plate"/>
    <s v="Propulsion*Gearbox (Port)*Clutch (Astern)*Pressure Plate"/>
    <n v="2"/>
    <s v="208064"/>
    <s v="Industrial Clutch Corp."/>
    <n v="4"/>
  </r>
  <r>
    <s v="0148"/>
    <x v="16"/>
    <n v="31421"/>
    <s v="Propulsion*Gearbox (Port)*Clutch (Astern)*Inner Friction Disc"/>
    <x v="101"/>
    <s v="Y"/>
    <n v="4"/>
    <s v="Inner Friction Disc"/>
    <s v="Propulsion*Gearbox (Port)*Clutch (Astern)*Inner Friction Disc"/>
    <n v="5"/>
    <s v="208055"/>
    <s v="Industrial Clutch Corp."/>
    <n v="4"/>
  </r>
  <r>
    <s v="0148"/>
    <x v="16"/>
    <n v="31432"/>
    <s v="Propulsion*Gearbox (Port)*Clutch (Astern)*Spring, Pressure Plates"/>
    <x v="101"/>
    <s v="Y"/>
    <n v="1"/>
    <s v="Spring, Pressure Plates"/>
    <s v="Propulsion*Gearbox (Port)*Clutch (Astern)*Spring, Pressure Plates"/>
    <n v="24"/>
    <s v="207818"/>
    <s v="Industrial Clutch Corp."/>
    <n v="4"/>
  </r>
  <r>
    <s v="0148"/>
    <x v="16"/>
    <n v="56923"/>
    <s v="Generators*Jet Pump Genset*Jet Pump Generator Engine (CAT 3516)*Cyl Head Kit, CAT 3516, Jet Pump Gen"/>
    <x v="4"/>
    <s v="Y"/>
    <n v="1"/>
    <s v="Cyl Head Kit, CAT 3516, Jet Pump Gen"/>
    <s v="Generators*Jet Pump Genset*Jet Pump Generator Engine (CAT 3516)*Cyl Head Kit, CAT 3516, Jet Pump Gen"/>
    <n v="0"/>
    <s v="240-9644"/>
    <s v="CATERPILLER"/>
    <n v="1"/>
  </r>
  <r>
    <s v="0148"/>
    <x v="16"/>
    <n v="56926"/>
    <s v="Generators*Jet Pump Genset*Jet Pump Generator Engine (CAT 3516)*Top End Parts*Cylinder Head Gasket Set, CAT 3516"/>
    <x v="4"/>
    <s v="Y"/>
    <n v="4"/>
    <s v="Cylinder Head Gasket Set, CAT 3516"/>
    <s v="Generators*Jet Pump Genset*Jet Pump Generator Engine (CAT 3516)*Top End Parts*Cylinder Head Gasket Set, CAT 3516"/>
    <n v="4"/>
    <s v="240-9644"/>
    <s v="CATERPILLER"/>
    <n v="1"/>
  </r>
  <r>
    <s v="0148"/>
    <x v="16"/>
    <n v="56939"/>
    <s v="Generators*Jet Pump Genset*Jet Pump Generator Engine (CAT 3516)*Top End Parts*Cylinder Head, CAT 3516"/>
    <x v="4"/>
    <s v="Y"/>
    <n v="2"/>
    <s v="Cylinder Head, CAT 3516"/>
    <s v="Generators*Jet Pump Genset*Jet Pump Generator Engine (CAT 3516)*Top End Parts*Cylinder Head, CAT 3516"/>
    <n v="2"/>
    <s v="10R-7765"/>
    <s v="CATERPILLER"/>
    <n v="1"/>
  </r>
  <r>
    <s v="0148"/>
    <x v="16"/>
    <n v="57224"/>
    <s v="Generators*Jet Pump Genset*Jet Pump Generator Engine (CAT 3516)*Injector, CAT 3516, Jet Pump Gen Eng"/>
    <x v="4"/>
    <s v="Y"/>
    <n v="16"/>
    <s v="Injector, CAT 3516, Jet Pump Gen Eng"/>
    <s v="Generators*Jet Pump Genset*Jet Pump Generator Engine (CAT 3516)*Injector, CAT 3516, Jet Pump Gen Eng"/>
    <n v="23"/>
    <s v="20R-1275"/>
    <s v="CATERPILLER"/>
    <n v="1"/>
  </r>
  <r>
    <s v="0148"/>
    <x v="16"/>
    <n v="57521"/>
    <s v="Generators*Jet Pump Genset*Jet Pump Generator Engine (CAT 3516)*TOP END PARTS*ROCKER ARM ASSEMBLY*Cylinder Head Plate Gasket"/>
    <x v="4"/>
    <s v="Y"/>
    <n v="2"/>
    <s v="Cylinder Head Plate Gasket"/>
    <s v="Generators*Jet Pump Genset*Jet Pump Generator Engine (CAT 3516)*TOP END PARTS*ROCKER ARM ASSEMBLY*Cylinder Head Plate Gasket"/>
    <n v="2"/>
    <s v="144-5692"/>
    <s v="CATERPILLER"/>
    <n v="1"/>
  </r>
  <r>
    <s v="0148"/>
    <x v="16"/>
    <n v="57557"/>
    <s v="Generators*Jet Pump Genset*Jet Pump Generator Engine (CAT 3516)*Top End Parts*Bridge (A), Rocker Arm Valve, CAT 3516"/>
    <x v="4"/>
    <s v="Y"/>
    <n v="6"/>
    <s v="Bridge (A), Rocker Arm Valve, CAT 3516"/>
    <s v="Generators*Jet Pump Genset*Jet Pump Generator Engine (CAT 3516)*Top End Parts*Bridge (A), Rocker Arm Valve, CAT 3516"/>
    <n v="6"/>
    <s v="129-4181"/>
    <s v="CATERPILLER"/>
    <n v="1"/>
  </r>
  <r>
    <s v="0148"/>
    <x v="16"/>
    <n v="39200000443"/>
    <s v="Propulsion*Gearbox (Port)*CLUTCH*Inner Friction Disk"/>
    <x v="101"/>
    <s v="Y"/>
    <n v="4"/>
    <s v="Inner Friction Disk"/>
    <s v="Propulsion*Gearbox (Port)*CLUTCH*Inner Friction Disk"/>
    <n v="4"/>
    <s v="208055"/>
    <s v="PHILADELPHIA GEAR"/>
    <n v="2"/>
  </r>
  <r>
    <s v="0148"/>
    <x v="16"/>
    <n v="39200000451"/>
    <s v="Propulsion*Gearbox (Port)*CLUTCH*Pressure Plate"/>
    <x v="101"/>
    <s v="Y"/>
    <n v="1"/>
    <s v="Pressure Plate"/>
    <s v="Propulsion*Gearbox (Port)*CLUTCH*Pressure Plate"/>
    <n v="2"/>
    <s v="208064"/>
    <s v="PHILADELPHIA GEAR"/>
    <n v="2"/>
  </r>
  <r>
    <s v="0148"/>
    <x v="16"/>
    <n v="39200000452"/>
    <s v="Propulsion*Gearbox (Port)*CLUTCH*Outer Friction Disc"/>
    <x v="101"/>
    <s v="Y"/>
    <n v="4"/>
    <s v="Outer Friction Disc"/>
    <s v="Propulsion*Gearbox (Port)*CLUTCH*Outer Friction Disc"/>
    <n v="4"/>
    <s v="208065"/>
    <s v="PHILADELPHIA GEAR"/>
    <n v="2"/>
  </r>
  <r>
    <s v="0148"/>
    <x v="16"/>
    <n v="39200000468"/>
    <s v="Propulsion*Main Engine (Port) (Alco Power)*Turbo/ Supercharger*Gasket Kit, Turbo, 6 Cyl."/>
    <x v="101"/>
    <s v="Y"/>
    <n v="1"/>
    <s v="Gasket Kit, Turbo, 6 Cyl."/>
    <s v="Propulsion*Main Engine (Port) (Alco Power)*Turbo/ Supercharger*Gasket Kit, Turbo, 6 Cyl."/>
    <n v="2"/>
    <s v="25000383-1"/>
    <s v="ALCO DIESEL ENGINES"/>
    <n v="2"/>
  </r>
  <r>
    <s v="0148"/>
    <x v="16"/>
    <n v="39200000830"/>
    <s v="Dragarm Hoisting*Dragarm (Port)*Trunnion Hoisting*Trunnion Winch (Port)*Brake*Brake Comp, Trunnion Motor, Trun Winch"/>
    <x v="97"/>
    <s v="Y"/>
    <n v="1"/>
    <s v="Brake Comp, Trunnion Motor, Trun Winch"/>
    <s v="Dragarm Hoisting*Dragarm (Port)*Trunnion Hoisting*Trunnion Winch (Port)*Brake*Brake Comp, Trunnion Motor, Trun Winch"/>
    <n v="1"/>
    <s v="1-082-042-02-012"/>
    <s v="SKAGIT"/>
    <n v="1"/>
  </r>
  <r>
    <s v="0148"/>
    <x v="16"/>
    <n v="39200000838"/>
    <s v="Dragarm Hoisting*Dragarm (Port)*Trunnion Hoisting*Trunnion Winch (Port)*Motor, (25 HP)*Brush Holder, Trunnion Winch Motor 25 HP"/>
    <x v="97"/>
    <s v="Y"/>
    <n v="1"/>
    <s v="Brush Holder, Trunnion Winch Motor 25 HP"/>
    <s v="Dragarm Hoisting*Dragarm (Port)*Trunnion Hoisting*Trunnion Winch (Port)*Motor, (25 HP)*Brush Holder, Trunnion Winch Motor 25 HP"/>
    <n v="0"/>
    <s v="B61A0000"/>
    <s v="GE"/>
    <n v="1"/>
  </r>
  <r>
    <s v="0148"/>
    <x v="16"/>
    <n v="39200000839"/>
    <s v="Dragarm Hoisting*Dragarm (Port)*Trunnion Hoisting*Trunnion Winch (Port)*Motor, (25 HP)*Motor, Trunnion Winch, (25 HP)"/>
    <x v="97"/>
    <s v="Y"/>
    <n v="1"/>
    <s v="Motor, Trunnion Winch, (25 HP)"/>
    <s v="Dragarm Hoisting*Dragarm (Port)*Trunnion Hoisting*Trunnion Winch (Port)*Motor, (25 HP)*Motor, Trunnion Winch, (25 HP)"/>
    <n v="1"/>
    <s v="5M365XMM501"/>
    <s v="GE"/>
    <n v="1"/>
  </r>
  <r>
    <s v="0148"/>
    <x v="16"/>
    <n v="39200000841"/>
    <s v="Dragarm Hoisting*Dragarm (Port)*Trunnion Hoisting*Trunnion Winch (Port)*Cover-Grid Assy, Motor Coupling, Winch"/>
    <x v="97"/>
    <s v="Y"/>
    <n v="1"/>
    <s v="Cover-Grid Assy, Motor Coupling, Winch"/>
    <s v="Dragarm Hoisting*Dragarm (Port)*Trunnion Hoisting*Trunnion Winch (Port)*Cover-Grid Assy, Motor Coupling, Winch"/>
    <n v="6"/>
    <s v="70T10"/>
    <s v="Falk"/>
    <n v="2"/>
  </r>
  <r>
    <s v="0148"/>
    <x v="16"/>
    <n v="39200000843"/>
    <s v="Dragarm Hoisting*Dragarm (Port)*Trunnion Hoisting*Trunnion Winch (Port)*Grid, Motor Coupling, Trunnion Winch"/>
    <x v="97"/>
    <s v="Y"/>
    <n v="1"/>
    <s v="Grid, Motor Coupling, Trunnion Winch"/>
    <s v="Dragarm Hoisting*Dragarm (Port)*Trunnion Hoisting*Trunnion Winch (Port)*Grid, Motor Coupling, Trunnion Winch"/>
    <n v="5"/>
    <s v="1070T"/>
    <s v="Falk"/>
    <n v="2"/>
  </r>
  <r>
    <s v="0148"/>
    <x v="16"/>
    <n v="39200000844"/>
    <s v="Dragarm Hoisting*Dragarm (Port)*Gimbal Hoisting*Gimbal Winch (Port)*Cover Grid, Motor Coupling, Gimbal Winch"/>
    <x v="97"/>
    <s v="Y"/>
    <n v="1"/>
    <s v="Cover Grid, Motor Coupling, Gimbal Winch"/>
    <s v="Dragarm Hoisting*Dragarm (Port)*Gimbal Hoisting*Gimbal Winch (Port)*Cover Grid, Motor Coupling, Gimbal Winch"/>
    <n v="2"/>
    <s v="0776207"/>
    <s v="Falk"/>
    <n v="2"/>
  </r>
  <r>
    <s v="0148"/>
    <x v="16"/>
    <n v="39200000846"/>
    <s v="Dragarm Hoisting*Dragarm (Port)*Gimbal Hoisting*Gimbal Winch (Port)*Grid, Motor Coupling, Gimbal Winch"/>
    <x v="97"/>
    <s v="Y"/>
    <n v="1"/>
    <s v="Grid, Motor Coupling, Gimbal Winch"/>
    <s v="Dragarm Hoisting*Dragarm (Port)*Gimbal Hoisting*Gimbal Winch (Port)*Grid, Motor Coupling, Gimbal Winch"/>
    <n v="0"/>
    <s v="0758251"/>
    <s v="Falk"/>
    <n v="2"/>
  </r>
  <r>
    <s v="0148"/>
    <x v="16"/>
    <n v="39200001199"/>
    <s v="Dragarm Hoisting*Dragarm (Port)*Draghead Hoisting*Draghead Winch (Port)*Motor, (100 HP)*Brush Hold and Studs, Draghead Winch"/>
    <x v="97"/>
    <s v="Y"/>
    <n v="1"/>
    <s v="Brush Hold and Studs, Draghead Winch"/>
    <s v="Dragarm Hoisting*Dragarm (Port)*Draghead Hoisting*Draghead Winch (Port)*Motor, (100 HP)*Brush Hold and Studs, Draghead Winch"/>
    <n v="0"/>
    <s v="B61A0000G1"/>
    <s v="PHILADELPHIA GEAR"/>
    <n v="1"/>
  </r>
  <r>
    <s v="0148"/>
    <x v="16"/>
    <n v="39200001202"/>
    <s v="Dragarm Hoisting*Dragarm (Port)*Draghead Hoisting*Draghead Winch (Port)*Motor, (100 HP)*Brush Hold, Brass, Draghead Winch Motor"/>
    <x v="97"/>
    <s v="Y"/>
    <n v="1"/>
    <s v="Brush Hold, Brass, Draghead Winch Motor"/>
    <s v="Dragarm Hoisting*Dragarm (Port)*Draghead Hoisting*Draghead Winch (Port)*Motor, (100 HP)*Brush Hold, Brass, Draghead Winch Motor"/>
    <n v="0"/>
    <s v="08T03879-0000"/>
    <s v="PHILADELPHIA GEAR"/>
    <n v="1"/>
  </r>
  <r>
    <s v="0148"/>
    <x v="16"/>
    <n v="39200001209"/>
    <s v="Dragarm Hoisting*Dragarm (Port)*Draghead Hoisting*Draghead Winch (Port)*Hub, Motor Coupling, 2-3/16&quot;, Draghead"/>
    <x v="97"/>
    <s v="Y"/>
    <n v="1"/>
    <s v="Hub, Motor Coupling, 2-3/16&quot;, Draghead"/>
    <s v="Dragarm Hoisting*Dragarm (Port)*Draghead Hoisting*Draghead Winch (Port)*Hub, Motor Coupling, 2-3/16&quot;, Draghead"/>
    <m/>
    <s v="100T"/>
    <s v="TURICK"/>
    <n v="2"/>
  </r>
  <r>
    <s v="0148"/>
    <x v="16"/>
    <n v="39200001210"/>
    <s v="Dragarm Hoisting*Dragarm (Port)*Draghead Hoisting*Draghead Winch (Port)*Hub, Motor Coupling, 3-3/8&quot; Bore 7/8&quot; Ke"/>
    <x v="97"/>
    <s v="Y"/>
    <n v="1"/>
    <s v="Hub, Motor Coupling, 3-3/8&quot; Bore 7/8&quot; Ke"/>
    <s v="Dragarm Hoisting*Dragarm (Port)*Draghead Hoisting*Draghead Winch (Port)*Hub, Motor Coupling, 3-3/8&quot; Bore 7/8&quot; Ke"/>
    <n v="2"/>
    <s v="100T"/>
    <s v="Falk"/>
    <n v="2"/>
  </r>
  <r>
    <s v="0148"/>
    <x v="16"/>
    <n v="39200001211"/>
    <s v="Dragarm Hoisting*Dragarm (Port)*Draghead Hoisting*Draghead Winch (Port)*Grid, Motor Coupling, Draghead Winch"/>
    <x v="97"/>
    <s v="Y"/>
    <n v="1"/>
    <s v="Grid, Motor Coupling, Draghead Winch"/>
    <s v="Dragarm Hoisting*Dragarm (Port)*Draghead Hoisting*Draghead Winch (Port)*Grid, Motor Coupling, Draghead Winch"/>
    <n v="1"/>
    <s v="100T"/>
    <s v="Falk"/>
    <n v="2"/>
  </r>
  <r>
    <s v="0148"/>
    <x v="16"/>
    <n v="39200001212"/>
    <s v="Dragarm Hoisting*Dragarm (Port)*Draghead Hoisting*Draghead Winch (Port)*Cover, Motor Coupling, Draghead Winch"/>
    <x v="97"/>
    <s v="Y"/>
    <n v="1"/>
    <s v="Cover, Motor Coupling, Draghead Winch"/>
    <s v="Dragarm Hoisting*Dragarm (Port)*Draghead Hoisting*Draghead Winch (Port)*Cover, Motor Coupling, Draghead Winch"/>
    <n v="1"/>
    <s v="100T10-B"/>
    <s v="Falk"/>
    <n v="2"/>
  </r>
  <r>
    <s v="0148"/>
    <x v="16"/>
    <n v="39200001214"/>
    <s v="Dragarm Hoisting*Dragarm (Port)*Draghead Hoisting*Draghead Winch (Port)*Cover &amp; Grid Assy, Draghead Winch"/>
    <x v="97"/>
    <s v="Y"/>
    <n v="1"/>
    <s v="Cover &amp; Grid Assy, Draghead Winch"/>
    <s v="Dragarm Hoisting*Dragarm (Port)*Draghead Hoisting*Draghead Winch (Port)*Cover &amp; Grid Assy, Draghead Winch"/>
    <n v="1"/>
    <s v="1100T10CG"/>
    <s v="Falk"/>
    <n v="2"/>
  </r>
  <r>
    <s v="0148"/>
    <x v="16"/>
    <n v="39200001392"/>
    <s v="Dragarm Hoisting*Dragarm (Port)*Draghead Hoisting*Draghead Davit*Hose, Hydraulic, Draghead Davit"/>
    <x v="97"/>
    <s v="Y"/>
    <n v="1"/>
    <s v="Hose, Hydraulic, Draghead Davit"/>
    <s v="Dragarm Hoisting*Dragarm (Port)*Draghead Hoisting*Draghead Davit*Hose, Hydraulic, Draghead Davit"/>
    <n v="4"/>
    <s v="772ST-32"/>
    <s v="TRICO"/>
    <n v="1"/>
  </r>
  <r>
    <s v="0148"/>
    <x v="16"/>
    <n v="39200001394"/>
    <s v="Dragarm Hoisting*Dragarm (Port)*Gimbal Hoisting*Gimbal Davit*Hydraulic Cylinder*Cylinder, Hydraulic, Gimbal Davit*Hydraulic Hose, Gimbal Davit"/>
    <x v="97"/>
    <s v="Y"/>
    <n v="1"/>
    <s v="Hydraulic Hose, Gimbal Davit"/>
    <s v="Dragarm Hoisting*Dragarm (Port)*Gimbal Hoisting*Gimbal Davit*Hydraulic Cylinder*Cylinder, Hydraulic, Gimbal Davit*Hydraulic Hose, Gimbal Davit"/>
    <n v="6"/>
    <m/>
    <m/>
    <n v="2"/>
  </r>
  <r>
    <s v="0148"/>
    <x v="16"/>
    <n v="39200001444"/>
    <s v="Propulsion*Main Engine (Port) (Alco Power)*Turbo/ Supercharger*Casing, Gas Inlet Turbo"/>
    <x v="101"/>
    <s v="Y"/>
    <n v="1"/>
    <s v="Casing, Gas Inlet Turbo"/>
    <s v="Propulsion*Main Engine (Port) (Alco Power)*Turbo/ Supercharger*Casing, Gas Inlet Turbo"/>
    <n v="1"/>
    <s v="22600437"/>
    <s v="ALCO DIESEL ENGINES"/>
    <n v="2"/>
  </r>
  <r>
    <s v="0148"/>
    <x v="16"/>
    <n v="39200001481"/>
    <s v="Generators*Jet Pump Genset*Jet Pump Generator Engine (CAT 3516)*Sensor, Low Pressure, CAT 3516"/>
    <x v="4"/>
    <s v="Y"/>
    <n v="1"/>
    <s v="Sensor, Low Pressure, CAT 3516"/>
    <s v="Generators*Jet Pump Genset*Jet Pump Generator Engine (CAT 3516)*Sensor, Low Pressure, CAT 3516"/>
    <n v="3"/>
    <s v="194-6724"/>
    <s v="CATERPILLER"/>
    <n v="1"/>
  </r>
  <r>
    <s v="0148"/>
    <x v="16"/>
    <n v="39200001482"/>
    <s v="Generators*Jet Pump Genset*Jet Pump Generator Engine (CAT 3516)*Sensor, Oil Pressure, CAT 3516"/>
    <x v="4"/>
    <s v="Y"/>
    <n v="1"/>
    <s v="Sensor, Oil Pressure, CAT 3516"/>
    <s v="Generators*Jet Pump Genset*Jet Pump Generator Engine (CAT 3516)*Sensor, Oil Pressure, CAT 3516"/>
    <n v="7"/>
    <s v="194-6725"/>
    <s v="CATERPILLER"/>
    <n v="1"/>
  </r>
  <r>
    <s v="0148"/>
    <x v="16"/>
    <n v="39200001483"/>
    <s v="Generators*Jet Pump Genset*Jet Pump Generator Engine (CAT 3516)*Sensor, Pressure, Crankcase"/>
    <x v="4"/>
    <s v="Y"/>
    <n v="1"/>
    <s v="Sensor, Pressure, Crankcase"/>
    <s v="Generators*Jet Pump Genset*Jet Pump Generator Engine (CAT 3516)*Sensor, Pressure, Crankcase"/>
    <n v="2"/>
    <s v="161-9926"/>
    <s v="CATERPILLER"/>
    <n v="1"/>
  </r>
  <r>
    <s v="0148"/>
    <x v="16"/>
    <n v="39200001635"/>
    <s v="Generators*Jet Pump Genset*Jet Pump Generator Engine (CAT 3516)*Sensor, Temperature, CAT 3516"/>
    <x v="4"/>
    <s v="Y"/>
    <n v="1"/>
    <s v="Sensor, Temperature, CAT 3516"/>
    <s v="Generators*Jet Pump Genset*Jet Pump Generator Engine (CAT 3516)*Sensor, Temperature, CAT 3516"/>
    <n v="4"/>
    <s v="102-2240"/>
    <s v="CATERPILLER"/>
    <n v="1"/>
  </r>
  <r>
    <s v="0148"/>
    <x v="16"/>
    <n v="39200001834"/>
    <s v="Pump, Dredge (Port)*Dredge Pump Engine (Port) (Alco)*Fuel Injection Nozzle and Holder*Nozzle, Injector"/>
    <x v="82"/>
    <s v="Y"/>
    <n v="6"/>
    <s v="Nozzle, Injector"/>
    <s v="Pump, Dredge (Port)*Dredge Pump Engine (Port) (Alco)*Fuel Injection Nozzle and Holder*Nozzle, Injector"/>
    <n v="17"/>
    <s v="22300129"/>
    <s v="ALCO"/>
    <n v="4"/>
  </r>
  <r>
    <s v="0148"/>
    <x v="16"/>
    <n v="45000020682"/>
    <s v="Dragarm Hoisting*Dragarm (Stbd)*Draghead Hoisting*Draghead Winch (Stbd)*Motor, (100 HP)*Motor, Draghead Winch, (100 HP)"/>
    <x v="97"/>
    <s v="Y"/>
    <n v="1"/>
    <s v="Motor, Draghead Winch, (100 HP)"/>
    <s v="Dragarm Hoisting*Dragarm (Stbd)*Draghead Hoisting*Draghead Winch (Stbd)*Motor, (100 HP)*Motor, Draghead Winch, (100 HP)"/>
    <n v="0"/>
    <s v="5M449XMM501"/>
    <s v="General Electric"/>
    <n v="1"/>
  </r>
  <r>
    <s v="0148"/>
    <x v="16"/>
    <n v="45000023299"/>
    <s v="Gland Seal*Gland Seal Pump Set, (Port) (#2)*Pump, Gland Seal*Pump, Gland Seal"/>
    <x v="67"/>
    <s v="Y"/>
    <n v="1"/>
    <s v="Pump, Gland Seal"/>
    <s v="Gland Seal*Gland Seal Pump Set, (Port) (#2)*Pump, Gland Seal*Pump, Gland Seal"/>
    <n v="1"/>
    <s v="3996"/>
    <s v="Goulds"/>
    <n v="1"/>
  </r>
  <r>
    <s v="0148"/>
    <x v="16"/>
    <n v="45000023333"/>
    <s v="Potable Water*Desalinator (Port)*Distillate Pump Set*Motor, (1/2 HP)*Motor, Distillate Pump, 1/2 HP"/>
    <x v="69"/>
    <s v="Y"/>
    <n v="1"/>
    <s v="Motor, Distillate Pump, 1/2 HP"/>
    <s v="Potable Water*Desalinator (Port)*Distillate Pump Set*Motor, (1/2 HP)*Motor, Distillate Pump, 1/2 HP"/>
    <n v="1"/>
    <s v="1W7546"/>
    <s v="RELIANCE"/>
    <n v="1"/>
  </r>
  <r>
    <s v="0148"/>
    <x v="16"/>
    <n v="45000025290"/>
    <s v="Generators*Service Genset (Port)*Generator, Service (Port)*Stator, Permanent Magnet/Frame Assy"/>
    <x v="4"/>
    <s v="Y"/>
    <n v="1"/>
    <s v="Stator, Permanent Magnet/Frame Assy"/>
    <s v="Generators*Service Genset (Port)*Generator, Service (Port)*Stator, Permanent Magnet/Frame Assy"/>
    <n v="0"/>
    <s v="211-16026-02"/>
    <s v="Kato Engineering"/>
    <n v="1"/>
  </r>
  <r>
    <s v="0148"/>
    <x v="16"/>
    <n v="45000027777"/>
    <s v="Propulsion*Main Engine/Gearbox Shafting (Port/Stbd)*Coupling, EZS Flexible (Conn. To Engine)"/>
    <x v="101"/>
    <s v="Y"/>
    <n v="1"/>
    <s v="Coupling, EZS Flexible (Conn. To Engine)"/>
    <s v="Propulsion*Main Engine/Gearbox Shafting (Port/Stbd)*Coupling, EZS Flexible (Conn. To Engine)"/>
    <n v="1"/>
    <s v="63-2560"/>
    <s v="AMERICAN VULKAN CORP."/>
    <n v="1"/>
  </r>
  <r>
    <s v="0148"/>
    <x v="16"/>
    <n v="45000027786"/>
    <s v="Propulsion*Main Engine/Gearbox Shafting (Port/Stbd)*Element"/>
    <x v="101"/>
    <s v="Y"/>
    <n v="1"/>
    <s v="Element"/>
    <s v="Propulsion*Main Engine/Gearbox Shafting (Port/Stbd)*Element"/>
    <n v="1"/>
    <s v="EZ-171S"/>
    <s v="AMERICAN VULKAN CORP."/>
    <n v="1"/>
  </r>
  <r>
    <s v="0148"/>
    <x v="16"/>
    <n v="45000033068"/>
    <s v="Generators*Jet Pump Genset*Jet Pump Generator Engine (CAT 3516)*BASIC ENGINE*Cylinder Pack, CAT 3516, Jet Pump Eng"/>
    <x v="4"/>
    <s v="Y"/>
    <n v="1"/>
    <s v="Cylinder Pack, CAT 3516, Jet Pump Eng"/>
    <s v="Generators*Jet Pump Genset*Jet Pump Generator Engine (CAT 3516)*BASIC ENGINE*Cylinder Pack, CAT 3516, Jet Pump Eng"/>
    <n v="1"/>
    <s v="10R-4343"/>
    <s v="Caterpillar"/>
    <n v="1"/>
  </r>
  <r>
    <s v="0148"/>
    <x v="16"/>
    <n v="45000033623"/>
    <s v="Generators*Service Genset (Port)*Service Generator Engine (Port) (CAT D399)*CYLINDER HEADS*Cylinder Head Complete"/>
    <x v="4"/>
    <s v="Y"/>
    <n v="2"/>
    <s v="Cylinder Head Complete"/>
    <s v="Generators*Service Genset (Port)*Service Generator Engine (Port) (CAT D399)*CYLINDER HEADS*Cylinder Head Complete"/>
    <n v="2"/>
    <s v="OR-2669"/>
    <s v="Caterpillar"/>
    <n v="2"/>
  </r>
  <r>
    <s v="0148"/>
    <x v="16"/>
    <n v="45000033624"/>
    <s v="Generators*Service Genset (Port)*Service Generator Engine (Port) (CAT D399)*CONNECTING RODS &amp; WRIST PIN*Cylinder Pack"/>
    <x v="4"/>
    <s v="Y"/>
    <n v="2"/>
    <s v="Cylinder Pack"/>
    <s v="Generators*Service Genset (Port)*Service Generator Engine (Port) (CAT D399)*CONNECTING RODS &amp; WRIST PIN*Cylinder Pack"/>
    <n v="2"/>
    <s v="OR-3037"/>
    <s v="Caterpillar"/>
    <n v="2"/>
  </r>
  <r>
    <s v="0148"/>
    <x v="16"/>
    <n v="45900000342"/>
    <s v="Generators*Jet Pump Genset*Jet Pump Generator Engine (CAT 3516)*BASIC ENGINE*Turbo Cartridge, CAT 3516, Jet Pump Gen"/>
    <x v="4"/>
    <s v="Y"/>
    <n v="1"/>
    <s v="Turbo Cartridge, CAT 3516, Jet Pump Gen"/>
    <s v="Generators*Jet Pump Genset*Jet Pump Generator Engine (CAT 3516)*BASIC ENGINE*Turbo Cartridge, CAT 3516, Jet Pump Gen"/>
    <n v="0"/>
    <s v="4P-2582"/>
    <s v="CATERPILLER"/>
    <n v="1"/>
  </r>
  <r>
    <s v="0148"/>
    <x v="16"/>
    <n v="45900000633"/>
    <s v="Pump, Dredge (Port)*Dredge Pump Engine (Port) (Alco)*STARTER, AIR*Starter Drive, Bendex PME CW"/>
    <x v="82"/>
    <s v="Y"/>
    <n v="1"/>
    <s v="Starter Drive, Bendex PME CW"/>
    <s v="Pump, Dredge (Port)*Dredge Pump Engine (Port) (Alco)*STARTER, AIR*Starter Drive, Bendex PME CW"/>
    <n v="1"/>
    <s v="20BM-299-1"/>
    <s v="INGERSOL- RAND"/>
    <n v="4"/>
  </r>
  <r>
    <s v="0148"/>
    <x v="16"/>
    <n v="45900000634"/>
    <s v="Pump, Dredge (Port)*Dredge Pump Engine (Port) (Alco)*STARTER, AIR*Starter Drive, Bendex CCW SME"/>
    <x v="82"/>
    <s v="Y"/>
    <n v="1"/>
    <s v="Starter Drive, Bendex CCW SME"/>
    <s v="Pump, Dredge (Port)*Dredge Pump Engine (Port) (Alco)*STARTER, AIR*Starter Drive, Bendex CCW SME"/>
    <n v="1"/>
    <s v="SS660LB99IAO2"/>
    <s v="INGERSOL- RAND"/>
    <n v="4"/>
  </r>
  <r>
    <s v="0148"/>
    <x v="16"/>
    <n v="45900000666"/>
    <s v="Generators*Service Genset (Port)*Service Generator Engine (Port) (CAT D399)*FUEL INJECTIONS NOZZLES*Nozzle, Fuel"/>
    <x v="4"/>
    <s v="Y"/>
    <n v="12"/>
    <s v="Nozzle, Fuel"/>
    <s v="Generators*Service Genset (Port)*Service Generator Engine (Port) (CAT D399)*FUEL INJECTIONS NOZZLES*Nozzle, Fuel"/>
    <n v="36"/>
    <s v="8N-1831"/>
    <s v="Caterpillar"/>
    <n v="2"/>
  </r>
  <r>
    <s v="0148"/>
    <x v="16"/>
    <n v="45900000738"/>
    <s v="Generators*Jet Pump Genset*Jet Pump Generator Engine (CAT 3516)*Coolers*Jacket Water Cooler, CAT 3516, Jet Pump"/>
    <x v="4"/>
    <s v="Y"/>
    <n v="1"/>
    <s v="Jacket Water Cooler, CAT 3516, Jet Pump"/>
    <s v="Generators*Jet Pump Genset*Jet Pump Generator Engine (CAT 3516)*Coolers*Jacket Water Cooler, CAT 3516, Jet Pump"/>
    <n v="1"/>
    <s v="4W-4652"/>
    <s v="Caterpillar"/>
    <n v="1"/>
  </r>
  <r>
    <s v="0148"/>
    <x v="16"/>
    <n v="50600000009"/>
    <s v="Bilge/Ballast*P/R Bilge Pump Set (Port)*Motor, (25 HP)*Motor, Bilge Pump, 25 HP"/>
    <x v="83"/>
    <s v="Y"/>
    <n v="1"/>
    <s v="Motor, Bilge Pump, 25 HP"/>
    <s v="Bilge/Ballast*P/R Bilge Pump Set (Port)*Motor, (25 HP)*Motor, Bilge Pump, 25 HP"/>
    <n v="1"/>
    <s v="AEEABB"/>
    <s v="TECO"/>
    <n v="1"/>
  </r>
  <r>
    <s v="0148"/>
    <x v="16"/>
    <n v="50600000014"/>
    <s v="Bilge/Ballast*P/R Bilge Pump Set (Port)*Pump Set, Bilge Pump, Complete"/>
    <x v="83"/>
    <s v="Y"/>
    <n v="1"/>
    <s v="Pump Set, Bilge Pump, Complete"/>
    <s v="Bilge/Ballast*P/R Bilge Pump Set (Port)*Pump Set, Bilge Pump, Complete"/>
    <n v="0"/>
    <s v="3796"/>
    <s v="GOULDS PUMPS"/>
    <n v="1"/>
  </r>
  <r>
    <s v="0148"/>
    <x v="16"/>
    <n v="60200000001"/>
    <s v="Hydraulic Service System*Hyd Unit (General SVC) (Port)*Hydraulic Pump Set &quot;E&quot;*Hydraulic Pump Set &quot;E&quot;, Complete"/>
    <x v="104"/>
    <s v="Y"/>
    <n v="1"/>
    <s v="Hydraulic Pump Set &quot;E&quot;, Complete"/>
    <s v="Hydraulic Service System*Hyd Unit (General SVC) (Port)*Hydraulic Pump Set &quot;E&quot;*Hydraulic Pump Set &quot;E&quot;, Complete"/>
    <n v="1"/>
    <s v="AP27B3C1A3L35"/>
    <s v="HYDRECO"/>
    <n v="1"/>
  </r>
  <r>
    <s v="0148"/>
    <x v="16"/>
    <n v="60200000002"/>
    <s v="Hydraulic Service System*Hyd Unit (General SVC) (Port)*Hydraulic Pump Set &quot;F&quot;*Hydraulic Pump Set &quot;F&quot;, Complete"/>
    <x v="104"/>
    <s v="Y"/>
    <n v="1"/>
    <s v="Hydraulic Pump Set &quot;F&quot;, Complete"/>
    <s v="Hydraulic Service System*Hyd Unit (General SVC) (Port)*Hydraulic Pump Set &quot;F&quot;*Hydraulic Pump Set &quot;F&quot;, Complete"/>
    <n v="1"/>
    <s v="AP27B3C1A3L35"/>
    <s v="HYDRECO"/>
    <n v="1"/>
  </r>
  <r>
    <s v="0148"/>
    <x v="16"/>
    <n v="60200000003"/>
    <s v="Hydraulic Service System*Hyd Unit (General SVC) (Port)*Hydraulic Pump Set &quot;G&quot;*Hydraulic Pump Set &quot;G&quot;, Complete"/>
    <x v="104"/>
    <s v="Y"/>
    <n v="1"/>
    <s v="Hydraulic Pump Set &quot;G&quot;, Complete"/>
    <s v="Hydraulic Service System*Hyd Unit (General SVC) (Port)*Hydraulic Pump Set &quot;G&quot;*Hydraulic Pump Set &quot;G&quot;, Complete"/>
    <n v="1"/>
    <s v="AP27B3C1A3L35"/>
    <s v="HYDRECO"/>
    <n v="1"/>
  </r>
  <r>
    <s v="0148"/>
    <x v="16"/>
    <n v="60200000004"/>
    <s v="Hydraulic Service System*Hyd Unit (General SVC) (Port)*Hydraulic Pump Set &quot;H&quot;*Hydraulic Pump Set &quot;H&quot;, Complete"/>
    <x v="104"/>
    <s v="Y"/>
    <n v="1"/>
    <s v="Hydraulic Pump Set &quot;H&quot;, Complete"/>
    <s v="Hydraulic Service System*Hyd Unit (General SVC) (Port)*Hydraulic Pump Set &quot;H&quot;*Hydraulic Pump Set &quot;H&quot;, Complete"/>
    <n v="1"/>
    <s v="AP13B3C1A3L35"/>
    <s v="HYDRECO"/>
    <n v="1"/>
  </r>
  <r>
    <s v="0148"/>
    <x v="16"/>
    <n v="60200000006"/>
    <s v="Hydraulic Service System*Hyd Unit (General SVC) (Port)*Hydraulic Pump Set &quot;E&quot;*Hydraulic Pump, Vickers*Hydraulic Pump, Vickers"/>
    <x v="104"/>
    <s v="Y"/>
    <n v="1"/>
    <s v="Hydraulic Pump, Vickers"/>
    <s v="Hydraulic Service System*Hyd Unit (General SVC) (Port)*Hydraulic Pump Set &quot;E&quot;*Hydraulic Pump, Vickers*Hydraulic Pump, Vickers"/>
    <n v="4"/>
    <s v="25VQ14A 1A20"/>
    <s v="VICKERS"/>
    <n v="1"/>
  </r>
  <r>
    <s v="0148"/>
    <x v="16"/>
    <n v="62400000715"/>
    <s v="Pump, Dredge (Port)*Dredge Pump Engine (Port) (Alco)*TURBO*Turbocharger, Alco 131"/>
    <x v="82"/>
    <s v="Y"/>
    <n v="1"/>
    <s v="Turbocharger, Alco 131"/>
    <s v="Pump, Dredge (Port)*Dredge Pump Engine (Port) (Alco)*TURBO*Turbocharger, Alco 131"/>
    <n v="0"/>
    <s v="22601589"/>
    <s v="ALCO"/>
    <n v="4"/>
  </r>
  <r>
    <s v="0148"/>
    <x v="16"/>
    <n v="68700000020"/>
    <s v="Generators*Jet Pump Genset*Jet Pump Generator Engine (CAT 3516)*AIR INLET AND EXHAUST SYSTEM*TURBO CHARGER GROUP*Turbo"/>
    <x v="4"/>
    <s v="Y"/>
    <n v="1"/>
    <s v="Turbo"/>
    <s v="Generators*Jet Pump Genset*Jet Pump Generator Engine (CAT 3516)*AIR INLET AND EXHAUST SYSTEM*TURBO CHARGER GROUP*Turbo"/>
    <n v="0"/>
    <s v="203-2155"/>
    <s v="CATERPILLER"/>
    <n v="1"/>
  </r>
  <r>
    <s v="0148"/>
    <x v="16"/>
    <n v="68700000021"/>
    <s v="Generators*Jet Pump Genset*Jet Pump Generator Engine (CAT 3516)*AIR INLET AND EXHAUST SYSTEM*TURBO CHARGER GROUP*Turbo"/>
    <x v="4"/>
    <s v="Y"/>
    <n v="1"/>
    <s v="Turbo"/>
    <s v="Generators*Jet Pump Genset*Jet Pump Generator Engine (CAT 3516)*AIR INLET AND EXHAUST SYSTEM*TURBO CHARGER GROUP*Turbo"/>
    <n v="2"/>
    <s v="OR-7028"/>
    <s v="CATERPILLER"/>
    <n v="1"/>
  </r>
  <r>
    <s v="0148"/>
    <x v="16"/>
    <n v="68700000022"/>
    <s v="Generators*Jet Pump Genset*Jet Pump Generator Engine (CAT 3516)*AIR INLET AND EXHAUST SYSTEM*TURBO CHARGER GROUP*Bellows, Exhaust"/>
    <x v="4"/>
    <s v="Y"/>
    <n v="1"/>
    <s v="Bellows, Exhaust"/>
    <s v="Generators*Jet Pump Genset*Jet Pump Generator Engine (CAT 3516)*AIR INLET AND EXHAUST SYSTEM*TURBO CHARGER GROUP*Bellows, Exhaust"/>
    <n v="0"/>
    <s v="PFE 0800-1653L-4845MR"/>
    <s v="Caterpillar"/>
    <n v="1"/>
  </r>
  <r>
    <s v="0151"/>
    <x v="17"/>
    <n v="60400006867"/>
    <s v="Dragarm Hoisting*Draghead Davit (Port)*Cylinder, Hydraulic (Draghead Davit)*Cylinder, Hydraulic"/>
    <x v="97"/>
    <s v="Y"/>
    <n v="1"/>
    <s v="Cylinder, Hydraulic"/>
    <s v="Dragarm Hoisting*Draghead Davit (Port)*Cylinder, Hydraulic (Draghead Davit)*Cylinder, Hydraulic"/>
    <n v="0"/>
    <s v="CYDHGMP3.320.140.3988B10.D1RNU"/>
    <s v="REXROTH/BOSCH GROUP"/>
    <n v="2"/>
  </r>
  <r>
    <s v="0151"/>
    <x v="17"/>
    <n v="60400006868"/>
    <s v="Dragarm Hoisting*Gimbal Davit (Port)*Cylinder, Hydraulic (Gimbal Davit)*Cylinder, Hydraulic"/>
    <x v="97"/>
    <s v="Y"/>
    <n v="1"/>
    <s v="Cylinder, Hydraulic"/>
    <s v="Dragarm Hoisting*Gimbal Davit (Port)*Cylinder, Hydraulic (Gimbal Davit)*Cylinder, Hydraulic"/>
    <n v="0"/>
    <s v="CYDHGMP3.320.140.2486B10.D1RNU"/>
    <s v="REXROTH/BOSCH GROUP"/>
    <n v="2"/>
  </r>
  <r>
    <s v="0151"/>
    <x v="17"/>
    <n v="60400006869"/>
    <s v="Dragarm Hoisting*Trunnion Davit (Port)*Cylinder, Hydraulic (Trunnion Davit)*Cylinder, Hydraulic"/>
    <x v="97"/>
    <s v="Y"/>
    <n v="1"/>
    <s v="Cylinder, Hydraulic"/>
    <s v="Dragarm Hoisting*Trunnion Davit (Port)*Cylinder, Hydraulic (Trunnion Davit)*Cylinder, Hydraulic"/>
    <n v="0"/>
    <s v="CYDHG XXX.200.125.02998B10.D1R"/>
    <s v="REXROTH BOSCH GROUP"/>
    <n v="2"/>
  </r>
  <r>
    <s v="0151"/>
    <x v="17"/>
    <n v="62400001455"/>
    <s v="Dragarm Hoisting*Draghead Davit (Port)*Draghead Winch (Port)*Hydraulic Motor, Draghead Winch*Motor, Hydraulic"/>
    <x v="97"/>
    <s v="Y"/>
    <n v="1"/>
    <s v="Motor, Hydraulic"/>
    <s v="Dragarm Hoisting*Draghead Davit (Port)*Draghead Winch (Port)*Hydraulic Motor, Draghead Winch*Motor, Hydraulic"/>
    <n v="1"/>
    <s v="A2FM355/60W-VZH010"/>
    <s v="BOSCH REXROTH"/>
    <n v="2"/>
  </r>
  <r>
    <s v="0151"/>
    <x v="17"/>
    <n v="62400001750"/>
    <s v="Piping (Dredge)*A. Dragarm (Port)*A01P Draghead, (36&quot;)*Visor (36&quot; Wild Dragon)*Visor, Wild Dragon (RH)*Visor Pin"/>
    <x v="80"/>
    <s v="Y"/>
    <n v="2"/>
    <s v="Visor Pin"/>
    <s v="Piping (Dredge)*A. Dragarm (Port)*A01P Draghead, (36&quot;)*Visor (36&quot; Wild Dragon)*Visor, Wild Dragon (RH)*Visor Pin"/>
    <n v="0"/>
    <m/>
    <m/>
    <n v="2"/>
  </r>
  <r>
    <s v="0151"/>
    <x v="17"/>
    <n v="62400001752"/>
    <s v="Piping (Dredge)*A. Dragarm (Port)*A01P Draghead, (36&quot;)*Visor (36&quot; Wild Dragon)*Visor, Wild Dragon (RH)*Visor Pin Middle"/>
    <x v="80"/>
    <s v="Y"/>
    <n v="1"/>
    <s v="Visor Pin Middle"/>
    <s v="Piping (Dredge)*A. Dragarm (Port)*A01P Draghead, (36&quot;)*Visor (36&quot; Wild Dragon)*Visor, Wild Dragon (RH)*Visor Pin Middle"/>
    <n v="1"/>
    <m/>
    <m/>
    <n v="2"/>
  </r>
  <r>
    <s v="0151"/>
    <x v="17"/>
    <n v="62400001757"/>
    <s v="Piping (Dredge)*A. Dragarm (Port)*A01P Draghead, (36&quot;)*Visor (36&quot; Wild Dragon)*Visor, Wild Dragon (RH)*Visor Cover PL"/>
    <x v="80"/>
    <s v="Y"/>
    <n v="1"/>
    <s v="Visor Cover PL"/>
    <s v="Piping (Dredge)*A. Dragarm (Port)*A01P Draghead, (36&quot;)*Visor (36&quot; Wild Dragon)*Visor, Wild Dragon (RH)*Visor Cover PL"/>
    <n v="0"/>
    <m/>
    <m/>
    <n v="2"/>
  </r>
  <r>
    <s v="0151"/>
    <x v="17"/>
    <n v="62400001768"/>
    <s v="Piping (Dredge)*A. Dragarm (Port)*A01P Draghead, (36&quot;)*Visor (36&quot; Wild Dragon)*Visor, Wild Dragon (RH)*Side Plate, Visor"/>
    <x v="80"/>
    <s v="Y"/>
    <n v="4"/>
    <s v="Side Plate, Visor"/>
    <s v="Piping (Dredge)*A. Dragarm (Port)*A01P Draghead, (36&quot;)*Visor (36&quot; Wild Dragon)*Visor, Wild Dragon (RH)*Side Plate, Visor"/>
    <n v="0"/>
    <s v="151-61-26376."/>
    <s v="GLDD DWG"/>
    <n v="2"/>
  </r>
  <r>
    <s v="0151"/>
    <x v="17"/>
    <n v="62400001811"/>
    <s v="Piping (Dredge)*A. Dragarm (Port)*A01P Draghead, (36&quot;)*Visor (36&quot; Wild Dragon)*Visor, Wild Dragon (RH)*Visor Pin Inner"/>
    <x v="80"/>
    <s v="Y"/>
    <n v="2"/>
    <s v="Visor Pin Inner"/>
    <s v="Piping (Dredge)*A. Dragarm (Port)*A01P Draghead, (36&quot;)*Visor (36&quot; Wild Dragon)*Visor, Wild Dragon (RH)*Visor Pin Inner"/>
    <n v="0"/>
    <m/>
    <m/>
    <n v="2"/>
  </r>
  <r>
    <s v="0151"/>
    <x v="17"/>
    <n v="62400001894"/>
    <s v="Pump, Dredge*Dredge Pump (Port)*Stuffing Box*Kit, Shaft Sleeve"/>
    <x v="63"/>
    <s v="Y"/>
    <n v="1"/>
    <s v="Kit, Shaft Sleeve"/>
    <s v="Pump, Dredge*Dredge Pump (Port)*Stuffing Box*Kit, Shaft Sleeve"/>
    <n v="2"/>
    <s v="9749P-78-0000K"/>
    <s v="GIW"/>
    <n v="2"/>
  </r>
  <r>
    <s v="0151"/>
    <x v="17"/>
    <n v="62400001946"/>
    <s v="Pump, Dredge*Dredge Pump (Port)*Stuffing Box*Lantern Ring"/>
    <x v="63"/>
    <s v="Y"/>
    <n v="2"/>
    <s v="Lantern Ring"/>
    <s v="Pump, Dredge*Dredge Pump (Port)*Stuffing Box*Lantern Ring"/>
    <n v="0"/>
    <s v="3484D-05-06GAT"/>
    <s v="GIW"/>
    <n v="2"/>
  </r>
  <r>
    <s v="0151"/>
    <x v="17"/>
    <n v="62400002035"/>
    <s v="Pump, Dredge*Dredge Pump (Port)*Stuffing Box*Kit, Gasket, Sleeve"/>
    <x v="63"/>
    <s v="Y"/>
    <n v="1"/>
    <s v="Kit, Gasket, Sleeve"/>
    <s v="Pump, Dredge*Dredge Pump (Port)*Stuffing Box*Kit, Gasket, Sleeve"/>
    <n v="0"/>
    <s v="9748P-55-0000K"/>
    <s v="GIW"/>
    <n v="2"/>
  </r>
  <r>
    <s v="0151"/>
    <x v="17"/>
    <n v="62400004892"/>
    <s v="Piping (Dredge)*G. Loading Boxes*Cylinder, Hydraulic*Hydraulic Cylinder, Loading Box"/>
    <x v="80"/>
    <s v="Y"/>
    <n v="1"/>
    <s v="Hydraulic Cylinder, Loading Box"/>
    <s v="Piping (Dredge)*G. Loading Boxes*Cylinder, Hydraulic*Hydraulic Cylinder, Loading Box"/>
    <n v="0"/>
    <s v="2744"/>
    <s v="CRC"/>
    <n v="1"/>
  </r>
  <r>
    <s v="0151"/>
    <x v="17"/>
    <n v="62400004944"/>
    <s v="Pump Drive, Dredge*Dredge Pump Engine (Port)*Assembly 03: Handhole Covers*CYLINDER TEST VALVE"/>
    <x v="109"/>
    <s v="Y"/>
    <n v="2"/>
    <s v="CYLINDER TEST VALVE"/>
    <s v="Pump Drive, Dredge*Dredge Pump Engine (Port)*Assembly 03: Handhole Covers*CYLINDER TEST VALVE"/>
    <n v="0"/>
    <m/>
    <m/>
    <n v="2"/>
  </r>
  <r>
    <s v="0151"/>
    <x v="17"/>
    <n v="62400005023"/>
    <s v="Pump Drive, Dredge*Dredge Pump Engine (Port)*Assembly 04: Power Assembly*POWER PACK ASSEMBLY, BLADE ROD (UTE"/>
    <x v="109"/>
    <s v="Y"/>
    <n v="1"/>
    <s v="POWER PACK ASSEMBLY, BLADE ROD (UTE"/>
    <s v="Pump Drive, Dredge*Dredge Pump Engine (Port)*Assembly 04: Power Assembly*POWER PACK ASSEMBLY, BLADE ROD (UTE"/>
    <n v="1"/>
    <s v="40190021"/>
    <s v="EMD"/>
    <n v="2"/>
  </r>
  <r>
    <s v="0151"/>
    <x v="17"/>
    <n v="62400005025"/>
    <s v="Pump Drive, Dredge*Dredge Pump Engine (Port)*Assembly 04: Power Assembly*POWER PACK ASSEMBLY, FORK ROD (UTEX"/>
    <x v="109"/>
    <s v="Y"/>
    <n v="1"/>
    <s v="POWER PACK ASSEMBLY, FORK ROD (UTEX"/>
    <s v="Pump Drive, Dredge*Dredge Pump Engine (Port)*Assembly 04: Power Assembly*POWER PACK ASSEMBLY, FORK ROD (UTEX"/>
    <n v="1"/>
    <s v="40190020"/>
    <s v="EMD"/>
    <n v="2"/>
  </r>
  <r>
    <s v="0151"/>
    <x v="17"/>
    <n v="62400005053"/>
    <s v="Pump Drive, Dredge*Dredge Pump Engine (Port)*Assembly 07: EMDEC Sensors*SENSOR, AIR BOX PRESSURE TRANSDUCER"/>
    <x v="109"/>
    <s v="Y"/>
    <n v="1"/>
    <s v="SENSOR, AIR BOX PRESSURE TRANSDUCER"/>
    <s v="Pump Drive, Dredge*Dredge Pump Engine (Port)*Assembly 07: EMDEC Sensors*SENSOR, AIR BOX PRESSURE TRANSDUCER"/>
    <n v="18"/>
    <s v="40079208"/>
    <s v="EMD"/>
    <n v="2"/>
  </r>
  <r>
    <s v="0151"/>
    <x v="17"/>
    <n v="62400005054"/>
    <s v="Pump Drive, Dredge*Dredge Pump Engine (Port)*Assembly 07: EMDEC Sensors*SENSOR, AIR BOX/AIR INLET TEMPERATURE"/>
    <x v="109"/>
    <s v="Y"/>
    <n v="1"/>
    <s v="SENSOR, AIR BOX/AIR INLET TEMPERATURE"/>
    <s v="Pump Drive, Dredge*Dredge Pump Engine (Port)*Assembly 07: EMDEC Sensors*SENSOR, AIR BOX/AIR INLET TEMPERATURE"/>
    <n v="2"/>
    <s v="40086233"/>
    <s v="EMD"/>
    <n v="2"/>
  </r>
  <r>
    <s v="0151"/>
    <x v="17"/>
    <n v="62400005055"/>
    <s v="Pump Drive, Dredge*Dredge Pump Engine (Port)*Assembly 07: EMDEC Sensors*SENSOR, COOLANT/LUBE OIL PRESSURE"/>
    <x v="109"/>
    <s v="Y"/>
    <n v="1"/>
    <s v="SENSOR, COOLANT/LUBE OIL PRESSURE"/>
    <s v="Pump Drive, Dredge*Dredge Pump Engine (Port)*Assembly 07: EMDEC Sensors*SENSOR, COOLANT/LUBE OIL PRESSURE"/>
    <n v="3"/>
    <s v="40117782"/>
    <s v="EMD"/>
    <n v="2"/>
  </r>
  <r>
    <s v="0151"/>
    <x v="17"/>
    <n v="62400005056"/>
    <s v="Pump Drive, Dredge*Dredge Pump Engine (Port)*Assembly 07: EMDEC Sensors*SENSOR, TEMP, FUEL COOLANT/LUBE OIL"/>
    <x v="109"/>
    <s v="Y"/>
    <n v="1"/>
    <s v="SENSOR, TEMP, FUEL COOLANT/LUBE OIL"/>
    <s v="Pump Drive, Dredge*Dredge Pump Engine (Port)*Assembly 07: EMDEC Sensors*SENSOR, TEMP, FUEL COOLANT/LUBE OIL"/>
    <n v="3"/>
    <s v="40063567"/>
    <s v="EMD"/>
    <n v="2"/>
  </r>
  <r>
    <s v="0151"/>
    <x v="17"/>
    <n v="62400005057"/>
    <s v="Pump Drive, Dredge*Dredge Pump Engine (Port)*Assembly 07: EMDEC Sensors*SENSOR, CRANKCASE PRESURE"/>
    <x v="109"/>
    <s v="Y"/>
    <n v="1"/>
    <s v="SENSOR, CRANKCASE PRESURE"/>
    <s v="Pump Drive, Dredge*Dredge Pump Engine (Port)*Assembly 07: EMDEC Sensors*SENSOR, CRANKCASE PRESURE"/>
    <n v="1"/>
    <s v="40079154"/>
    <s v="EMD"/>
    <n v="2"/>
  </r>
  <r>
    <s v="0151"/>
    <x v="17"/>
    <n v="62400005058"/>
    <s v="Pump Drive, Dredge*Dredge Pump Engine (Port)*Assembly 07: EMDEC Sensors*SENSOR, FUEL OIL/LUBE OIL PRESSURE"/>
    <x v="109"/>
    <s v="Y"/>
    <n v="1"/>
    <s v="SENSOR, FUEL OIL/LUBE OIL PRESSURE"/>
    <s v="Pump Drive, Dredge*Dredge Pump Engine (Port)*Assembly 07: EMDEC Sensors*SENSOR, FUEL OIL/LUBE OIL PRESSURE"/>
    <n v="5"/>
    <s v="40087573"/>
    <s v="EMD"/>
    <n v="2"/>
  </r>
  <r>
    <s v="0151"/>
    <x v="17"/>
    <n v="62400005186"/>
    <s v="Pump Drive, Dredge*Dredge Pump Engine (Port)*Assembly 27: Engine Timing Targets*SENSOR ASSEMBLY, SYNCH REF"/>
    <x v="109"/>
    <s v="Y"/>
    <n v="1"/>
    <s v="SENSOR ASSEMBLY, SYNCH REF"/>
    <s v="Pump Drive, Dredge*Dredge Pump Engine (Port)*Assembly 27: Engine Timing Targets*SENSOR ASSEMBLY, SYNCH REF"/>
    <n v="0"/>
    <s v="8929387"/>
    <s v="EMD"/>
    <n v="2"/>
  </r>
  <r>
    <s v="0151"/>
    <x v="17"/>
    <n v="62400005187"/>
    <s v="Pump Drive, Dredge*Dredge Pump Engine (Port)*Assembly 27: Engine Timing Targets*SENSOR ASSEMBLY, TIMING REF"/>
    <x v="109"/>
    <s v="Y"/>
    <n v="1"/>
    <s v="SENSOR ASSEMBLY, TIMING REF"/>
    <s v="Pump Drive, Dredge*Dredge Pump Engine (Port)*Assembly 27: Engine Timing Targets*SENSOR ASSEMBLY, TIMING REF"/>
    <n v="2"/>
    <s v="8929388"/>
    <s v="EMD"/>
    <n v="2"/>
  </r>
  <r>
    <s v="0151"/>
    <x v="17"/>
    <n v="62400005245"/>
    <s v="Pump Drive, Dredge*Dredge Pump Engine (Port)*Turbo Charger (T10)*Turbocharger (L20-710)"/>
    <x v="109"/>
    <s v="Y"/>
    <n v="1"/>
    <s v="Turbocharger (L20-710)"/>
    <s v="Pump Drive, Dredge*Dredge Pump Engine (Port)*Turbo Charger (T10)*Turbocharger (L20-710)"/>
    <n v="0"/>
    <s v="40144401"/>
    <s v="EMD"/>
    <n v="2"/>
  </r>
  <r>
    <s v="0151"/>
    <x v="17"/>
    <n v="62400005250"/>
    <s v="Pump Drive, Dredge*Dredge Pump Engine (Port)*Turbo Charger (T10)*Aftercooler Assembly, UTEX - Turbocharge"/>
    <x v="109"/>
    <s v="Y"/>
    <n v="1"/>
    <s v="Aftercooler Assembly, UTEX - Turbocharge"/>
    <s v="Pump Drive, Dredge*Dredge Pump Engine (Port)*Turbo Charger (T10)*Aftercooler Assembly, UTEX - Turbocharge"/>
    <n v="0"/>
    <s v="40107446"/>
    <s v="EMD"/>
    <n v="2"/>
  </r>
  <r>
    <s v="0151"/>
    <x v="17"/>
    <n v="62400005652"/>
    <s v="Pump Drive, Dredge*Dredge Pump Engine (Port)*Assembly 11: Air Starter Motor App*Dual Air Start Motor Mounting*Motor Assembly, Starter"/>
    <x v="109"/>
    <s v="Y"/>
    <n v="1"/>
    <s v="Motor Assembly, Starter"/>
    <s v="Pump Drive, Dredge*Dredge Pump Engine (Port)*Assembly 11: Air Starter Motor App*Dual Air Start Motor Mounting*Motor Assembly, Starter"/>
    <n v="3"/>
    <s v="9542965"/>
    <s v="EMD"/>
    <n v="2"/>
  </r>
  <r>
    <s v="0151"/>
    <x v="17"/>
    <n v="62400006050"/>
    <s v="Bowthruster*Transverse Bow Thruster (FWD)*Bow Thruster Motor (FWD)*Motor, Bow Thruster"/>
    <x v="96"/>
    <s v="Y"/>
    <n v="1"/>
    <s v="Motor, Bow Thruster"/>
    <s v="Bowthruster*Transverse Bow Thruster (FWD)*Bow Thruster Motor (FWD)*Motor, Bow Thruster"/>
    <n v="0"/>
    <s v="B5F 400 LA4"/>
    <s v="MARELLI  MOTORI"/>
    <n v="2"/>
  </r>
  <r>
    <s v="0151"/>
    <x v="17"/>
    <n v="62400006330"/>
    <s v="Pump Drive, Dredge*Dredge Pump Engine (Port)*Assembly 33: Main Bearing Thermocouple*Thermocouple, Main Bearing"/>
    <x v="109"/>
    <s v="Y"/>
    <n v="1"/>
    <s v="Thermocouple, Main Bearing"/>
    <s v="Pump Drive, Dredge*Dredge Pump Engine (Port)*Assembly 33: Main Bearing Thermocouple*Thermocouple, Main Bearing"/>
    <n v="2"/>
    <s v="40151847"/>
    <s v="EMD"/>
    <n v="2"/>
  </r>
  <r>
    <s v="0151"/>
    <x v="17"/>
    <n v="62400006856"/>
    <s v="Dragarm Hoisting*Gimbal Davit (Port)*Intermediate Winch (Port)*Hydraulic Motor, Intermediate Winch (P)*Motor, Hydraulic"/>
    <x v="97"/>
    <s v="Y"/>
    <n v="1"/>
    <s v="Motor, Hydraulic"/>
    <s v="Dragarm Hoisting*Gimbal Davit (Port)*Intermediate Winch (Port)*Hydraulic Motor, Intermediate Winch (P)*Motor, Hydraulic"/>
    <n v="1"/>
    <s v="A2FM250/60W-VZB010"/>
    <s v="BOSCH REXROTH"/>
    <n v="2"/>
  </r>
  <r>
    <s v="0151"/>
    <x v="17"/>
    <n v="62400006857"/>
    <s v="Dragarm Hoisting*Trunnion Davit (Port)*Trunnion Winch (Port)*Hydraulic Motor, Trunnion Winch (P)*Motor, Hydraulic"/>
    <x v="97"/>
    <s v="Y"/>
    <n v="1"/>
    <s v="Motor, Hydraulic"/>
    <s v="Dragarm Hoisting*Trunnion Davit (Port)*Trunnion Winch (Port)*Hydraulic Motor, Trunnion Winch (P)*Motor, Hydraulic"/>
    <n v="1"/>
    <s v="A2FM125/61W-VAB"/>
    <s v="BOSCH REXROTH"/>
    <n v="2"/>
  </r>
  <r>
    <s v="0151"/>
    <x v="17"/>
    <n v="62400006858"/>
    <s v="Dragarm Hoisting*Trunnion Davit (Port)*Trunnion Winch (Port)*Hydraulic Motor, Trunnion Winch (P)*Valve, Counter Balance"/>
    <x v="97"/>
    <s v="Y"/>
    <n v="1"/>
    <s v="Valve, Counter Balance"/>
    <s v="Dragarm Hoisting*Trunnion Davit (Port)*Trunnion Winch (Port)*Hydraulic Motor, Trunnion Winch (P)*Valve, Counter Balance"/>
    <n v="1"/>
    <s v="504.25.11.62"/>
    <s v="BOSCH REXROTH"/>
    <n v="2"/>
  </r>
  <r>
    <s v="0151"/>
    <x v="17"/>
    <n v="62400006869"/>
    <s v="Dragarm Hoisting*Draghead Davit (Port)*Draghead Winch (Port)*Hydraulic Motor, Draghead Winch*Valve, Counter Balance"/>
    <x v="97"/>
    <s v="Y"/>
    <n v="1"/>
    <s v="Valve, Counter Balance"/>
    <s v="Dragarm Hoisting*Draghead Davit (Port)*Draghead Winch (Port)*Hydraulic Motor, Draghead Winch*Valve, Counter Balance"/>
    <n v="0"/>
    <s v="FD32 FB21/400B06V"/>
    <s v="BOSCH REXROTH"/>
    <n v="2"/>
  </r>
  <r>
    <s v="0151"/>
    <x v="17"/>
    <n v="62400006959"/>
    <s v="Dragarm Hoisting*Draghead Davit (Port)*Draghead Winch (Port)*Brake, Draghead Winch*Seal Kit"/>
    <x v="97"/>
    <s v="Y"/>
    <n v="2"/>
    <s v="Seal Kit"/>
    <s v="Dragarm Hoisting*Draghead Davit (Port)*Draghead Winch (Port)*Brake, Draghead Winch*Seal Kit"/>
    <n v="14"/>
    <s v="KP0251252SK"/>
    <s v="Kor Pak Corporation"/>
    <n v="6"/>
  </r>
  <r>
    <s v="0151"/>
    <x v="17"/>
    <n v="62400006965"/>
    <s v="Dragarm Hoisting*Draghead Davit (Port)*Draghead Winch (Port)*Brake, Draghead Winch*Brake Lining"/>
    <x v="97"/>
    <s v="Y"/>
    <n v="6"/>
    <s v="Brake Lining"/>
    <s v="Dragarm Hoisting*Draghead Davit (Port)*Draghead Winch (Port)*Brake, Draghead Winch*Brake Lining"/>
    <n v="0"/>
    <s v="KP0251252BP"/>
    <s v="Kor Pak Corporation"/>
    <n v="6"/>
  </r>
  <r>
    <s v="0151"/>
    <x v="17"/>
    <n v="62400007492"/>
    <s v="Piping (Dredge)*A. Dragarm (Port)*A01P Draghead, (36&quot;)*Pin, Visor For TED"/>
    <x v="80"/>
    <s v="Y"/>
    <n v="2"/>
    <s v="Pin, Visor For TED"/>
    <s v="Piping (Dredge)*A. Dragarm (Port)*A01P Draghead, (36&quot;)*Pin, Visor For TED"/>
    <n v="3"/>
    <m/>
    <m/>
    <n v="2"/>
  </r>
  <r>
    <s v="0151"/>
    <x v="17"/>
    <n v="62400007495"/>
    <s v="Pump Drive, Dredge*Dredge Pump Shafting (Port)*Coupling*Cover/Grid Cover Assy"/>
    <x v="109"/>
    <s v="Y"/>
    <n v="1"/>
    <s v="Cover/Grid Cover Assy"/>
    <s v="Pump Drive, Dredge*Dredge Pump Shafting (Port)*Coupling*Cover/Grid Cover Assy"/>
    <n v="0"/>
    <s v="697904"/>
    <s v="Lovejoy"/>
    <n v="2"/>
  </r>
  <r>
    <s v="0151"/>
    <x v="17"/>
    <n v="62400007520"/>
    <s v="Pump Drive, Dredge*Dredge Pump Gearbox (Port)*Lube Pump/Motor Assembly*Lube Pump/Motor Assembly"/>
    <x v="109"/>
    <s v="Y"/>
    <n v="1"/>
    <s v="Lube Pump/Motor Assembly"/>
    <s v="Pump Drive, Dredge*Dredge Pump Gearbox (Port)*Lube Pump/Motor Assembly*Lube Pump/Motor Assembly"/>
    <n v="0"/>
    <s v="2950160"/>
    <s v="KRACHT"/>
    <n v="2"/>
  </r>
  <r>
    <s v="0151"/>
    <x v="17"/>
    <n v="62400007521"/>
    <s v="Pump Drive, Dredge*Dredge Pump Gearbox (Port)*Lube Pump/Motor Assembly*Motor, 7.5 HP"/>
    <x v="109"/>
    <s v="Y"/>
    <n v="1"/>
    <s v="Motor, 7.5 HP"/>
    <s v="Pump Drive, Dredge*Dredge Pump Gearbox (Port)*Lube Pump/Motor Assembly*Motor, 7.5 HP"/>
    <n v="1"/>
    <s v="C254T11FB9A"/>
    <s v="LEESON"/>
    <n v="2"/>
  </r>
  <r>
    <s v="0151"/>
    <x v="17"/>
    <n v="62400007522"/>
    <s v="Pump Drive, Dredge*Dredge Pump Gearbox (Port)*Lube Pump/Motor Assembly*Oil Pump"/>
    <x v="109"/>
    <s v="Y"/>
    <n v="1"/>
    <s v="Oil Pump"/>
    <s v="Pump Drive, Dredge*Dredge Pump Gearbox (Port)*Lube Pump/Motor Assembly*Oil Pump"/>
    <n v="3"/>
    <s v="KF 80 RF 2 - D15"/>
    <s v="Hydac"/>
    <n v="2"/>
  </r>
  <r>
    <s v="0151"/>
    <x v="17"/>
    <n v="62400007527"/>
    <s v="Pump Drive, Dredge*Dredge Pump Gearbox (Port)*Port Dredge Pump Gearbox Clutch*Clutch Assembly (32VC1000)"/>
    <x v="109"/>
    <s v="Y"/>
    <n v="1"/>
    <s v="Clutch Assembly (32VC1000)"/>
    <s v="Pump Drive, Dredge*Dredge Pump Gearbox (Port)*Port Dredge Pump Gearbox Clutch*Clutch Assembly (32VC1000)"/>
    <n v="1"/>
    <s v="142126C"/>
    <s v="AIRFLEX"/>
    <n v="2"/>
  </r>
  <r>
    <s v="0151"/>
    <x v="17"/>
    <n v="62400007536"/>
    <s v="Pump Drive, Dredge*Dredge Pump Gearbox (Port)*Rotor Seal*Seal, Rotor"/>
    <x v="109"/>
    <s v="Y"/>
    <n v="1"/>
    <s v="Seal, Rotor"/>
    <s v="Pump Drive, Dredge*Dredge Pump Gearbox (Port)*Rotor Seal*Seal, Rotor"/>
    <n v="3"/>
    <s v="145489AA"/>
    <s v="EATON AIRFLEX"/>
    <n v="2"/>
  </r>
  <r>
    <s v="0151"/>
    <x v="17"/>
    <n v="62400008609"/>
    <s v="Pump Drive, Dredge*Dredge Pump Engine (Port)*Assembly 04: Power Assembly*Gasket Kit, Cylinder Head"/>
    <x v="109"/>
    <s v="Y"/>
    <n v="2"/>
    <s v="Gasket Kit, Cylinder Head"/>
    <s v="Pump Drive, Dredge*Dredge Pump Engine (Port)*Assembly 04: Power Assembly*Gasket Kit, Cylinder Head"/>
    <n v="2"/>
    <s v="8479836"/>
    <s v="EMD"/>
    <n v="2"/>
  </r>
  <r>
    <s v="0151"/>
    <x v="17"/>
    <n v="66200001302"/>
    <s v="Mooring/Anchor Handling*Anchor Windlass (Port) (RH)*Motor, Anchor Windlass (P) (RH)*Motor, 60 HP"/>
    <x v="106"/>
    <s v="Y"/>
    <n v="1"/>
    <s v="Motor, 60 HP"/>
    <s v="Mooring/Anchor Handling*Anchor Windlass (Port) (RH)*Motor, Anchor Windlass (P) (RH)*Motor, 60 HP"/>
    <n v="0"/>
    <s v="NVA364TTTS18534"/>
    <s v="MARATHON ELECTRIC"/>
    <n v="2"/>
  </r>
  <r>
    <s v="0151"/>
    <x v="17"/>
    <n v="66200001329"/>
    <s v="Hydraulic Service System*HPU Draghead Visor (Port)*Oil/Air Cooler"/>
    <x v="104"/>
    <s v="Y"/>
    <n v="1"/>
    <s v="Oil/Air Cooler"/>
    <s v="Hydraulic Service System*HPU Draghead Visor (Port)*Oil/Air Cooler"/>
    <n v="0"/>
    <s v="R901327268"/>
    <s v="REXROTH BOSCH GROUP"/>
    <n v="2"/>
  </r>
  <r>
    <s v="0151"/>
    <x v="17"/>
    <n v="66200001549"/>
    <s v="Piping (Dredge)*F. Overboard Discharge Piping*Bow Coupling (900MM)*Cylinder, Retaining Ring"/>
    <x v="80"/>
    <s v="Y"/>
    <n v="1"/>
    <s v="Cylinder, Retaining Ring"/>
    <s v="Piping (Dredge)*F. Overboard Discharge Piping*Bow Coupling (900MM)*Cylinder, Retaining Ring"/>
    <n v="0"/>
    <m/>
    <m/>
    <n v="1"/>
  </r>
  <r>
    <s v="0151"/>
    <x v="17"/>
    <n v="66200001550"/>
    <s v="Piping (Dredge)*F. Overboard Discharge Piping*Bow Coupling (900MM)*Cylinder, Lock Pin"/>
    <x v="80"/>
    <s v="Y"/>
    <n v="1"/>
    <s v="Cylinder, Lock Pin"/>
    <s v="Piping (Dredge)*F. Overboard Discharge Piping*Bow Coupling (900MM)*Cylinder, Lock Pin"/>
    <n v="0"/>
    <m/>
    <m/>
    <n v="1"/>
  </r>
  <r>
    <s v="0151"/>
    <x v="17"/>
    <n v="66200002203"/>
    <s v="Pump Drive, Jet*Jet Pump Gearbox (Port)*Cooling Fan"/>
    <x v="110"/>
    <s v="Y"/>
    <n v="1"/>
    <s v="Cooling Fan"/>
    <s v="Pump Drive, Jet*Jet Pump Gearbox (Port)*Cooling Fan"/>
    <n v="0"/>
    <s v="B-97038"/>
    <s v="OVERTON CHICAGO GEAR"/>
    <n v="2"/>
  </r>
  <r>
    <s v="0151"/>
    <x v="17"/>
    <n v="66200002211"/>
    <s v="Pump Drive, Jet*Jet Pump Shafting (Port)*Coupling Input (1120)*Coupling, Grid Type"/>
    <x v="110"/>
    <s v="Y"/>
    <n v="1"/>
    <s v="Coupling, Grid Type"/>
    <s v="Pump Drive, Jet*Jet Pump Shafting (Port)*Coupling Input (1120)*Coupling, Grid Type"/>
    <n v="0"/>
    <s v="1120"/>
    <s v="Lovejoy"/>
    <n v="2"/>
  </r>
  <r>
    <s v="0151"/>
    <x v="17"/>
    <n v="66200002212"/>
    <s v="Pump Drive, Jet*Jet Pump Shafting (Port)*Coupling Output (FFS-5E)*Coupling,  Output, FFS-5E"/>
    <x v="110"/>
    <s v="Y"/>
    <n v="1"/>
    <s v="Coupling,  Output, FFS-5E"/>
    <s v="Pump Drive, Jet*Jet Pump Shafting (Port)*Coupling Output (FFS-5E)*Coupling,  Output, FFS-5E"/>
    <n v="0"/>
    <s v="69790447179"/>
    <s v="Lovejoy"/>
    <n v="2"/>
  </r>
  <r>
    <s v="0151"/>
    <x v="17"/>
    <n v="66200003450"/>
    <s v="Piping (Jet Water)*Jet Water Valves*20&quot; Butterfly Valve, 285 PSI"/>
    <x v="100"/>
    <s v="Y"/>
    <n v="2"/>
    <s v="20&quot; Butterfly Valve, 285 PSI"/>
    <s v="Piping (Jet Water)*Jet Water Valves*20&quot; Butterfly Valve, 285 PSI"/>
    <n v="0"/>
    <m/>
    <m/>
    <n v="1"/>
  </r>
  <r>
    <s v="0151"/>
    <x v="17"/>
    <n v="66200003452"/>
    <s v="Piping (Jet Water)*Jet Water Valves*Butterfly Valve, 14&quot;"/>
    <x v="100"/>
    <s v="Y"/>
    <n v="1"/>
    <s v="Butterfly Valve, 14&quot;"/>
    <s v="Piping (Jet Water)*Jet Water Valves*Butterfly Valve, 14&quot;"/>
    <n v="0"/>
    <m/>
    <m/>
    <n v="1"/>
  </r>
  <r>
    <s v="0151"/>
    <x v="17"/>
    <n v="66200003463"/>
    <s v="Piping (Jet Water)*Jet Water Valves*20&quot; Expansion Joint, Discharge Side, 12&quot;"/>
    <x v="100"/>
    <s v="Y"/>
    <n v="1"/>
    <s v="20&quot; Expansion Joint, Discharge Side, 12&quot;"/>
    <s v="Piping (Jet Water)*Jet Water Valves*20&quot; Expansion Joint, Discharge Side, 12&quot;"/>
    <n v="1"/>
    <s v="1302-0200-120-ONFN"/>
    <s v="General Rubber"/>
    <n v="1"/>
  </r>
  <r>
    <s v="0151"/>
    <x v="17"/>
    <n v="66200003465"/>
    <s v="Piping (Jet Water)*Jet Water Valves*20&quot; Butterfly Valve, 150 PSI"/>
    <x v="100"/>
    <s v="Y"/>
    <n v="2"/>
    <s v="20&quot; Butterfly Valve, 150 PSI"/>
    <s v="Piping (Jet Water)*Jet Water Valves*20&quot; Butterfly Valve, 150 PSI"/>
    <n v="0"/>
    <m/>
    <m/>
    <n v="1"/>
  </r>
  <r>
    <s v="0151"/>
    <x v="17"/>
    <n v="66200003466"/>
    <s v="Piping (Jet Water)*Jet Water Valves*18&quot; Butterfly Valve"/>
    <x v="100"/>
    <s v="Y"/>
    <n v="2"/>
    <s v="18&quot; Butterfly Valve"/>
    <s v="Piping (Jet Water)*Jet Water Valves*18&quot; Butterfly Valve"/>
    <n v="0"/>
    <m/>
    <m/>
    <n v="1"/>
  </r>
  <r>
    <s v="0151"/>
    <x v="17"/>
    <n v="66200003890"/>
    <s v="Pump Drive, Dredge*Dredge Pump Engine (Port)*Assembly 07: EMDEC Sensors*Thermocouple, Exhaust"/>
    <x v="109"/>
    <s v="Y"/>
    <n v="10"/>
    <s v="Thermocouple, Exhaust"/>
    <s v="Pump Drive, Dredge*Dredge Pump Engine (Port)*Assembly 07: EMDEC Sensors*Thermocouple, Exhaust"/>
    <n v="15"/>
    <s v="J48U-009-306-15-T1048-2"/>
    <s v="EMD"/>
    <n v="2"/>
  </r>
  <r>
    <s v="0151"/>
    <x v="17"/>
    <n v="66200004694"/>
    <s v="Pump Drive, Dredge*Dredge Pump Engine (Port)*Jack Shaft Assembly Haley 650K Coupling*Cooper Split Bearing (Complete)"/>
    <x v="109"/>
    <s v="Y"/>
    <n v="1"/>
    <s v="Cooper Split Bearing (Complete)"/>
    <s v="Pump Drive, Dredge*Dredge Pump Engine (Port)*Jack Shaft Assembly Haley 650K Coupling*Cooper Split Bearing (Complete)"/>
    <n v="1"/>
    <s v="01EBCP900GRAT"/>
    <s v="COOPER BEARING COMPANY"/>
    <n v="2"/>
  </r>
  <r>
    <s v="0151"/>
    <x v="17"/>
    <n v="66200004695"/>
    <s v="Pump Drive, Dredge*Dredge Pump Engine (Port)*Jack Shaft Assembly Haley 650K Coupling*Bearing, SPH Roller"/>
    <x v="109"/>
    <s v="Y"/>
    <n v="1"/>
    <s v="Bearing, SPH Roller"/>
    <s v="Pump Drive, Dredge*Dredge Pump Engine (Port)*Jack Shaft Assembly Haley 650K Coupling*Bearing, SPH Roller"/>
    <n v="0"/>
    <s v="23222 CC/W33"/>
    <s v="SKF"/>
    <n v="2"/>
  </r>
  <r>
    <s v="0151"/>
    <x v="17"/>
    <n v="66200004922"/>
    <s v="Generators*Auxiliary Generator (C32) (AG2)*Generator Engine (C32)*Electrical and Starting System*Starting Motor GP - Electric (Barge)"/>
    <x v="4"/>
    <s v="Y"/>
    <n v="1"/>
    <s v="Starting Motor GP - Electric (Barge)"/>
    <s v="Generators*Auxiliary Generator (C32) (AG2)*Generator Engine (C32)*Electrical and Starting System*Starting Motor GP - Electric (Barge)"/>
    <n v="1"/>
    <s v="349-6530"/>
    <s v="Caterpillar"/>
    <n v="1"/>
  </r>
  <r>
    <s v="0151"/>
    <x v="17"/>
    <n v="66200008802"/>
    <s v="Pump Drive, Dredge*Dredge Pump Engine (Port)*Assembly 07: EMDEC Sensors*Sensor, Temp. Trans., (Oil Into Filter)"/>
    <x v="109"/>
    <s v="Y"/>
    <n v="1"/>
    <s v="Sensor, Temp. Trans., (Oil Into Filter)"/>
    <s v="Pump Drive, Dredge*Dredge Pump Engine (Port)*Assembly 07: EMDEC Sensors*Sensor, Temp. Trans., (Oil Into Filter)"/>
    <n v="2"/>
    <s v="TTM150C-206A-CF-Li6-H1140-L150"/>
    <s v="TURCK"/>
    <n v="2"/>
  </r>
  <r>
    <s v="0151"/>
    <x v="17"/>
    <n v="66200011191"/>
    <s v="Pump Drive, Jet*Jet Pump Shafting (Port)*Coupling Input (1120)*Coupling Seal Kit"/>
    <x v="110"/>
    <s v="Y"/>
    <n v="1"/>
    <s v="Coupling Seal Kit"/>
    <s v="Pump Drive, Jet*Jet Pump Shafting (Port)*Coupling Input (1120)*Coupling Seal Kit"/>
    <n v="3"/>
    <s v="00512810"/>
    <s v="Motion Industries"/>
    <n v="2"/>
  </r>
  <r>
    <s v="0202"/>
    <x v="18"/>
    <n v="7961"/>
    <s v="Pump, Slurry*Slurry Pump (Main)*Sleeve, Shaft"/>
    <x v="111"/>
    <s v="Y"/>
    <n v="1"/>
    <s v="Sleeve, Shaft"/>
    <s v="Pump, Slurry*Slurry Pump (Main)*Sleeve, Shaft"/>
    <n v="1"/>
    <s v="BB-4757"/>
    <s v="MPMW Dwg "/>
    <n v="1"/>
  </r>
  <r>
    <s v="0202"/>
    <x v="18"/>
    <n v="9685"/>
    <s v="Pump, Dilution*Dilution Pump Engine (Fwd) (CAT D399TA)*Fuel Pump, OR-3008"/>
    <x v="112"/>
    <s v="Y"/>
    <n v="1"/>
    <s v="Fuel Pump, OR-3008"/>
    <s v="Pump, Dilution*Dilution Pump Engine (Fwd) (CAT D399TA)*Fuel Pump, OR-3008"/>
    <n v="2"/>
    <s v="OR-3008"/>
    <s v="Caterpillar"/>
    <n v="4"/>
  </r>
  <r>
    <s v="0202"/>
    <x v="18"/>
    <n v="23086"/>
    <s v="Hydraulic System*HPU (Main)*Hydraulic Unit Gearbox*GEARBOX*INPUT SHAFT"/>
    <x v="87"/>
    <s v="Y"/>
    <n v="1"/>
    <s v="INPUT SHAFT"/>
    <s v="Hydraulic System*HPU (Main)*Hydraulic Unit Gearbox*GEARBOX*INPUT SHAFT"/>
    <n v="1"/>
    <s v="4056460"/>
    <s v="FUNK"/>
    <n v="1"/>
  </r>
  <r>
    <s v="0202"/>
    <x v="18"/>
    <n v="25868"/>
    <s v="Hydraulic System*HPU (Main)*Hydraulic Unit Gearbox*Coupling (Lovejoy)*COUPLING"/>
    <x v="87"/>
    <s v="Y"/>
    <n v="1"/>
    <s v="COUPLING"/>
    <s v="Hydraulic System*HPU (Main)*Hydraulic Unit Gearbox*Coupling (Lovejoy)*COUPLING"/>
    <n v="0"/>
    <s v="38866"/>
    <s v="Lovejoy"/>
    <n v="1"/>
  </r>
  <r>
    <s v="0202"/>
    <x v="18"/>
    <n v="40715"/>
    <s v="Pump, Dilution*Dilution Pump Engine (Fwd) (CAT D399TA)*Sleeve. Aftercooler, 6L-6490"/>
    <x v="112"/>
    <s v="Y"/>
    <n v="1"/>
    <s v="Sleeve. Aftercooler, 6L-6490"/>
    <s v="Pump, Dilution*Dilution Pump Engine (Fwd) (CAT D399TA)*Sleeve. Aftercooler, 6L-6490"/>
    <n v="2"/>
    <s v="6L-6490"/>
    <s v="Caterpillar"/>
    <n v="4"/>
  </r>
  <r>
    <s v="0202"/>
    <x v="18"/>
    <n v="41321"/>
    <s v="Pump, Dilution*Dilution Pump Engine (Fwd) (CAT D399TA)*Fuel Injector Pump, 2S-7264"/>
    <x v="112"/>
    <s v="Y"/>
    <n v="4"/>
    <s v="Fuel Injector Pump, 2S-7264"/>
    <s v="Pump, Dilution*Dilution Pump Engine (Fwd) (CAT D399TA)*Fuel Injector Pump, 2S-7264"/>
    <n v="17"/>
    <s v="2S-7264"/>
    <s v="Caterpillar"/>
    <n v="4"/>
  </r>
  <r>
    <s v="0202"/>
    <x v="18"/>
    <n v="42289"/>
    <s v="Pump, Dilution*Dilution Pump Engine (Fwd) (CAT D399TA)*Actuator-Air, 9F-0977"/>
    <x v="112"/>
    <s v="Y"/>
    <n v="1"/>
    <s v="Actuator-Air, 9F-0977"/>
    <s v="Pump, Dilution*Dilution Pump Engine (Fwd) (CAT D399TA)*Actuator-Air, 9F-0977"/>
    <n v="1"/>
    <s v="9F-0977"/>
    <s v="Caterpillar"/>
    <n v="4"/>
  </r>
  <r>
    <s v="0202"/>
    <x v="18"/>
    <n v="42412"/>
    <s v="Pump, Dilution*Dilution Pump Engine (Fwd) (CAT D399TA)*Exhaust Pyrometer, 5N-9365"/>
    <x v="112"/>
    <s v="Y"/>
    <n v="2"/>
    <s v="Exhaust Pyrometer, 5N-9365"/>
    <s v="Pump, Dilution*Dilution Pump Engine (Fwd) (CAT D399TA)*Exhaust Pyrometer, 5N-9365"/>
    <n v="8"/>
    <s v="5N-9365"/>
    <s v="Caterpillar"/>
    <n v="4"/>
  </r>
  <r>
    <s v="0202"/>
    <x v="18"/>
    <n v="42422"/>
    <s v="Pump, Dilution*Dilution Pump Engine (Fwd) (CAT D399TA)*Expansion Tank Cap, 6L-9850"/>
    <x v="112"/>
    <s v="Y"/>
    <n v="1"/>
    <s v="Expansion Tank Cap, 6L-9850"/>
    <s v="Pump, Dilution*Dilution Pump Engine (Fwd) (CAT D399TA)*Expansion Tank Cap, 6L-9850"/>
    <n v="2"/>
    <s v="6L-9850"/>
    <s v="Caterpillar"/>
    <n v="4"/>
  </r>
  <r>
    <s v="0202"/>
    <x v="18"/>
    <n v="45000025633"/>
    <s v="Generators*Snorkel Pump Genset (CAT 398)*Snorkel Pump Generator Engine*Oil Cooler*OIL COOLER"/>
    <x v="4"/>
    <s v="Y"/>
    <n v="1"/>
    <s v="OIL COOLER"/>
    <s v="Generators*Snorkel Pump Genset (CAT 398)*Snorkel Pump Generator Engine*Oil Cooler*OIL COOLER"/>
    <n v="0"/>
    <m/>
    <m/>
    <n v="1"/>
  </r>
  <r>
    <s v="0202"/>
    <x v="18"/>
    <n v="45000027449"/>
    <s v="Hydraulic System*HPU (Main)*High Pressure Unit*PUMP, COMMERCIAL"/>
    <x v="87"/>
    <s v="Y"/>
    <n v="1"/>
    <s v="PUMP, COMMERCIAL"/>
    <s v="Hydraulic System*HPU (Main)*High Pressure Unit*PUMP, COMMERCIAL"/>
    <n v="1"/>
    <s v="129556 P365/ 322-0539-106"/>
    <s v="SUNDSTRAND"/>
    <n v="1"/>
  </r>
  <r>
    <s v="0202"/>
    <x v="18"/>
    <n v="45000027450"/>
    <s v="Hydraulic System*HPU (Main)*Low Pressure Unit*PUMP, HEAVY-DUTY 20-27 SERIES"/>
    <x v="87"/>
    <s v="Y"/>
    <n v="1"/>
    <s v="PUMP, HEAVY-DUTY 20-27 SERIES"/>
    <s v="Hydraulic System*HPU (Main)*Low Pressure Unit*PUMP, HEAVY-DUTY 20-27 SERIES"/>
    <n v="0"/>
    <s v="25M-2501FE-RCFX/ 96-23-96035"/>
    <s v="SUNDSTRAND"/>
    <n v="1"/>
  </r>
  <r>
    <s v="0202"/>
    <x v="18"/>
    <n v="60400005217"/>
    <s v="Pump, Slurry*Slurry Pump Gearbox*Oil Supply Pump (Slurry Gearbox)*Oil Supply Pump"/>
    <x v="111"/>
    <s v="Y"/>
    <n v="1"/>
    <s v="Oil Supply Pump"/>
    <s v="Pump, Slurry*Slurry Pump Gearbox*Oil Supply Pump (Slurry Gearbox)*Oil Supply Pump"/>
    <n v="2"/>
    <s v="2901807"/>
    <s v="WORTHINGTON"/>
    <n v="2"/>
  </r>
  <r>
    <s v="0202"/>
    <x v="18"/>
    <n v="66200008173"/>
    <s v="Pump, Dilution*Dilution Pump Engine (Fwd) (CAT D399TA)*Core Assembly, Aftercooler, 3N4363"/>
    <x v="112"/>
    <s v="Y"/>
    <n v="1"/>
    <s v="Core Assembly, Aftercooler, 3N4363"/>
    <s v="Pump, Dilution*Dilution Pump Engine (Fwd) (CAT D399TA)*Core Assembly, Aftercooler, 3N4363"/>
    <n v="1"/>
    <s v="3N4363"/>
    <s v="Caterpillar"/>
    <n v="4"/>
  </r>
  <r>
    <s v="0202"/>
    <x v="18"/>
    <n v="66200008174"/>
    <s v="Pump, Dilution*Dilution Pump Engine (Fwd) (CAT D399TA)*Core Assembly, Aftercooler, 3N4364"/>
    <x v="112"/>
    <s v="Y"/>
    <n v="1"/>
    <s v="Core Assembly, Aftercooler, 3N4364"/>
    <s v="Pump, Dilution*Dilution Pump Engine (Fwd) (CAT D399TA)*Core Assembly, Aftercooler, 3N4364"/>
    <n v="1"/>
    <s v="3N4364"/>
    <s v="Caterpillar"/>
    <n v="4"/>
  </r>
  <r>
    <s v="0202"/>
    <x v="18"/>
    <n v="66200008175"/>
    <s v="Pump, Dilution*Dilution Pump Engine (Fwd) (CAT D399TA)*Governor, 3N4078"/>
    <x v="112"/>
    <s v="Y"/>
    <n v="1"/>
    <s v="Governor, 3N4078"/>
    <s v="Pump, Dilution*Dilution Pump Engine (Fwd) (CAT D399TA)*Governor, 3N4078"/>
    <n v="0"/>
    <s v="3N4078"/>
    <s v="Caterpillar"/>
    <n v="4"/>
  </r>
  <r>
    <s v="0202"/>
    <x v="18"/>
    <n v="66200008176"/>
    <s v="Pump, Dilution*Dilution Pump Engine (Fwd) (CAT D399TA)*Acuator, Governor, 2N60S0"/>
    <x v="112"/>
    <s v="Y"/>
    <n v="1"/>
    <s v="Acuator, Governor, 2N60S0"/>
    <s v="Pump, Dilution*Dilution Pump Engine (Fwd) (CAT D399TA)*Acuator, Governor, 2N60S0"/>
    <n v="1"/>
    <s v="2N60S0"/>
    <s v="Caterpillar"/>
    <n v="4"/>
  </r>
  <r>
    <s v="0202"/>
    <x v="18"/>
    <n v="66200008177"/>
    <s v="Pump, Dilution*Dilution Pump Engine (Fwd) (CAT D399TA)*Air Starter, 6L-6731"/>
    <x v="112"/>
    <s v="Y"/>
    <n v="4"/>
    <s v="Air Starter, 6L-6731"/>
    <s v="Pump, Dilution*Dilution Pump Engine (Fwd) (CAT D399TA)*Air Starter, 6L-6731"/>
    <n v="0"/>
    <s v="6L-6731"/>
    <s v="Caterpillar"/>
    <n v="4"/>
  </r>
  <r>
    <s v="0202"/>
    <x v="18"/>
    <n v="66200008178"/>
    <s v="Pump, Dilution*Dilution Pump Engine (Fwd) (CAT D399TA)*Cylinder Head, 3N2682"/>
    <x v="112"/>
    <s v="Y"/>
    <n v="2"/>
    <s v="Cylinder Head, 3N2682"/>
    <s v="Pump, Dilution*Dilution Pump Engine (Fwd) (CAT D399TA)*Cylinder Head, 3N2682"/>
    <n v="1"/>
    <s v="3N2682"/>
    <s v="Caterpillar"/>
    <n v="4"/>
  </r>
  <r>
    <s v="0202"/>
    <x v="18"/>
    <n v="66200008179"/>
    <s v="Pump, Dilution*Dilution Pump Engine (Fwd) (CAT D399TA)*Fuel Line Assembly, 7L321"/>
    <x v="112"/>
    <s v="Y"/>
    <n v="1"/>
    <s v="Fuel Line Assembly, 7L321"/>
    <s v="Pump, Dilution*Dilution Pump Engine (Fwd) (CAT D399TA)*Fuel Line Assembly, 7L321"/>
    <n v="0"/>
    <s v="7L321"/>
    <s v="Caterpillar"/>
    <n v="4"/>
  </r>
  <r>
    <s v="0202"/>
    <x v="18"/>
    <n v="66200008180"/>
    <s v="Pump, Dilution*Dilution Pump Engine (Fwd) (CAT D399TA)*Fuel Line Assembly, 7L322"/>
    <x v="112"/>
    <s v="Y"/>
    <n v="1"/>
    <s v="Fuel Line Assembly, 7L322"/>
    <s v="Pump, Dilution*Dilution Pump Engine (Fwd) (CAT D399TA)*Fuel Line Assembly, 7L322"/>
    <n v="0"/>
    <s v="7L322"/>
    <s v="Caterpillar"/>
    <n v="4"/>
  </r>
  <r>
    <s v="0202"/>
    <x v="18"/>
    <n v="66200008181"/>
    <s v="Pump, Dilution*Dilution Pump Engine (Fwd) (CAT D399TA)*Fuel Line Assembly, 7L323"/>
    <x v="112"/>
    <s v="Y"/>
    <n v="1"/>
    <s v="Fuel Line Assembly, 7L323"/>
    <s v="Pump, Dilution*Dilution Pump Engine (Fwd) (CAT D399TA)*Fuel Line Assembly, 7L323"/>
    <n v="0"/>
    <s v="7L323"/>
    <s v="Caterpillar"/>
    <n v="4"/>
  </r>
  <r>
    <s v="0202"/>
    <x v="18"/>
    <n v="66200008182"/>
    <s v="Pump, Dilution*Dilution Pump Engine (Fwd) (CAT D399TA)*Fuel Line Assembly, 7L324"/>
    <x v="112"/>
    <s v="Y"/>
    <n v="1"/>
    <s v="Fuel Line Assembly, 7L324"/>
    <s v="Pump, Dilution*Dilution Pump Engine (Fwd) (CAT D399TA)*Fuel Line Assembly, 7L324"/>
    <n v="0"/>
    <s v="7L324"/>
    <s v="Caterpillar"/>
    <n v="4"/>
  </r>
  <r>
    <s v="0202"/>
    <x v="18"/>
    <n v="66200008183"/>
    <s v="Pump, Dilution*Dilution Pump Engine (Fwd) (CAT D399TA)*Fuel Line Assembly, 7L325"/>
    <x v="112"/>
    <s v="Y"/>
    <n v="1"/>
    <s v="Fuel Line Assembly, 7L325"/>
    <s v="Pump, Dilution*Dilution Pump Engine (Fwd) (CAT D399TA)*Fuel Line Assembly, 7L325"/>
    <n v="0"/>
    <s v="7L325"/>
    <s v="Caterpillar"/>
    <n v="4"/>
  </r>
  <r>
    <s v="0202"/>
    <x v="18"/>
    <n v="66200008184"/>
    <s v="Pump, Dilution*Dilution Pump Engine (Fwd) (CAT D399TA)*Fuel Line Assembly, 7L326"/>
    <x v="112"/>
    <s v="Y"/>
    <n v="1"/>
    <s v="Fuel Line Assembly, 7L326"/>
    <s v="Pump, Dilution*Dilution Pump Engine (Fwd) (CAT D399TA)*Fuel Line Assembly, 7L326"/>
    <n v="0"/>
    <s v="7L326"/>
    <s v="Caterpillar"/>
    <n v="4"/>
  </r>
  <r>
    <s v="0202"/>
    <x v="18"/>
    <n v="66200008185"/>
    <s v="Pump, Dilution*Dilution Pump Engine (Fwd) (CAT D399TA)*Fuel Line Assembly, 7L327"/>
    <x v="112"/>
    <s v="Y"/>
    <n v="1"/>
    <s v="Fuel Line Assembly, 7L327"/>
    <s v="Pump, Dilution*Dilution Pump Engine (Fwd) (CAT D399TA)*Fuel Line Assembly, 7L327"/>
    <n v="0"/>
    <s v="7L327"/>
    <s v="Caterpillar"/>
    <n v="4"/>
  </r>
  <r>
    <s v="0202"/>
    <x v="18"/>
    <n v="66200008186"/>
    <s v="Pump, Dilution*Dilution Pump Engine (Fwd) (CAT D399TA)*Fuel Line Assembly, 7L328"/>
    <x v="112"/>
    <s v="Y"/>
    <n v="1"/>
    <s v="Fuel Line Assembly, 7L328"/>
    <s v="Pump, Dilution*Dilution Pump Engine (Fwd) (CAT D399TA)*Fuel Line Assembly, 7L328"/>
    <n v="0"/>
    <s v="7L328"/>
    <s v="Caterpillar"/>
    <n v="4"/>
  </r>
  <r>
    <s v="0202"/>
    <x v="18"/>
    <n v="66200008187"/>
    <s v="Pump, Dilution*Dilution Pump Engine (Fwd) (CAT D399TA)*Fuel Injector, 7M4601"/>
    <x v="112"/>
    <s v="Y"/>
    <n v="4"/>
    <s v="Fuel Injector, 7M4601"/>
    <s v="Pump, Dilution*Dilution Pump Engine (Fwd) (CAT D399TA)*Fuel Injector, 7M4601"/>
    <n v="0"/>
    <s v="7M4601"/>
    <s v="Caterpillar"/>
    <n v="4"/>
  </r>
  <r>
    <s v="0202"/>
    <x v="18"/>
    <n v="66200016061"/>
    <s v="Pump, Dilution*Shafting*Impeller Shaft*Seal, Single Lip Split, Model 23"/>
    <x v="112"/>
    <s v="Y"/>
    <n v="3"/>
    <s v="Seal, Single Lip Split, Model 23"/>
    <s v="Pump, Dilution*Shafting*Impeller Shaft*Seal, Single Lip Split, Model 23"/>
    <n v="19"/>
    <s v="25003-4067"/>
    <s v="Garlock"/>
    <n v="1"/>
  </r>
  <r>
    <s v="0202"/>
    <x v="18"/>
    <n v="66200016062"/>
    <s v="Pump, Dilution*Shafting*Impeller Shaft*Seal, Nitrile Oil"/>
    <x v="112"/>
    <s v="Y"/>
    <n v="2"/>
    <s v="Seal, Nitrile Oil"/>
    <s v="Pump, Dilution*Shafting*Impeller Shaft*Seal, Nitrile Oil"/>
    <n v="24"/>
    <s v="25003-4024"/>
    <s v="Garlock"/>
    <n v="1"/>
  </r>
  <r>
    <s v="0202"/>
    <x v="18"/>
    <n v="66200017997"/>
    <s v="Pump, Dilution*Dilution Pump Engine (Fwd) (CAT D399TA)*Cooler, Oil, 4W-5551"/>
    <x v="112"/>
    <s v="Y"/>
    <n v="2"/>
    <s v="Cooler, Oil, 4W-5551"/>
    <s v="Pump, Dilution*Dilution Pump Engine (Fwd) (CAT D399TA)*Cooler, Oil, 4W-5551"/>
    <n v="3"/>
    <s v="4W-5551"/>
    <s v="Caterpillar"/>
    <n v="4"/>
  </r>
  <r>
    <s v="0202"/>
    <x v="18"/>
    <n v="66200017998"/>
    <s v="Pump, Dilution*Dilution Pump Engine (Fwd) (CAT D399TA)*Regulator, Coolant Temperature, 248-5513"/>
    <x v="112"/>
    <s v="Y"/>
    <n v="4"/>
    <s v="Regulator, Coolant Temperature, 248-5513"/>
    <s v="Pump, Dilution*Dilution Pump Engine (Fwd) (CAT D399TA)*Regulator, Coolant Temperature, 248-5513"/>
    <n v="1"/>
    <s v="248-5513"/>
    <s v="Caterpillar"/>
    <n v="4"/>
  </r>
  <r>
    <s v="0211"/>
    <x v="19"/>
    <n v="8556"/>
    <s v="Pump, Dredge*Dredge Pump*Stuffing Box (D/P)*Impeller Release Ring Kit (11.5&quot; Hub)"/>
    <x v="63"/>
    <s v="Y"/>
    <n v="1"/>
    <s v="Impeller Release Ring Kit (11.5&quot; Hub)"/>
    <s v="Pump, Dredge*Dredge Pump*Stuffing Box (D/P)*Impeller Release Ring Kit (11.5&quot; Hub)"/>
    <n v="1"/>
    <s v="0919X (11.5&quot; Hub)"/>
    <s v="GIW"/>
    <n v="1"/>
  </r>
  <r>
    <s v="0211"/>
    <x v="19"/>
    <n v="8559"/>
    <s v="Pump, Dredge*Dredge Pump Engine (EMD 645)*Engine Accessories*Prelube Pump"/>
    <x v="63"/>
    <s v="Y"/>
    <n v="1"/>
    <s v="Prelube Pump"/>
    <s v="Pump, Dredge*Dredge Pump Engine (EMD 645)*Engine Accessories*Prelube Pump"/>
    <n v="0"/>
    <s v="HL-190"/>
    <s v="VICAN"/>
    <n v="1"/>
  </r>
  <r>
    <s v="0211"/>
    <x v="19"/>
    <n v="8560"/>
    <s v="Pump, Dredge*Dredge Pump Engine (EMD 645)*Engine Accessories*Prelube Pump*Motor, 3 Hp"/>
    <x v="63"/>
    <s v="Y"/>
    <n v="1"/>
    <s v="Motor, 3 Hp"/>
    <s v="Pump, Dredge*Dredge Pump Engine (EMD 645)*Engine Accessories*Prelube Pump*Motor, 3 Hp"/>
    <n v="0"/>
    <s v="M3611T"/>
    <s v="Baldor"/>
    <n v="1"/>
  </r>
  <r>
    <s v="0211"/>
    <x v="19"/>
    <n v="8565"/>
    <s v="Fuel Oil Transfer*Pump, (F/O) Transfer*Pump, Fuel Oil"/>
    <x v="81"/>
    <s v="Y"/>
    <n v="1"/>
    <s v="Pump, Fuel Oil"/>
    <s v="Fuel Oil Transfer*Pump, (F/O) Transfer*Pump, Fuel Oil"/>
    <n v="0"/>
    <m/>
    <m/>
    <n v="1"/>
  </r>
  <r>
    <s v="0211"/>
    <x v="19"/>
    <n v="8566"/>
    <s v="Fuel Oil Transfer*Pump, (F/O) Transfer*Pump, Fuel Oil*Motor, 1.5 HP"/>
    <x v="81"/>
    <s v="Y"/>
    <n v="1"/>
    <s v="Motor, 1.5 HP"/>
    <s v="Fuel Oil Transfer*Pump, (F/O) Transfer*Pump, Fuel Oil*Motor, 1.5 HP"/>
    <n v="0"/>
    <s v="084"/>
    <s v="SIEMANS ALLIS"/>
    <n v="1"/>
  </r>
  <r>
    <s v="0211"/>
    <x v="19"/>
    <n v="8606"/>
    <s v="Spud System*Hydraulic Unit (Main)*PTO/ Clutch*Clutch, Hydraulic Unit PTO"/>
    <x v="73"/>
    <s v="Y"/>
    <n v="1"/>
    <s v="Clutch, Hydraulic Unit PTO"/>
    <s v="Spud System*Hydraulic Unit (Main)*PTO/ Clutch*Clutch, Hydraulic Unit PTO"/>
    <n v="2"/>
    <s v="SD1384"/>
    <s v="FUNK"/>
    <n v="2"/>
  </r>
  <r>
    <s v="0211"/>
    <x v="19"/>
    <n v="8607"/>
    <s v="Spud System*Hydraulic Unit (Aux)*PTO/ Clutch*PUMP DRIVE (Hyd)*Pump Drive, Hydraulic"/>
    <x v="73"/>
    <s v="Y"/>
    <n v="1"/>
    <s v="Pump Drive, Hydraulic"/>
    <s v="Spud System*Hydraulic Unit (Aux)*PTO/ Clutch*PUMP DRIVE (Hyd)*Pump Drive, Hydraulic"/>
    <n v="0"/>
    <s v="28TXX"/>
    <s v="FUNK"/>
    <n v="1"/>
  </r>
  <r>
    <s v="0211"/>
    <x v="19"/>
    <n v="8608"/>
    <s v="Spud System*Hydraulic Unit (Aux)*PTO/ Clutch*PUMP DRIVE (Hyd)*PUMP (Hyd)*Pump, Hydraulic"/>
    <x v="73"/>
    <s v="Y"/>
    <n v="1"/>
    <s v="Pump, Hydraulic"/>
    <s v="Spud System*Hydraulic Unit (Aux)*PTO/ Clutch*PUMP DRIVE (Hyd)*PUMP (Hyd)*Pump, Hydraulic"/>
    <n v="0"/>
    <s v="P75"/>
    <s v="COMMERCIAL SHEARING"/>
    <n v="1"/>
  </r>
  <r>
    <s v="0211"/>
    <x v="19"/>
    <n v="8609"/>
    <s v="Spud System*Hydraulic Unit (Main)*PTO/ Clutch*Pump Drive (Hyd)*Pump Drive, Hydraulic"/>
    <x v="73"/>
    <s v="Y"/>
    <n v="1"/>
    <s v="Pump Drive, Hydraulic"/>
    <s v="Spud System*Hydraulic Unit (Main)*PTO/ Clutch*Pump Drive (Hyd)*Pump Drive, Hydraulic"/>
    <n v="0"/>
    <s v="5928P"/>
    <s v="FUNK"/>
    <n v="1"/>
  </r>
  <r>
    <s v="0211"/>
    <x v="19"/>
    <n v="9410"/>
    <s v="Pump, Dredge*Dredge Pump Gearbox*Shaft, Input (2nd Shaft)*Seal, Oil (Split) (Garlock)"/>
    <x v="63"/>
    <s v="Y"/>
    <n v="2"/>
    <s v="Seal, Oil (Split) (Garlock)"/>
    <s v="Pump, Dredge*Dredge Pump Gearbox*Shaft, Input (2nd Shaft)*Seal, Oil (Split) (Garlock)"/>
    <n v="0"/>
    <s v="23X3949"/>
    <s v="Garlock"/>
    <n v="1"/>
  </r>
  <r>
    <s v="0211"/>
    <x v="19"/>
    <n v="9547"/>
    <s v="Pump, Dredge*Dredge Pump*Hardware &amp; Gaskets*O-Ring, Hub Liner-Plate"/>
    <x v="63"/>
    <s v="Y"/>
    <n v="1"/>
    <s v="O-Ring, Hub Liner-Plate"/>
    <s v="Pump, Dredge*Dredge Pump*Hardware &amp; Gaskets*O-Ring, Hub Liner-Plate"/>
    <n v="1"/>
    <s v="7718P-11"/>
    <s v="GIW"/>
    <n v="1"/>
  </r>
  <r>
    <s v="0211"/>
    <x v="19"/>
    <n v="9548"/>
    <s v="Pump, Dredge*Dredge Pump*Hardware &amp; Gaskets*O-Ring, Shaft Sleeve"/>
    <x v="63"/>
    <s v="Y"/>
    <n v="1"/>
    <s v="O-Ring, Shaft Sleeve"/>
    <s v="Pump, Dredge*Dredge Pump*Hardware &amp; Gaskets*O-Ring, Shaft Sleeve"/>
    <n v="2"/>
    <s v="7710P-47"/>
    <s v="GIW"/>
    <n v="1"/>
  </r>
  <r>
    <s v="0211"/>
    <x v="19"/>
    <n v="9939"/>
    <s v="Pump, Dredge*Shafting*Pump Bearing Assembly (D/P)*Oil Circulating Pump*Pump, Oil Circulating"/>
    <x v="63"/>
    <s v="Y"/>
    <n v="1"/>
    <s v="Pump, Oil Circulating"/>
    <s v="Pump, Dredge*Shafting*Pump Bearing Assembly (D/P)*Oil Circulating Pump*Pump, Oil Circulating"/>
    <n v="0"/>
    <s v="A3DB-118"/>
    <s v="IMO"/>
    <n v="1"/>
  </r>
  <r>
    <s v="0211"/>
    <x v="19"/>
    <n v="9940"/>
    <s v="Pump, Dredge*Shafting*Pump Bearing Assembly (D/P)*Oil Circulating Pump*Motor, Oil Circulating Pump, 2 Hp"/>
    <x v="63"/>
    <s v="Y"/>
    <n v="1"/>
    <s v="Motor, Oil Circulating Pump, 2 Hp"/>
    <s v="Pump, Dredge*Shafting*Pump Bearing Assembly (D/P)*Oil Circulating Pump*Motor, Oil Circulating Pump, 2 Hp"/>
    <n v="0"/>
    <s v="C145T17FB2D"/>
    <s v="LEESON"/>
    <n v="1"/>
  </r>
  <r>
    <s v="0211"/>
    <x v="19"/>
    <n v="9945"/>
    <s v="Raw Water*Pump, Submersible*Pump, Submersible (60HP)"/>
    <x v="71"/>
    <s v="Y"/>
    <n v="1"/>
    <s v="Pump, Submersible (60HP)"/>
    <s v="Raw Water*Pump, Submersible*Pump, Submersible (60HP)"/>
    <n v="1"/>
    <s v="JCU"/>
    <s v="GOULDS PUMPS"/>
    <n v="1"/>
  </r>
  <r>
    <s v="0211"/>
    <x v="19"/>
    <n v="10112"/>
    <s v="Pump, Dredge*Dredge Pump Gearbox*Heat Exchanger*Heat Exchanger"/>
    <x v="63"/>
    <s v="Y"/>
    <n v="1"/>
    <s v="Heat Exchanger"/>
    <s v="Pump, Dredge*Dredge Pump Gearbox*Heat Exchanger*Heat Exchanger"/>
    <n v="0"/>
    <s v="AOL-950-3-HC"/>
    <s v="Thermal Transfer Products"/>
    <n v="1"/>
  </r>
  <r>
    <s v="0211"/>
    <x v="19"/>
    <n v="10113"/>
    <s v="Pump, Dredge*Dredge Pump Gearbox*Heat Exchanger*Fan Blade, Heat Exchanger"/>
    <x v="63"/>
    <s v="Y"/>
    <n v="1"/>
    <s v="Fan Blade, Heat Exchanger"/>
    <s v="Pump, Dredge*Dredge Pump Gearbox*Heat Exchanger*Fan Blade, Heat Exchanger"/>
    <n v="0"/>
    <s v="66126"/>
    <s v="Thermal Transfer Products"/>
    <n v="1"/>
  </r>
  <r>
    <s v="0211"/>
    <x v="19"/>
    <n v="12256"/>
    <s v="Pump, Dredge*Shafting*Pump Bearing Assembly (D/P)*Seal, Oil, Pump End (Item 21)"/>
    <x v="63"/>
    <s v="Y"/>
    <n v="1"/>
    <s v="Seal, Oil, Pump End (Item 21)"/>
    <s v="Pump, Dredge*Shafting*Pump Bearing Assembly (D/P)*Seal, Oil, Pump End (Item 21)"/>
    <n v="5"/>
    <s v="23X4178"/>
    <s v="MOTION IND."/>
    <n v="1"/>
  </r>
  <r>
    <s v="0211"/>
    <x v="19"/>
    <n v="12257"/>
    <s v="Pump, Dredge*Shafting*Pump Bearing Assembly (D/P)*Seal, Oil, Engine End (Item 30)"/>
    <x v="63"/>
    <s v="Y"/>
    <n v="1"/>
    <s v="Seal, Oil, Engine End (Item 30)"/>
    <s v="Pump, Dredge*Shafting*Pump Bearing Assembly (D/P)*Seal, Oil, Engine End (Item 30)"/>
    <n v="2"/>
    <s v="23 X 4080"/>
    <s v="Garlock"/>
    <n v="1"/>
  </r>
  <r>
    <s v="0211"/>
    <x v="19"/>
    <n v="13958"/>
    <s v="Gland Seal*Gland Seal Pump (#1)*Gland Seal Pump Set (#1), Complete*Coupling (1060T35)"/>
    <x v="67"/>
    <s v="Y"/>
    <n v="1"/>
    <s v="Coupling (1060T35)"/>
    <s v="Gland Seal*Gland Seal Pump (#1)*Gland Seal Pump Set (#1), Complete*Coupling (1060T35)"/>
    <n v="2"/>
    <s v="1060T35"/>
    <s v="Falk"/>
    <n v="2"/>
  </r>
  <r>
    <s v="0211"/>
    <x v="19"/>
    <n v="13961"/>
    <s v="Gland Seal*Gland Seal Pump (#1)*Gland Seal Pump Set (#1), Complete*Coupling (1060T35)*Hub, Motor End"/>
    <x v="67"/>
    <s v="Y"/>
    <n v="1"/>
    <s v="Hub, Motor End"/>
    <s v="Gland Seal*Gland Seal Pump (#1)*Gland Seal Pump Set (#1), Complete*Coupling (1060T35)*Hub, Motor End"/>
    <n v="0"/>
    <s v="0713016"/>
    <s v="Motion Industries"/>
    <n v="2"/>
  </r>
  <r>
    <s v="0211"/>
    <x v="19"/>
    <n v="13962"/>
    <s v="Gland Seal*Gland Seal Pump (#1)*Gland Seal Pump Set (#1), Complete*Coupling (1060T35)*Hub, Pump End"/>
    <x v="67"/>
    <s v="Y"/>
    <n v="1"/>
    <s v="Hub, Pump End"/>
    <s v="Gland Seal*Gland Seal Pump (#1)*Gland Seal Pump Set (#1), Complete*Coupling (1060T35)*Hub, Pump End"/>
    <n v="0"/>
    <s v="1060T35"/>
    <s v="Motion Industries"/>
    <n v="2"/>
  </r>
  <r>
    <s v="0211"/>
    <x v="19"/>
    <n v="14263"/>
    <s v="Pump, Dredge*Dredge Pump Gearbox*Clutch (32VC1000)*Valve, Air Control, 120 VAC"/>
    <x v="63"/>
    <s v="Y"/>
    <n v="1"/>
    <s v="Valve, Air Control, 120 VAC"/>
    <s v="Pump, Dredge*Dredge Pump Gearbox*Clutch (32VC1000)*Valve, Air Control, 120 VAC"/>
    <n v="0"/>
    <s v="8316G064-120/VAC"/>
    <s v="STEINER ELECTRIC"/>
    <n v="1"/>
  </r>
  <r>
    <s v="0211"/>
    <x v="19"/>
    <n v="15454"/>
    <s v="Gland Seal*Gland Seal Pump (#1)*Gland Seal Pump Set (#1), Complete*Back Pullout Unit, 3196 LTX"/>
    <x v="67"/>
    <s v="Y"/>
    <n v="1"/>
    <s v="Back Pullout Unit, 3196 LTX"/>
    <s v="Gland Seal*Gland Seal Pump (#1)*Gland Seal Pump Set (#1), Complete*Back Pullout Unit, 3196 LTX"/>
    <n v="2"/>
    <s v="769F266BKPO"/>
    <s v="Goulds"/>
    <n v="2"/>
  </r>
  <r>
    <s v="0211"/>
    <x v="19"/>
    <n v="17048"/>
    <s v="Gland Seal*Gland Seal Pump (#1)*Impeller, CD4, 13&quot; Full"/>
    <x v="67"/>
    <s v="Y"/>
    <n v="1"/>
    <s v="Impeller, CD4, 13&quot; Full"/>
    <s v="Gland Seal*Gland Seal Pump (#1)*Impeller, CD4, 13&quot; Full"/>
    <n v="0"/>
    <s v="0104-146  21203"/>
    <s v="Goulds"/>
    <n v="2"/>
  </r>
  <r>
    <s v="0211"/>
    <x v="19"/>
    <n v="18177"/>
    <s v="Spud System*Jacking System*Jacking Gearbox*Gearbox Assembly, Jacking Gear*Seal Kit, Jacking Gearbox"/>
    <x v="73"/>
    <s v="Y"/>
    <n v="2"/>
    <s v="Seal Kit, Jacking Gearbox"/>
    <s v="Spud System*Jacking System*Jacking Gearbox*Gearbox Assembly, Jacking Gear*Seal Kit, Jacking Gearbox"/>
    <n v="5"/>
    <s v="39859200003"/>
    <s v="EBI Crane Services LLC"/>
    <n v="1"/>
  </r>
  <r>
    <s v="0211"/>
    <x v="19"/>
    <n v="18400"/>
    <s v="Spud System*Jacking System*Jacking Gearbox*Gearbox Assembly, Jacking Gear*Brake Kit, Jacking Gear"/>
    <x v="73"/>
    <s v="Y"/>
    <n v="2"/>
    <s v="Brake Kit, Jacking Gear"/>
    <s v="Spud System*Jacking System*Jacking Gearbox*Gearbox Assembly, Jacking Gear*Brake Kit, Jacking Gear"/>
    <n v="0"/>
    <s v="39852750001"/>
    <s v="EBI Crane Services LLC"/>
    <n v="1"/>
  </r>
  <r>
    <s v="0211"/>
    <x v="19"/>
    <n v="18403"/>
    <s v="Spud System*Jacking System*Jacking Gearbox*Gearbox Assembly, Jacking Gear*Spring Kit, Jacking Gearbox"/>
    <x v="73"/>
    <s v="Y"/>
    <n v="2"/>
    <s v="Spring Kit, Jacking Gearbox"/>
    <s v="Spud System*Jacking System*Jacking Gearbox*Gearbox Assembly, Jacking Gear*Spring Kit, Jacking Gearbox"/>
    <n v="0"/>
    <s v="39859500001"/>
    <s v="EBI Crane Services LLC"/>
    <n v="1"/>
  </r>
  <r>
    <s v="0211"/>
    <x v="19"/>
    <n v="18875"/>
    <s v="Products Instrumentation/Monitoring*Rosemount Transducers*Transmitter (-15-250 Psig) Remote Seal"/>
    <x v="113"/>
    <s v="Y"/>
    <n v="1"/>
    <s v="Transmitter (-15-250 Psig) Remote Seal"/>
    <s v="Products Instrumentation/Monitoring*Rosemount Transducers*Transmitter (-15-250 Psig) Remote Seal"/>
    <n v="1"/>
    <s v="1151GP7E22S1B1"/>
    <s v="ROSEMOUNT"/>
    <n v="1"/>
  </r>
  <r>
    <s v="0211"/>
    <x v="19"/>
    <n v="18879"/>
    <s v="Products Instrumentation/Monitoring*Rosemount Transducers*Transmitter (0-400 PSIG)"/>
    <x v="113"/>
    <s v="Y"/>
    <n v="1"/>
    <s v="Transmitter (0-400 PSIG)"/>
    <s v="Products Instrumentation/Monitoring*Rosemount Transducers*Transmitter (0-400 PSIG)"/>
    <n v="0"/>
    <s v="1151GP8E22B3M3DF"/>
    <s v="ROSEMOUNT"/>
    <n v="1"/>
  </r>
  <r>
    <s v="0211"/>
    <x v="19"/>
    <n v="18903"/>
    <s v="Pump, Dredge*Dredge Pump Gearbox*Heat Exchanger*Motor, Heat Exchanger, 1.5 Hp"/>
    <x v="63"/>
    <s v="Y"/>
    <n v="1"/>
    <s v="Motor, Heat Exchanger, 1.5 Hp"/>
    <s v="Pump, Dredge*Dredge Pump Gearbox*Heat Exchanger*Motor, Heat Exchanger, 1.5 Hp"/>
    <n v="0"/>
    <s v="12003700"/>
    <s v="LEESON"/>
    <n v="1"/>
  </r>
  <r>
    <s v="0211"/>
    <x v="19"/>
    <n v="19097"/>
    <s v="Pump, Dredge*Dredge Pump Gearbox*Lube System*Filter"/>
    <x v="63"/>
    <s v="Y"/>
    <n v="1"/>
    <s v="Filter"/>
    <s v="Pump, Dredge*Dredge Pump Gearbox*Lube System*Filter"/>
    <n v="0"/>
    <s v="980-15"/>
    <s v="Kaydon-Bowser"/>
    <n v="1"/>
  </r>
  <r>
    <s v="0211"/>
    <x v="19"/>
    <n v="24891"/>
    <s v="Pump, Dredge*Shafting*Pump Bearing Assembly (D/P)*Coupling (Falk)*Grid, Falk 1210T10 Coupling,"/>
    <x v="63"/>
    <s v="Y"/>
    <n v="1"/>
    <s v="Grid, Falk 1210T10 Coupling,"/>
    <s v="Pump, Dredge*Shafting*Pump Bearing Assembly (D/P)*Coupling (Falk)*Grid, Falk 1210T10 Coupling,"/>
    <n v="0"/>
    <s v="1210T10"/>
    <s v="Falk"/>
    <n v="1"/>
  </r>
  <r>
    <s v="0211"/>
    <x v="19"/>
    <n v="25237"/>
    <s v="Pump, Dredge*Shafting*Pump Bearing Assembly (D/P)*Oil Cooler*Heat Exchanger (Oil)"/>
    <x v="63"/>
    <s v="Y"/>
    <n v="1"/>
    <s v="Heat Exchanger (Oil)"/>
    <s v="Pump, Dredge*Shafting*Pump Bearing Assembly (D/P)*Oil Cooler*Heat Exchanger (Oil)"/>
    <n v="1"/>
    <s v="BE EAB-1202-B4-SP-CNT-S"/>
    <s v="American Industrial"/>
    <n v="1"/>
  </r>
  <r>
    <s v="0211"/>
    <x v="19"/>
    <n v="25620"/>
    <s v="Raw Water*Pump, Submersible*Hose, Suction, Sub Pump, 4&quot; X 30'"/>
    <x v="71"/>
    <s v="Y"/>
    <n v="1"/>
    <s v="Hose, Suction, Sub Pump, 4&quot; X 30'"/>
    <s v="Raw Water*Pump, Submersible*Hose, Suction, Sub Pump, 4&quot; X 30'"/>
    <n v="0"/>
    <m/>
    <m/>
    <n v="1"/>
  </r>
  <r>
    <s v="0211"/>
    <x v="19"/>
    <n v="29849"/>
    <s v="Piping (Dredge)*Victaulic Coupling, (36&quot;)*Gasket, Victaulic Coupling"/>
    <x v="80"/>
    <s v="Y"/>
    <n v="1"/>
    <s v="Gasket, Victaulic Coupling"/>
    <s v="Piping (Dredge)*Victaulic Coupling, (36&quot;)*Gasket, Victaulic Coupling"/>
    <n v="3"/>
    <s v="SF22662"/>
    <s v="TOWNLEY"/>
    <n v="1"/>
  </r>
  <r>
    <s v="0211"/>
    <x v="19"/>
    <n v="30794"/>
    <s v="Electrical*Automation*PLC (Allen Bradley)*SLC 1746 - OX8 Isolated Relay Output"/>
    <x v="61"/>
    <s v="Y"/>
    <n v="1"/>
    <s v="SLC 1746 - OX8 Isolated Relay Output"/>
    <s v="Electrical*Automation*PLC (Allen Bradley)*SLC 1746 - OX8 Isolated Relay Output"/>
    <n v="1"/>
    <s v="1746-OX8"/>
    <s v="Allen-Bradley"/>
    <n v="1"/>
  </r>
  <r>
    <s v="0211"/>
    <x v="19"/>
    <n v="31451"/>
    <s v="Gland Seal*Gland Seal Pump (#1)*Gland Seal Pump Set (#1), Complete*Coupling (1060T35)*Cover, 1060T35 Coupling"/>
    <x v="67"/>
    <s v="Y"/>
    <n v="1"/>
    <s v="Cover, 1060T35 Coupling"/>
    <s v="Gland Seal*Gland Seal Pump (#1)*Gland Seal Pump Set (#1), Complete*Coupling (1060T35)*Cover, 1060T35 Coupling"/>
    <n v="0"/>
    <s v="1060T35"/>
    <s v="Motion Industries"/>
    <n v="2"/>
  </r>
  <r>
    <s v="0211"/>
    <x v="19"/>
    <n v="31452"/>
    <s v="Gland Seal*Gland Seal Pump (#1)*Gland Seal Pump Set (#1), Complete*Coupling (1060T35)*Grid, 1060T35 Coupling"/>
    <x v="67"/>
    <s v="Y"/>
    <n v="1"/>
    <s v="Grid, 1060T35 Coupling"/>
    <s v="Gland Seal*Gland Seal Pump (#1)*Gland Seal Pump Set (#1), Complete*Coupling (1060T35)*Grid, 1060T35 Coupling"/>
    <n v="0"/>
    <s v="1060T35"/>
    <s v="Motion Industries"/>
    <n v="2"/>
  </r>
  <r>
    <s v="0211"/>
    <x v="19"/>
    <n v="32236"/>
    <s v="Pump, Dredge*Dredge Pump Gearbox*Clutch (32VC1000)*Clutch (Complete Assembly)"/>
    <x v="63"/>
    <s v="Y"/>
    <n v="1"/>
    <s v="Clutch (Complete Assembly)"/>
    <s v="Pump, Dredge*Dredge Pump Gearbox*Clutch (32VC1000)*Clutch (Complete Assembly)"/>
    <n v="0"/>
    <s v="988456"/>
    <s v="EATON AIRFLEX"/>
    <n v="1"/>
  </r>
  <r>
    <s v="0211"/>
    <x v="19"/>
    <n v="35207"/>
    <s v="Pump, Dredge*Dredge Pump Gearbox*Lube System*OIL PUMP AND MOTOR ASSEMBLY*Motor, 5 Hp"/>
    <x v="63"/>
    <s v="Y"/>
    <n v="1"/>
    <s v="Motor, 5 Hp"/>
    <s v="Pump, Dredge*Dredge Pump Gearbox*Lube System*OIL PUMP AND MOTOR ASSEMBLY*Motor, 5 Hp"/>
    <n v="0"/>
    <s v="5K254QPA8DA7A"/>
    <s v="General Electric"/>
    <n v="1"/>
  </r>
  <r>
    <s v="0211"/>
    <x v="19"/>
    <n v="38449"/>
    <s v="Raw Water*Pump, Submersible*Hose, Discharge, Sub Pump, 6&quot; x 50'"/>
    <x v="71"/>
    <s v="Y"/>
    <n v="1"/>
    <s v="Hose, Discharge, Sub Pump, 6&quot; x 50'"/>
    <s v="Raw Water*Pump, Submersible*Hose, Discharge, Sub Pump, 6&quot; x 50'"/>
    <n v="0"/>
    <m/>
    <m/>
    <n v="1"/>
  </r>
  <r>
    <s v="0211"/>
    <x v="19"/>
    <n v="46441"/>
    <s v="Spud System*Jacking System*Jacking Gearbox*Pinion Shaft Assembly, Jacking Gear*Leg Shaft, Jacking Gearbox"/>
    <x v="73"/>
    <s v="Y"/>
    <n v="1"/>
    <s v="Leg Shaft, Jacking Gearbox"/>
    <s v="Spud System*Jacking System*Jacking Gearbox*Pinion Shaft Assembly, Jacking Gear*Leg Shaft, Jacking Gearbox"/>
    <n v="0"/>
    <s v="6962-6600002"/>
    <s v="EBI Crane Services LLC"/>
    <n v="1"/>
  </r>
  <r>
    <s v="0211"/>
    <x v="19"/>
    <n v="46442"/>
    <s v="Spud System*Jacking System*Jacking Gearbox*Pinion Shaft Assembly, Jacking Gear*Pinion, Jacking Gearbox"/>
    <x v="73"/>
    <s v="Y"/>
    <n v="1"/>
    <s v="Pinion, Jacking Gearbox"/>
    <s v="Spud System*Jacking System*Jacking Gearbox*Pinion Shaft Assembly, Jacking Gear*Pinion, Jacking Gearbox"/>
    <n v="0"/>
    <s v="25715700026"/>
    <s v="EBI Crane Services LLC"/>
    <n v="1"/>
  </r>
  <r>
    <s v="0211"/>
    <x v="19"/>
    <n v="49704"/>
    <s v="Electrical*Automation*Engine Speed Control*Speed Controller, 701A"/>
    <x v="61"/>
    <s v="Y"/>
    <n v="1"/>
    <s v="Speed Controller, 701A"/>
    <s v="Electrical*Automation*Engine Speed Control*Speed Controller, 701A"/>
    <n v="0"/>
    <s v="8280-192"/>
    <s v="Woodward"/>
    <n v="1"/>
  </r>
  <r>
    <s v="0211"/>
    <x v="19"/>
    <n v="49707"/>
    <s v="Pump, Dredge*Dredge Pump Engine (EMD 645)*UG Accuator*UG Actuator, Standard"/>
    <x v="63"/>
    <s v="Y"/>
    <n v="1"/>
    <s v="UG Actuator, Standard"/>
    <s v="Pump, Dredge*Dredge Pump Engine (EMD 645)*UG Accuator*UG Actuator, Standard"/>
    <n v="0"/>
    <s v="8251-724A"/>
    <s v="Woodward"/>
    <n v="1"/>
  </r>
  <r>
    <s v="0211"/>
    <x v="19"/>
    <n v="49710"/>
    <s v="Electrical*Automation*Engine Speed Control*Magnetic Pick Up"/>
    <x v="61"/>
    <s v="Y"/>
    <n v="1"/>
    <s v="Magnetic Pick Up"/>
    <s v="Electrical*Automation*Engine Speed Control*Magnetic Pick Up"/>
    <n v="0"/>
    <s v="5430-933"/>
    <s v="Woodward"/>
    <n v="1"/>
  </r>
  <r>
    <s v="0211"/>
    <x v="19"/>
    <n v="50075"/>
    <s v="Gland Seal*Gland Seal Pump (#1)*Gland Seal Pump Set (#1), Complete*Coupling (1060T35)*Grid Spring Assembly"/>
    <x v="67"/>
    <s v="Y"/>
    <n v="1"/>
    <s v="Grid Spring Assembly"/>
    <s v="Gland Seal*Gland Seal Pump (#1)*Gland Seal Pump Set (#1), Complete*Coupling (1060T35)*Grid Spring Assembly"/>
    <n v="0"/>
    <s v="1060T35"/>
    <s v="Falk"/>
    <n v="2"/>
  </r>
  <r>
    <s v="0211"/>
    <x v="19"/>
    <n v="57477"/>
    <s v="Pump, Dredge*Dredge Pump Gearbox*Lube System*Oiler, Sight Feed"/>
    <x v="63"/>
    <s v="Y"/>
    <n v="1"/>
    <s v="Oiler, Sight Feed"/>
    <s v="Pump, Dredge*Dredge Pump Gearbox*Lube System*Oiler, Sight Feed"/>
    <n v="0"/>
    <s v="X-4081-G4"/>
    <s v="HORSBURGH &amp; SCOTT"/>
    <n v="1"/>
  </r>
  <r>
    <s v="0211"/>
    <x v="19"/>
    <n v="7500000194"/>
    <s v="Pump, Dredge*Dredge Pump Engine (EMD 645)*Starting System*Valve, Air Start, Two Way*mrg-Solenoid, Used For Air Starters"/>
    <x v="63"/>
    <s v="Y"/>
    <n v="1"/>
    <s v="mrg-Solenoid, Used For Air Starters"/>
    <s v="Pump, Dredge*Dredge Pump Engine (EMD 645)*Starting System*Valve, Air Start, Two Way*mrg-Solenoid, Used For Air Starters"/>
    <n v="0"/>
    <s v="712-000"/>
    <s v="SALEM"/>
    <n v="1"/>
  </r>
  <r>
    <s v="0211"/>
    <x v="19"/>
    <n v="7500000545"/>
    <s v="Gland Seal*Gland Seal Pump (#1)*Gland Seal Pump Set (#1), Complete*Expansion Joint"/>
    <x v="67"/>
    <s v="Y"/>
    <n v="1"/>
    <s v="Expansion Joint"/>
    <s v="Gland Seal*Gland Seal Pump (#1)*Gland Seal Pump Set (#1), Complete*Expansion Joint"/>
    <n v="0"/>
    <s v="4528K54"/>
    <s v="MCMASTER CARR"/>
    <n v="2"/>
  </r>
  <r>
    <s v="0211"/>
    <x v="19"/>
    <n v="11500002926"/>
    <s v="Pump, Dredge*Dredge Pump*Hardware &amp; Gaskets*O-Ring, Outer Liner O.D."/>
    <x v="63"/>
    <s v="Y"/>
    <n v="1"/>
    <s v="O-Ring, Outer Liner O.D."/>
    <s v="Pump, Dredge*Dredge Pump*Hardware &amp; Gaskets*O-Ring, Outer Liner O.D."/>
    <n v="3"/>
    <s v="7719P-20"/>
    <s v="MPMW Dwg "/>
    <n v="1"/>
  </r>
  <r>
    <s v="0211"/>
    <x v="19"/>
    <n v="11500002927"/>
    <s v="Pump, Dredge*Dredge Pump*Hardware &amp; Gaskets*O-Ring, Back Door O.D."/>
    <x v="63"/>
    <s v="Y"/>
    <n v="1"/>
    <s v="O-Ring, Back Door O.D."/>
    <s v="Pump, Dredge*Dredge Pump*Hardware &amp; Gaskets*O-Ring, Back Door O.D."/>
    <n v="2"/>
    <s v="7739P-03"/>
    <s v="MPMW Dwg "/>
    <n v="1"/>
  </r>
  <r>
    <s v="0211"/>
    <x v="19"/>
    <n v="11500002928"/>
    <s v="Pump, Dredge*Dredge Pump*Hardware &amp; Gaskets*O-Ring, Back Door I.D."/>
    <x v="63"/>
    <s v="Y"/>
    <n v="1"/>
    <s v="O-Ring, Back Door I.D."/>
    <s v="Pump, Dredge*Dredge Pump*Hardware &amp; Gaskets*O-Ring, Back Door I.D."/>
    <n v="0"/>
    <s v="7743P-01"/>
    <s v="MPMW Dwg "/>
    <n v="1"/>
  </r>
  <r>
    <s v="0211"/>
    <x v="19"/>
    <n v="13200002251"/>
    <s v="Gland Seal*Gland Seal Pump (#1)*Gland Seal Pump Set (#1), Complete*Seal, Labyrinth (Fwd)"/>
    <x v="67"/>
    <s v="Y"/>
    <n v="1"/>
    <s v="Seal, Labyrinth (Fwd)"/>
    <s v="Gland Seal*Gland Seal Pump (#1)*Gland Seal Pump Set (#1), Complete*Seal, Labyrinth (Fwd)"/>
    <n v="0"/>
    <s v="LSE-1750-2875-1-1"/>
    <s v="Goulds"/>
    <n v="2"/>
  </r>
  <r>
    <s v="0211"/>
    <x v="19"/>
    <n v="13200002252"/>
    <s v="Gland Seal*Gland Seal Pump (#1)*Gland Seal Pump Set (#1), Complete*Seal, Labyrinth (Rear)"/>
    <x v="67"/>
    <s v="Y"/>
    <n v="1"/>
    <s v="Seal, Labyrinth (Rear)"/>
    <s v="Gland Seal*Gland Seal Pump (#1)*Gland Seal Pump Set (#1), Complete*Seal, Labyrinth (Rear)"/>
    <n v="0"/>
    <s v="LSE-1125-2000-1-1"/>
    <s v="Goulds"/>
    <n v="2"/>
  </r>
  <r>
    <s v="0211"/>
    <x v="19"/>
    <n v="13200002629"/>
    <s v="Pump, Dredge*Dredge Pump Gearbox*Clutch (32VC1000)*Tube, Air Connection"/>
    <x v="63"/>
    <s v="Y"/>
    <n v="1"/>
    <s v="Tube, Air Connection"/>
    <s v="Pump, Dredge*Dredge Pump Gearbox*Clutch (32VC1000)*Tube, Air Connection"/>
    <n v="0"/>
    <s v="412178-05"/>
    <s v="BRAKE SUPPLY"/>
    <n v="1"/>
  </r>
  <r>
    <s v="0211"/>
    <x v="19"/>
    <n v="14400000081"/>
    <s v="Pump, Dredge*Dredge Pump Engine (EMD 645)*Starting System*Valve, Air Start, Two Way"/>
    <x v="63"/>
    <s v="Y"/>
    <n v="1"/>
    <s v="Valve, Air Start, Two Way"/>
    <s v="Pump, Dredge*Dredge Pump Engine (EMD 645)*Starting System*Valve, Air Start, Two Way"/>
    <n v="0"/>
    <s v="8393335"/>
    <s v="EMD (MSI)"/>
    <n v="1"/>
  </r>
  <r>
    <s v="0211"/>
    <x v="19"/>
    <n v="14500000426"/>
    <s v="Pump, Dredge*Dredge Pump Engine (EMD 645)*Lube Oil Scavenging Pump (SP2)*Lube Oil Scavenging Pump (20-645)"/>
    <x v="63"/>
    <s v="Y"/>
    <n v="1"/>
    <s v="Lube Oil Scavenging Pump (20-645)"/>
    <s v="Pump, Dredge*Dredge Pump Engine (EMD 645)*Lube Oil Scavenging Pump (SP2)*Lube Oil Scavenging Pump (20-645)"/>
    <n v="0"/>
    <s v="8417074"/>
    <s v="EMD (MSI)"/>
    <n v="1"/>
  </r>
  <r>
    <s v="0211"/>
    <x v="19"/>
    <n v="14500002209"/>
    <s v="Pump, Dredge*Dredge Pump*Stuffing Box (D/P)*Lantern Ring, Gathane (Split)"/>
    <x v="63"/>
    <s v="Y"/>
    <n v="1"/>
    <s v="Lantern Ring, Gathane (Split)"/>
    <s v="Pump, Dredge*Dredge Pump*Stuffing Box (D/P)*Lantern Ring, Gathane (Split)"/>
    <n v="0"/>
    <s v="618-0365A-00-03GAT"/>
    <s v="GIW"/>
    <n v="1"/>
  </r>
  <r>
    <s v="0211"/>
    <x v="19"/>
    <n v="14500002333"/>
    <s v="Pump, Dredge*Dredge Pump*Stuffing Box (D/P)*Stuffing Box, Complete (11.5&quot;)"/>
    <x v="63"/>
    <s v="Y"/>
    <n v="1"/>
    <s v="Stuffing Box, Complete (11.5&quot;)"/>
    <s v="Pump, Dredge*Dredge Pump*Stuffing Box (D/P)*Stuffing Box, Complete (11.5&quot;)"/>
    <n v="0"/>
    <s v="6560C-00-0P40C"/>
    <s v="GIW"/>
    <n v="1"/>
  </r>
  <r>
    <s v="0211"/>
    <x v="19"/>
    <n v="14500002735"/>
    <s v="Pump, Dredge*Dredge Pump*Stuffing Box (D/P)*Packing Gland"/>
    <x v="63"/>
    <s v="Y"/>
    <n v="1"/>
    <s v="Packing Gland"/>
    <s v="Pump, Dredge*Dredge Pump*Stuffing Box (D/P)*Packing Gland"/>
    <n v="0"/>
    <s v="0865C-04"/>
    <s v="GIW"/>
    <n v="1"/>
  </r>
  <r>
    <s v="0211"/>
    <x v="19"/>
    <n v="14500002736"/>
    <s v="Pump, Dredge*Dredge Pump*Stuffing Box (D/P)*Packing Gland*Bolt, Packing Gland, 1&quot; x 5-1/2&quot;"/>
    <x v="63"/>
    <s v="Y"/>
    <n v="2"/>
    <s v="Bolt, Packing Gland, 1&quot; x 5-1/2&quot;"/>
    <s v="Pump, Dredge*Dredge Pump*Stuffing Box (D/P)*Packing Gland*Bolt, Packing Gland, 1&quot; x 5-1/2&quot;"/>
    <n v="0"/>
    <s v="9702P-86"/>
    <s v="GIW"/>
    <n v="1"/>
  </r>
  <r>
    <s v="0211"/>
    <x v="19"/>
    <n v="23500000057"/>
    <s v="Pump, Dredge*Dredge Pump*Stuffing Box (D/P)*Wear Plate Assembly*Bolt, Stuffing Box Liner"/>
    <x v="63"/>
    <s v="Y"/>
    <n v="2"/>
    <s v="Bolt, Stuffing Box Liner"/>
    <s v="Pump, Dredge*Dredge Pump*Stuffing Box (D/P)*Wear Plate Assembly*Bolt, Stuffing Box Liner"/>
    <n v="6"/>
    <s v="9704P-63"/>
    <s v="GIW"/>
    <n v="1"/>
  </r>
  <r>
    <s v="0211"/>
    <x v="19"/>
    <n v="23500000062"/>
    <s v="Pump, Dredge*Dredge Pump*Stuffing Box (D/P)*Sleeve, Shaft, D/P 11.5&quot;"/>
    <x v="63"/>
    <s v="Y"/>
    <n v="1"/>
    <s v="Sleeve, Shaft, D/P 11.5&quot;"/>
    <s v="Pump, Dredge*Dredge Pump*Stuffing Box (D/P)*Sleeve, Shaft, D/P 11.5&quot;"/>
    <n v="0"/>
    <s v="8213D"/>
    <s v="GIW"/>
    <n v="1"/>
  </r>
  <r>
    <s v="0211"/>
    <x v="19"/>
    <n v="31500000002"/>
    <s v="Spud System*Jacking System*Jacking Gearbox*Hydraulic Motor (JK)*Hydraulic Motor, Spud Jacking"/>
    <x v="73"/>
    <s v="Y"/>
    <n v="2"/>
    <s v="Hydraulic Motor, Spud Jacking"/>
    <s v="Spud System*Jacking System*Jacking Gearbox*Hydraulic Motor (JK)*Hydraulic Motor, Spud Jacking"/>
    <n v="0"/>
    <s v="Series 4000"/>
    <s v="CHAR-LYNN"/>
    <n v="1"/>
  </r>
  <r>
    <s v="0211"/>
    <x v="19"/>
    <n v="31500000003"/>
    <s v="Spud System*Jacking System*Jacking Gearbox*Gearbox Assembly, Jacking Gear"/>
    <x v="73"/>
    <s v="Y"/>
    <n v="1"/>
    <s v="Gearbox Assembly, Jacking Gear"/>
    <s v="Spud System*Jacking System*Jacking Gearbox*Gearbox Assembly, Jacking Gear"/>
    <n v="2"/>
    <s v="2725-7770010"/>
    <s v="EBI Crane Services LLC"/>
    <n v="1"/>
  </r>
  <r>
    <s v="0211"/>
    <x v="19"/>
    <n v="31500000004"/>
    <s v="Spud System*Jacking System*Jacking Gearbox*Pinion Shaft Assembly, Jacking Gear"/>
    <x v="73"/>
    <s v="Y"/>
    <n v="1"/>
    <s v="Pinion Shaft Assembly, Jacking Gear"/>
    <s v="Spud System*Jacking System*Jacking Gearbox*Pinion Shaft Assembly, Jacking Gear"/>
    <n v="0"/>
    <s v="27515700001"/>
    <s v="EBI Crane Services LLC"/>
    <n v="1"/>
  </r>
  <r>
    <s v="0211"/>
    <x v="19"/>
    <n v="35400001104"/>
    <s v="Crane/Hoists*Pedestal Crane*Limit Switch"/>
    <x v="70"/>
    <s v="Y"/>
    <n v="1"/>
    <s v="Limit Switch"/>
    <s v="Crane/Hoists*Pedestal Crane*Limit Switch"/>
    <n v="5"/>
    <s v="5B087"/>
    <s v="Grainger"/>
    <n v="1"/>
  </r>
  <r>
    <s v="0211"/>
    <x v="19"/>
    <n v="45000002183"/>
    <s v="Gland Seal*Gland Seal Pump (#1)*Gland Seal Pump Set (#1), Complete*Gasket, Casing"/>
    <x v="67"/>
    <s v="Y"/>
    <n v="1"/>
    <s v="Gasket, Casing"/>
    <s v="Gland Seal*Gland Seal Pump (#1)*Gland Seal Pump Set (#1), Complete*Gasket, Casing"/>
    <n v="0"/>
    <s v="Item "/>
    <s v="Goulds"/>
    <n v="2"/>
  </r>
  <r>
    <s v="0211"/>
    <x v="19"/>
    <n v="45000006703"/>
    <s v="Gland Seal*Gland Seal Pump (#1)*Gland Seal Pump Set (#1), Complete*Bearing, Thrust"/>
    <x v="67"/>
    <s v="Y"/>
    <n v="1"/>
    <s v="Bearing, Thrust"/>
    <s v="Gland Seal*Gland Seal Pump (#1)*Gland Seal Pump Set (#1), Complete*Bearing, Thrust"/>
    <n v="0"/>
    <s v="R8057 0 1029"/>
    <s v="Goulds"/>
    <n v="2"/>
  </r>
  <r>
    <s v="0211"/>
    <x v="19"/>
    <n v="45000006704"/>
    <s v="Gland Seal*Gland Seal Pump (#1)*Gland Seal Pump Set (#1), Complete*Bearing, Radial"/>
    <x v="67"/>
    <s v="Y"/>
    <n v="1"/>
    <s v="Bearing, Radial"/>
    <s v="Gland Seal*Gland Seal Pump (#1)*Gland Seal Pump Set (#1), Complete*Bearing, Radial"/>
    <n v="0"/>
    <s v="8050-31160"/>
    <s v="Goulds"/>
    <n v="2"/>
  </r>
  <r>
    <s v="0211"/>
    <x v="19"/>
    <n v="45000009196"/>
    <s v="Electrical*Automation*PLC (Allen Bradley)*SLC 1747 - L552 Processor"/>
    <x v="61"/>
    <s v="Y"/>
    <n v="1"/>
    <s v="SLC 1747 - L552 Processor"/>
    <s v="Electrical*Automation*PLC (Allen Bradley)*SLC 1747 - L552 Processor"/>
    <n v="0"/>
    <s v="1747-L552"/>
    <s v="ALLEN-BRADLEY"/>
    <n v="1"/>
  </r>
  <r>
    <s v="0211"/>
    <x v="19"/>
    <n v="45000009416"/>
    <s v="Generators*Main Genset (Stbd)*Generator Engine (Stbd) (CAT 3406B)*Water Pump"/>
    <x v="4"/>
    <s v="Y"/>
    <n v="1"/>
    <s v="Water Pump"/>
    <s v="Generators*Main Genset (Stbd)*Generator Engine (Stbd) (CAT 3406B)*Water Pump"/>
    <n v="0"/>
    <s v="1N-2959"/>
    <s v="Caterpillar"/>
    <n v="2"/>
  </r>
  <r>
    <s v="0211"/>
    <x v="19"/>
    <n v="45000009417"/>
    <s v="Generators*Main Genset (Stbd)*Generator Engine (Stbd) (CAT 3406B)*Water Pump*O-Ring, Water Pump Seal"/>
    <x v="4"/>
    <s v="Y"/>
    <n v="1"/>
    <s v="O-Ring, Water Pump Seal"/>
    <s v="Generators*Main Genset (Stbd)*Generator Engine (Stbd) (CAT 3406B)*Water Pump*O-Ring, Water Pump Seal"/>
    <n v="0"/>
    <s v="4K-6804"/>
    <s v="Caterpillar"/>
    <n v="2"/>
  </r>
  <r>
    <s v="0211"/>
    <x v="19"/>
    <n v="45000009418"/>
    <s v="Generators*Main Genset (Stbd)*Generator Engine (Stbd) (CAT 3406B)*Water Pump*O-Ring, Water Pump Seal"/>
    <x v="4"/>
    <s v="Y"/>
    <n v="1"/>
    <s v="O-Ring, Water Pump Seal"/>
    <s v="Generators*Main Genset (Stbd)*Generator Engine (Stbd) (CAT 3406B)*Water Pump*O-Ring, Water Pump Seal"/>
    <n v="0"/>
    <s v="9M-3786"/>
    <s v="Caterpillar"/>
    <n v="2"/>
  </r>
  <r>
    <s v="0211"/>
    <x v="19"/>
    <n v="45000009419"/>
    <s v="Generators*Main Genset (Stbd)*Generator Engine (Stbd) (CAT 3406B)*Water Pump*O-Ring, Water Pump Seal"/>
    <x v="4"/>
    <s v="Y"/>
    <n v="1"/>
    <s v="O-Ring, Water Pump Seal"/>
    <s v="Generators*Main Genset (Stbd)*Generator Engine (Stbd) (CAT 3406B)*Water Pump*O-Ring, Water Pump Seal"/>
    <n v="0"/>
    <s v="4F-7387"/>
    <s v="Caterpillar"/>
    <n v="2"/>
  </r>
  <r>
    <s v="0211"/>
    <x v="19"/>
    <n v="45000009420"/>
    <s v="Generators*Main Genset (Stbd)*Generator Engine (Stbd) (CAT 3406B)*Water Pump*Gasket, Water Pump Cover"/>
    <x v="4"/>
    <s v="Y"/>
    <n v="1"/>
    <s v="Gasket, Water Pump Cover"/>
    <s v="Generators*Main Genset (Stbd)*Generator Engine (Stbd) (CAT 3406B)*Water Pump*Gasket, Water Pump Cover"/>
    <n v="0"/>
    <s v="7W-5733"/>
    <s v="Caterpillar"/>
    <n v="2"/>
  </r>
  <r>
    <s v="0211"/>
    <x v="19"/>
    <n v="45000009421"/>
    <s v="Generators*Main Genset (Stbd)*Generator Engine (Stbd) (CAT 3406B)*Water Pump*Gasket, Water Pump To Oil Cooler"/>
    <x v="4"/>
    <s v="Y"/>
    <n v="1"/>
    <s v="Gasket, Water Pump To Oil Cooler"/>
    <s v="Generators*Main Genset (Stbd)*Generator Engine (Stbd) (CAT 3406B)*Water Pump*Gasket, Water Pump To Oil Cooler"/>
    <n v="0"/>
    <s v="1W-2636"/>
    <s v="Caterpillar"/>
    <n v="2"/>
  </r>
  <r>
    <s v="0211"/>
    <x v="19"/>
    <n v="45000013304"/>
    <s v="Spud System*Spuds*Gear Rack Section, Spud"/>
    <x v="73"/>
    <s v="Y"/>
    <n v="1"/>
    <s v="Gear Rack Section, Spud"/>
    <s v="Spud System*Spuds*Gear Rack Section, Spud"/>
    <n v="2"/>
    <s v="211-06-8010 Rev 8"/>
    <s v="Gldd Dwg "/>
    <n v="1"/>
  </r>
  <r>
    <s v="0211"/>
    <x v="19"/>
    <n v="45000014049"/>
    <s v="Electrical*Automation*PLC (Allen Bradley)*SLC 1746 - NR8, 8 Point RTD Input Card"/>
    <x v="61"/>
    <s v="Y"/>
    <n v="1"/>
    <s v="SLC 1746 - NR8, 8 Point RTD Input Card"/>
    <s v="Electrical*Automation*PLC (Allen Bradley)*SLC 1746 - NR8, 8 Point RTD Input Card"/>
    <n v="1"/>
    <s v="1746-NR8"/>
    <s v="ALLEN-BRADLEY"/>
    <n v="1"/>
  </r>
  <r>
    <s v="0211"/>
    <x v="19"/>
    <n v="45000014063"/>
    <s v="Pump, Dredge*Dredge Pump*Stuffing Box (D/P)*Wear Plate Assembly"/>
    <x v="63"/>
    <s v="Y"/>
    <n v="1"/>
    <s v="Wear Plate Assembly"/>
    <s v="Pump, Dredge*Dredge Pump*Stuffing Box (D/P)*Wear Plate Assembly"/>
    <n v="1"/>
    <s v="0390A"/>
    <s v="GIW"/>
    <n v="1"/>
  </r>
  <r>
    <s v="0211"/>
    <x v="19"/>
    <n v="45000019171"/>
    <s v="Gland Seal*Seals, Cartridge (Goulds Pumps)*Seal, Cartridge (Mechanical Type) (LTX)"/>
    <x v="67"/>
    <s v="Y"/>
    <n v="1"/>
    <s v="Seal, Cartridge (Mechanical Type) (LTX)"/>
    <s v="Gland Seal*Seals, Cartridge (Goulds Pumps)*Seal, Cartridge (Mechanical Type) (LTX)"/>
    <n v="2"/>
    <s v="80299"/>
    <s v="SCHUR &amp; COMPANY INC."/>
    <n v="1"/>
  </r>
  <r>
    <s v="0211"/>
    <x v="19"/>
    <n v="45000020350"/>
    <s v="Generators*Main Genset (Stbd)*Generator Engine (Stbd) (CAT 3406B)*Solenoid, Fuel Shut Off, (Stbd Only)"/>
    <x v="4"/>
    <s v="Y"/>
    <n v="1"/>
    <s v="Solenoid, Fuel Shut Off, (Stbd Only)"/>
    <s v="Generators*Main Genset (Stbd)*Generator Engine (Stbd) (CAT 3406B)*Solenoid, Fuel Shut Off, (Stbd Only)"/>
    <n v="0"/>
    <s v="8C-6099"/>
    <s v="Caterpillar"/>
    <n v="2"/>
  </r>
  <r>
    <s v="0211"/>
    <x v="19"/>
    <n v="45000022160"/>
    <s v="Pump, Dredge*Dredge Pump Gearbox*Lube System*OIL PUMP AND MOTOR ASSEMBLY*Pump, Rotary Vane, 1-1/2&quot; NPT"/>
    <x v="63"/>
    <s v="Y"/>
    <n v="1"/>
    <s v="Pump, Rotary Vane, 1-1/2&quot; NPT"/>
    <s v="Pump, Dredge*Dredge Pump Gearbox*Lube System*OIL PUMP AND MOTOR ASSEMBLY*Pump, Rotary Vane, 1-1/2&quot; NPT"/>
    <n v="0"/>
    <s v="5C1F"/>
    <s v="TUTHILL"/>
    <n v="1"/>
  </r>
  <r>
    <s v="0211"/>
    <x v="19"/>
    <n v="45000022192"/>
    <s v="Pump, Dredge*Dredge Pump Gearbox*Lube System*OIL PUMP AND MOTOR ASSEMBLY*Bracket, Pump"/>
    <x v="63"/>
    <s v="Y"/>
    <n v="1"/>
    <s v="Bracket, Pump"/>
    <s v="Pump, Dredge*Dredge Pump Gearbox*Lube System*OIL PUMP AND MOTOR ASSEMBLY*Bracket, Pump"/>
    <n v="0"/>
    <s v="B-14343"/>
    <s v="HORSBURGH &amp; SCOTT"/>
    <n v="1"/>
  </r>
  <r>
    <s v="0211"/>
    <x v="19"/>
    <n v="45000022193"/>
    <s v="Pump, Dredge*Dredge Pump Gearbox*Lube System*OIL PUMP AND MOTOR ASSEMBLY*Adapter, Pump Bracket"/>
    <x v="63"/>
    <s v="Y"/>
    <n v="1"/>
    <s v="Adapter, Pump Bracket"/>
    <s v="Pump, Dredge*Dredge Pump Gearbox*Lube System*OIL PUMP AND MOTOR ASSEMBLY*Adapter, Pump Bracket"/>
    <n v="0"/>
    <s v="B-14344"/>
    <s v="HORSBURGH &amp; SCOTT"/>
    <n v="1"/>
  </r>
  <r>
    <s v="0211"/>
    <x v="19"/>
    <n v="45000022194"/>
    <s v="Pump, Dredge*Dredge Pump Gearbox*Lube System*OIL PUMP AND MOTOR ASSEMBLY*Coupling, L-110"/>
    <x v="63"/>
    <s v="Y"/>
    <n v="1"/>
    <s v="Coupling, L-110"/>
    <s v="Pump, Dredge*Dredge Pump Gearbox*Lube System*OIL PUMP AND MOTOR ASSEMBLY*Coupling, L-110"/>
    <n v="0"/>
    <s v="L-110"/>
    <s v="Lovejoy"/>
    <n v="1"/>
  </r>
  <r>
    <s v="0211"/>
    <x v="19"/>
    <n v="45000022196"/>
    <s v="Pump, Dredge*Dredge Pump Gearbox*Lube System*Valve, Relief"/>
    <x v="63"/>
    <s v="Y"/>
    <n v="1"/>
    <s v="Valve, Relief"/>
    <s v="Pump, Dredge*Dredge Pump Gearbox*Lube System*Valve, Relief"/>
    <n v="0"/>
    <s v="A-4029-21"/>
    <s v="HORSBURGH &amp; SCOTT"/>
    <n v="1"/>
  </r>
  <r>
    <s v="0211"/>
    <x v="19"/>
    <n v="45000022197"/>
    <s v="Pump, Dredge*Dredge Pump Gearbox*Lube System*Gauge, Pressure, 0-100 PSI"/>
    <x v="63"/>
    <s v="Y"/>
    <n v="1"/>
    <s v="Gauge, Pressure, 0-100 PSI"/>
    <s v="Pump, Dredge*Dredge Pump Gearbox*Lube System*Gauge, Pressure, 0-100 PSI"/>
    <n v="0"/>
    <m/>
    <m/>
    <n v="1"/>
  </r>
  <r>
    <s v="0211"/>
    <x v="19"/>
    <n v="45000022199"/>
    <s v="Pump, Dredge*Dredge Pump Gearbox*Lube System*Indicator, Flow"/>
    <x v="63"/>
    <s v="Y"/>
    <n v="1"/>
    <s v="Indicator, Flow"/>
    <s v="Pump, Dredge*Dredge Pump Gearbox*Lube System*Indicator, Flow"/>
    <n v="0"/>
    <s v="050GM-12-1500S/.9-1 NR-19D"/>
    <s v="UNIVERSAL"/>
    <n v="1"/>
  </r>
  <r>
    <s v="0211"/>
    <x v="19"/>
    <n v="45000022200"/>
    <s v="Pump, Dredge*Dredge Pump Gearbox*Heat Exchanger*Relief Valve, Heat Exchanger"/>
    <x v="63"/>
    <s v="Y"/>
    <n v="1"/>
    <s v="Relief Valve, Heat Exchanger"/>
    <s v="Pump, Dredge*Dredge Pump Gearbox*Heat Exchanger*Relief Valve, Heat Exchanger"/>
    <n v="0"/>
    <s v="420C-1-25"/>
    <s v="KEPNER"/>
    <n v="1"/>
  </r>
  <r>
    <s v="0211"/>
    <x v="19"/>
    <n v="45000027304"/>
    <s v="Generators*Main Genset (Stbd)*Generator Engine (Stbd) (CAT 3406B)*Water Pump*Gasket"/>
    <x v="4"/>
    <s v="Y"/>
    <n v="1"/>
    <s v="Gasket"/>
    <s v="Generators*Main Genset (Stbd)*Generator Engine (Stbd) (CAT 3406B)*Water Pump*Gasket"/>
    <n v="0"/>
    <s v="7C-0307"/>
    <s v="Caterpillar"/>
    <n v="2"/>
  </r>
  <r>
    <s v="0211"/>
    <x v="19"/>
    <n v="45000027305"/>
    <s v="Generators*Main Genset (Stbd)*Generator Engine (Stbd) (CAT 3406B)*Water Pump*Gasket"/>
    <x v="4"/>
    <s v="Y"/>
    <n v="1"/>
    <s v="Gasket"/>
    <s v="Generators*Main Genset (Stbd)*Generator Engine (Stbd) (CAT 3406B)*Water Pump*Gasket"/>
    <n v="0"/>
    <s v="4N-0641"/>
    <s v="Caterpillar"/>
    <n v="2"/>
  </r>
  <r>
    <s v="0211"/>
    <x v="19"/>
    <n v="45000027515"/>
    <s v="Pump, Dredge*Dredge Pump Engine (EMD 645)*Engine Accessories*Soak Back Filter Housing Kit"/>
    <x v="63"/>
    <s v="Y"/>
    <n v="1"/>
    <s v="Soak Back Filter Housing Kit"/>
    <s v="Pump, Dredge*Dredge Pump Engine (EMD 645)*Engine Accessories*Soak Back Filter Housing Kit"/>
    <n v="0"/>
    <s v="40058633"/>
    <s v="EMD"/>
    <n v="1"/>
  </r>
  <r>
    <s v="0211"/>
    <x v="19"/>
    <n v="45000028527"/>
    <s v="Compressed Air*Air Compressor Set (#1)*Motor*Motor, 15 HP"/>
    <x v="79"/>
    <s v="Y"/>
    <n v="1"/>
    <s v="Motor, 15 HP"/>
    <s v="Compressed Air*Air Compressor Set (#1)*Motor*Motor, 15 HP"/>
    <n v="0"/>
    <s v="ECP2333T"/>
    <s v="QUINCY"/>
    <n v="2"/>
  </r>
  <r>
    <s v="0211"/>
    <x v="19"/>
    <n v="45000028529"/>
    <s v="Compressed Air*Air Compressor Set (#1)*Compressor (#1)*Air Tank/ Receiver (120 Gallon)*Air Gauge (0-200 PSI)"/>
    <x v="79"/>
    <s v="Y"/>
    <n v="1"/>
    <s v="Air Gauge (0-200 PSI)"/>
    <s v="Compressed Air*Air Compressor Set (#1)*Compressor (#1)*Air Tank/ Receiver (120 Gallon)*Air Gauge (0-200 PSI)"/>
    <n v="0"/>
    <s v="3226"/>
    <s v="QUINCY"/>
    <n v="2"/>
  </r>
  <r>
    <s v="0211"/>
    <x v="19"/>
    <n v="45000028530"/>
    <s v="Compressed Air*Air Compressor Set (#1)*Compressor (#1)*Air Tank/ Receiver (120 Gallon)*Valve, Safety Relief"/>
    <x v="79"/>
    <s v="Y"/>
    <n v="1"/>
    <s v="Valve, Safety Relief"/>
    <s v="Compressed Air*Air Compressor Set (#1)*Compressor (#1)*Air Tank/ Receiver (120 Gallon)*Valve, Safety Relief"/>
    <n v="0"/>
    <s v="3922-200"/>
    <s v="QUINCY"/>
    <n v="2"/>
  </r>
  <r>
    <s v="0211"/>
    <x v="19"/>
    <n v="45000029112"/>
    <s v="Gland Seal*Gland Seal Pump (#1)*Gland Seal Pump Set (#1), Complete*Sleeve, Shaft"/>
    <x v="67"/>
    <s v="Y"/>
    <n v="1"/>
    <s v="Sleeve, Shaft"/>
    <s v="Gland Seal*Gland Seal Pump (#1)*Gland Seal Pump Set (#1), Complete*Sleeve, Shaft"/>
    <n v="0"/>
    <s v="92593-6956"/>
    <s v="Goulds"/>
    <n v="2"/>
  </r>
  <r>
    <s v="0211"/>
    <x v="19"/>
    <n v="45000029148"/>
    <s v="Pump, Dredge*Dredge Pump Engine (EMD 645)*Fuel Injectors (IN6)*Fuel Injector (1042 EB)"/>
    <x v="63"/>
    <s v="Y"/>
    <n v="10"/>
    <s v="Fuel Injector (1042 EB)"/>
    <s v="Pump, Dredge*Dredge Pump Engine (EMD 645)*Fuel Injectors (IN6)*Fuel Injector (1042 EB)"/>
    <n v="0"/>
    <s v="40161957-MP"/>
    <s v="EMD (MSI)"/>
    <n v="1"/>
  </r>
  <r>
    <s v="0211"/>
    <x v="19"/>
    <n v="45000031810"/>
    <s v="Electrical*Automation*PLC (Allen Bradley)*SLC 1746 - IN16I Analog Input Module"/>
    <x v="61"/>
    <s v="Y"/>
    <n v="1"/>
    <s v="SLC 1746 - IN16I Analog Input Module"/>
    <s v="Electrical*Automation*PLC (Allen Bradley)*SLC 1746 - IN16I Analog Input Module"/>
    <n v="1"/>
    <s v="1746-IN16"/>
    <s v="ALLEN-BRADLEY"/>
    <n v="1"/>
  </r>
  <r>
    <s v="0211"/>
    <x v="19"/>
    <n v="45000031812"/>
    <s v="Electrical*Automation*PLC (Allen Bradley)*SLC 1746-IB16, 16 Pnt Dgtl Input Mod"/>
    <x v="61"/>
    <s v="Y"/>
    <n v="1"/>
    <s v="SLC 1746-IB16, 16 Pnt Dgtl Input Mod"/>
    <s v="Electrical*Automation*PLC (Allen Bradley)*SLC 1746-IB16, 16 Pnt Dgtl Input Mod"/>
    <n v="1"/>
    <s v="1746-IB16"/>
    <s v="ALLEN-BRADLEY"/>
    <n v="1"/>
  </r>
  <r>
    <s v="0211"/>
    <x v="19"/>
    <n v="45000031847"/>
    <s v="Pump, Dredge*Dredge Pump*Stuffing Box (D/P)*Stud, 1&quot; X 6&quot;, Stainless Steel"/>
    <x v="63"/>
    <s v="Y"/>
    <n v="2"/>
    <s v="Stud, 1&quot; X 6&quot;, Stainless Steel"/>
    <s v="Pump, Dredge*Dredge Pump*Stuffing Box (D/P)*Stud, 1&quot; X 6&quot;, Stainless Steel"/>
    <n v="0"/>
    <s v="9760P-26"/>
    <s v="GIW"/>
    <n v="1"/>
  </r>
  <r>
    <s v="0211"/>
    <x v="19"/>
    <n v="45000031913"/>
    <s v="Electrical*Automation*PLC (Allen Bradley)*SLC 1746 - P2 - PS"/>
    <x v="61"/>
    <s v="Y"/>
    <n v="1"/>
    <s v="SLC 1746 - P2 - PS"/>
    <s v="Electrical*Automation*PLC (Allen Bradley)*SLC 1746 - P2 - PS"/>
    <n v="0"/>
    <s v="1746-P2"/>
    <s v="Allen-Bradley"/>
    <n v="1"/>
  </r>
  <r>
    <s v="0211"/>
    <x v="19"/>
    <n v="45000032316"/>
    <s v="Pump, Dredge*Dredge Pump Engine (EMD 645)*Starting System*Valve, Solenoid, Air Start"/>
    <x v="63"/>
    <s v="Y"/>
    <n v="1"/>
    <s v="Valve, Solenoid, Air Start"/>
    <s v="Pump, Dredge*Dredge Pump Engine (EMD 645)*Starting System*Valve, Solenoid, Air Start"/>
    <n v="0"/>
    <s v="9513135"/>
    <s v="EMD (MSI)"/>
    <n v="1"/>
  </r>
  <r>
    <s v="0211"/>
    <x v="19"/>
    <n v="49400000391"/>
    <s v="Piping (Dredge)*Victaulic Coupling, (36&quot;)*Bolt, Victaulic Coupling 1-1/2&quot; X 5-3/4&quot;"/>
    <x v="80"/>
    <s v="Y"/>
    <n v="2"/>
    <s v="Bolt, Victaulic Coupling 1-1/2&quot; X 5-3/4&quot;"/>
    <s v="Piping (Dredge)*Victaulic Coupling, (36&quot;)*Bolt, Victaulic Coupling 1-1/2&quot; X 5-3/4&quot;"/>
    <n v="0"/>
    <m/>
    <m/>
    <n v="1"/>
  </r>
  <r>
    <s v="0211"/>
    <x v="19"/>
    <n v="54000000014"/>
    <s v="Pump, Dredge*Dredge Pump*Hardware &amp; Gaskets*O-Ring, Hub to Shell"/>
    <x v="63"/>
    <s v="Y"/>
    <n v="1"/>
    <s v="O-Ring, Hub to Shell"/>
    <s v="Pump, Dredge*Dredge Pump*Hardware &amp; Gaskets*O-Ring, Hub to Shell"/>
    <n v="0"/>
    <s v="7717P-42"/>
    <s v="GIW"/>
    <n v="1"/>
  </r>
  <r>
    <s v="0211"/>
    <x v="19"/>
    <n v="54000001000"/>
    <s v="Pump, Dredge*Dredge Pump Gearbox*Lube System*OIL PUMP AND MOTOR ASSEMBLY*Seal, Oil"/>
    <x v="63"/>
    <s v="Y"/>
    <n v="1"/>
    <s v="Seal, Oil"/>
    <s v="Pump, Dredge*Dredge Pump Gearbox*Lube System*OIL PUMP AND MOTOR ASSEMBLY*Seal, Oil"/>
    <n v="0"/>
    <s v="C514 TC 24 35 7 4"/>
    <s v="TUTHILL"/>
    <n v="1"/>
  </r>
  <r>
    <s v="0211"/>
    <x v="19"/>
    <n v="60400000230"/>
    <s v="Compressed Air*Air Compressor Set (#1)*Compressor (#1)*Belt, Drive"/>
    <x v="79"/>
    <s v="Y"/>
    <n v="1"/>
    <s v="Belt, Drive"/>
    <s v="Compressed Air*Air Compressor Set (#1)*Compressor (#1)*Belt, Drive"/>
    <n v="6"/>
    <s v="110258B083"/>
    <s v="QUINCY"/>
    <n v="2"/>
  </r>
  <r>
    <s v="0211"/>
    <x v="19"/>
    <n v="60400000231"/>
    <s v="Compressed Air*Air Compressor Set (#1)*Compressor (#1)*Valve, Safety Relief"/>
    <x v="79"/>
    <s v="Y"/>
    <n v="1"/>
    <s v="Valve, Safety Relief"/>
    <s v="Compressed Air*Air Compressor Set (#1)*Compressor (#1)*Valve, Safety Relief"/>
    <n v="0"/>
    <s v="3022-200"/>
    <s v="QUINCY"/>
    <n v="2"/>
  </r>
  <r>
    <s v="0211"/>
    <x v="19"/>
    <n v="60400000232"/>
    <s v="Compressed Air*Air Compressor Set (#1)*Compressor (#1)*Switch, Air Pressure"/>
    <x v="79"/>
    <s v="Y"/>
    <n v="1"/>
    <s v="Switch, Air Pressure"/>
    <s v="Compressed Air*Air Compressor Set (#1)*Compressor (#1)*Switch, Air Pressure"/>
    <n v="0"/>
    <s v="2298-175"/>
    <s v="QUINCY"/>
    <n v="2"/>
  </r>
  <r>
    <s v="0211"/>
    <x v="19"/>
    <n v="60400000233"/>
    <s v="Compressed Air*Air Compressor Set (#1)*Compressor (#1)*Repair Kit, Oil Pump"/>
    <x v="79"/>
    <s v="Y"/>
    <n v="1"/>
    <s v="Repair Kit, Oil Pump"/>
    <s v="Compressed Air*Air Compressor Set (#1)*Compressor (#1)*Repair Kit, Oil Pump"/>
    <n v="0"/>
    <s v="160079"/>
    <s v="QUINCY"/>
    <n v="2"/>
  </r>
  <r>
    <s v="0211"/>
    <x v="19"/>
    <n v="60400000234"/>
    <s v="Compressed Air*Air Compressor Set (#1)*Compressor (#1)*Repair Kit, Basic Compressor"/>
    <x v="79"/>
    <s v="Y"/>
    <n v="1"/>
    <s v="Repair Kit, Basic Compressor"/>
    <s v="Compressed Air*Air Compressor Set (#1)*Compressor (#1)*Repair Kit, Basic Compressor"/>
    <n v="2"/>
    <s v="110823-350"/>
    <s v="QUINCY"/>
    <n v="2"/>
  </r>
  <r>
    <s v="0211"/>
    <x v="19"/>
    <n v="60400006204"/>
    <s v="Pump, Dredge*Dredge Pump Engine (EMD 645)*Power Packs (PP2)*Fork Rod Pack (1042-UL)"/>
    <x v="63"/>
    <s v="Y"/>
    <n v="1"/>
    <s v="Fork Rod Pack (1042-UL)"/>
    <s v="Pump, Dredge*Dredge Pump Engine (EMD 645)*Power Packs (PP2)*Fork Rod Pack (1042-UL)"/>
    <n v="0"/>
    <s v="40173247"/>
    <s v="EMD (MSI)"/>
    <n v="1"/>
  </r>
  <r>
    <s v="0211"/>
    <x v="19"/>
    <n v="60400006205"/>
    <s v="Pump, Dredge*Dredge Pump Engine (EMD 645)*Power Packs (PP2)*Blade Rod Pack (1042-UL)"/>
    <x v="63"/>
    <s v="Y"/>
    <n v="1"/>
    <s v="Blade Rod Pack (1042-UL)"/>
    <s v="Pump, Dredge*Dredge Pump Engine (EMD 645)*Power Packs (PP2)*Blade Rod Pack (1042-UL)"/>
    <n v="0"/>
    <s v="40173248"/>
    <s v="EMD (MSI)"/>
    <n v="1"/>
  </r>
  <r>
    <s v="0211"/>
    <x v="19"/>
    <n v="62400001589"/>
    <s v="Electrical*Automation*Sensors*Sensor/ Potentiometer, Rack Position"/>
    <x v="61"/>
    <s v="Y"/>
    <n v="1"/>
    <s v="Sensor/ Potentiometer, Rack Position"/>
    <s v="Electrical*Automation*Sensors*Sensor/ Potentiometer, Rack Position"/>
    <n v="0"/>
    <s v="LWX075-002-1"/>
    <s v="NOVOTECKNIC"/>
    <n v="1"/>
  </r>
  <r>
    <s v="0211"/>
    <x v="19"/>
    <n v="62400002256"/>
    <s v="Compressed Air*Air Compressor Set (#1)*Compressor (#1)*Compressor (Quincy D350HP)*Valve, Pilot"/>
    <x v="79"/>
    <s v="Y"/>
    <n v="1"/>
    <s v="Valve, Pilot"/>
    <s v="Compressed Air*Air Compressor Set (#1)*Compressor (#1)*Compressor (Quincy D350HP)*Valve, Pilot"/>
    <n v="0"/>
    <s v="110198-999"/>
    <s v="QUINCY"/>
    <n v="2"/>
  </r>
  <r>
    <s v="0211"/>
    <x v="19"/>
    <n v="62400002257"/>
    <s v="Compressed Air*Air Compressor Set (#1)*Compressor (#1)*Compressor (Quincy D350HP)*Valve, Pilot"/>
    <x v="79"/>
    <s v="Y"/>
    <n v="1"/>
    <s v="Valve, Pilot"/>
    <s v="Compressed Air*Air Compressor Set (#1)*Compressor (#1)*Compressor (Quincy D350HP)*Valve, Pilot"/>
    <n v="0"/>
    <s v="110198-120"/>
    <s v="QUINCY"/>
    <n v="2"/>
  </r>
  <r>
    <s v="0211"/>
    <x v="19"/>
    <n v="62400002259"/>
    <s v="Compressed Air*Air Compressor Set (#1)*Compressor (#1)*Compressor (Quincy D350HP)*Gasket, Valve"/>
    <x v="79"/>
    <s v="Y"/>
    <n v="1"/>
    <s v="Gasket, Valve"/>
    <s v="Compressed Air*Air Compressor Set (#1)*Compressor (#1)*Compressor (Quincy D350HP)*Gasket, Valve"/>
    <n v="0"/>
    <s v="1556"/>
    <s v="QUINCY"/>
    <n v="2"/>
  </r>
  <r>
    <s v="0211"/>
    <x v="19"/>
    <n v="62400002261"/>
    <s v="Compressed Air*Air Compressor Set (#1)*Compressor (#1)*Compressor (Quincy D350HP)*Suction Valve Assembly"/>
    <x v="79"/>
    <s v="Y"/>
    <n v="1"/>
    <s v="Suction Valve Assembly"/>
    <s v="Compressed Air*Air Compressor Set (#1)*Compressor (#1)*Compressor (Quincy D350HP)*Suction Valve Assembly"/>
    <n v="0"/>
    <s v="6671X1U"/>
    <s v="QUINCY"/>
    <n v="2"/>
  </r>
  <r>
    <s v="0211"/>
    <x v="19"/>
    <n v="62400002265"/>
    <s v="Compressed Air*Air Compressor Set (#1)*Compressor (#1)*Compressor (Quincy D350HP)*Discharge Valve - Assembly"/>
    <x v="79"/>
    <s v="Y"/>
    <n v="1"/>
    <s v="Discharge Valve - Assembly"/>
    <s v="Compressed Air*Air Compressor Set (#1)*Compressor (#1)*Compressor (Quincy D350HP)*Discharge Valve - Assembly"/>
    <n v="0"/>
    <s v="6670X1"/>
    <s v="QUINCY"/>
    <n v="2"/>
  </r>
  <r>
    <s v="0211"/>
    <x v="19"/>
    <n v="62400002267"/>
    <s v="Compressed Air*Air Compressor Set (#1)*Compressor (#1)*Compressor (Quincy D350HP)*Unloader, Assembly"/>
    <x v="79"/>
    <s v="Y"/>
    <n v="1"/>
    <s v="Unloader, Assembly"/>
    <s v="Compressed Air*Air Compressor Set (#1)*Compressor (#1)*Compressor (Quincy D350HP)*Unloader, Assembly"/>
    <n v="0"/>
    <s v="40192"/>
    <s v="QUINCY"/>
    <n v="2"/>
  </r>
  <r>
    <s v="0211"/>
    <x v="19"/>
    <n v="62400002268"/>
    <s v="Compressed Air*Air Compressor Set (#1)*Compressor (#1)*Compressor (Quincy D350HP)*Gasket, Valve"/>
    <x v="79"/>
    <s v="Y"/>
    <n v="1"/>
    <s v="Gasket, Valve"/>
    <s v="Compressed Air*Air Compressor Set (#1)*Compressor (#1)*Compressor (Quincy D350HP)*Gasket, Valve"/>
    <n v="0"/>
    <s v="2024"/>
    <s v="QUINCY"/>
    <n v="2"/>
  </r>
  <r>
    <s v="0211"/>
    <x v="19"/>
    <n v="62400002269"/>
    <s v="Compressed Air*Air Compressor Set (#1)*Compressor (#1)*Compressor (Quincy D350HP)*Unloader Assembly"/>
    <x v="79"/>
    <s v="Y"/>
    <n v="1"/>
    <s v="Unloader Assembly"/>
    <s v="Compressed Air*Air Compressor Set (#1)*Compressor (#1)*Compressor (Quincy D350HP)*Unloader Assembly"/>
    <n v="0"/>
    <s v="7483X"/>
    <s v="QUINCY"/>
    <n v="2"/>
  </r>
  <r>
    <s v="0211"/>
    <x v="19"/>
    <n v="62400002270"/>
    <s v="Compressed Air*Air Compressor Set (#1)*Compressor (#1)*Compressor (Quincy D350HP)*Gasket, Valve Plate"/>
    <x v="79"/>
    <s v="Y"/>
    <n v="1"/>
    <s v="Gasket, Valve Plate"/>
    <s v="Compressed Air*Air Compressor Set (#1)*Compressor (#1)*Compressor (Quincy D350HP)*Gasket, Valve Plate"/>
    <n v="0"/>
    <s v="2025"/>
    <s v="QUINCY"/>
    <n v="2"/>
  </r>
  <r>
    <s v="0211"/>
    <x v="19"/>
    <n v="62400002274"/>
    <s v="Compressed Air*Air Compressor Set (#1)*Compressor (#1)*Compressor (Quincy D350HP)*Gasket, Cover Plate"/>
    <x v="79"/>
    <s v="Y"/>
    <n v="1"/>
    <s v="Gasket, Cover Plate"/>
    <s v="Compressed Air*Air Compressor Set (#1)*Compressor (#1)*Compressor (Quincy D350HP)*Gasket, Cover Plate"/>
    <n v="0"/>
    <s v="7398"/>
    <s v="QUINCY"/>
    <n v="2"/>
  </r>
  <r>
    <s v="0211"/>
    <x v="19"/>
    <n v="62400002284"/>
    <s v="Compressed Air*Air Compressor Set (#1)*Compressor (#1)*Compressor (Quincy D350HP)*Gasket - Cylinder Head"/>
    <x v="79"/>
    <s v="Y"/>
    <n v="1"/>
    <s v="Gasket - Cylinder Head"/>
    <s v="Compressed Air*Air Compressor Set (#1)*Compressor (#1)*Compressor (Quincy D350HP)*Gasket - Cylinder Head"/>
    <n v="0"/>
    <s v="7403"/>
    <s v="QUINCY"/>
    <n v="2"/>
  </r>
  <r>
    <s v="0211"/>
    <x v="19"/>
    <n v="62400002285"/>
    <s v="Compressed Air*Air Compressor Set (#1)*Compressor (#1)*Compressor (Quincy D350HP)*Intercooler - Gasket"/>
    <x v="79"/>
    <s v="Y"/>
    <n v="1"/>
    <s v="Intercooler - Gasket"/>
    <s v="Compressed Air*Air Compressor Set (#1)*Compressor (#1)*Compressor (Quincy D350HP)*Intercooler - Gasket"/>
    <n v="0"/>
    <s v="5860"/>
    <s v="QUINCY"/>
    <n v="2"/>
  </r>
  <r>
    <s v="0211"/>
    <x v="19"/>
    <n v="62400003074"/>
    <s v="Compressed Air*Air Compressor Set (#1)*Compressor (#1)*Compressor (Quincy D350HP)*Gauge, Oil Pressure"/>
    <x v="79"/>
    <s v="Y"/>
    <n v="1"/>
    <s v="Gauge, Oil Pressure"/>
    <s v="Compressed Air*Air Compressor Set (#1)*Compressor (#1)*Compressor (Quincy D350HP)*Gauge, Oil Pressure"/>
    <n v="0"/>
    <s v="110822"/>
    <s v="QUINCY"/>
    <n v="2"/>
  </r>
  <r>
    <s v="0211"/>
    <x v="19"/>
    <n v="62400004442"/>
    <s v="Piping (Dredge)*Discharge expansion joint*Expansion Joint/ Hose, Discharge"/>
    <x v="80"/>
    <s v="Y"/>
    <n v="1"/>
    <s v="Expansion Joint/ Hose, Discharge"/>
    <s v="Piping (Dredge)*Discharge expansion joint*Expansion Joint/ Hose, Discharge"/>
    <n v="1"/>
    <s v="147-09-29038"/>
    <s v="GLDD DWG"/>
    <n v="1"/>
  </r>
  <r>
    <s v="0211"/>
    <x v="19"/>
    <n v="62400004463"/>
    <s v="Pump, Dredge*Dredge Pump Engine (EMD 645)*UNDER REVIEW*mrg-?Bridge, Exhaust Vlv, Utex"/>
    <x v="63"/>
    <s v="Y"/>
    <n v="1"/>
    <s v="mrg-?Bridge, Exhaust Vlv, Utex"/>
    <s v="Pump, Dredge*Dredge Pump Engine (EMD 645)*UNDER REVIEW*mrg-?Bridge, Exhaust Vlv, Utex"/>
    <n v="0"/>
    <s v="2-40145929 UX"/>
    <s v="EMD"/>
    <n v="1"/>
  </r>
  <r>
    <s v="0211"/>
    <x v="19"/>
    <n v="62400004492"/>
    <s v="Pump, Dredge*Dredge Pump*Hardware &amp; Gaskets*O-Ring, Throat Liner"/>
    <x v="63"/>
    <s v="Y"/>
    <n v="1"/>
    <s v="O-Ring, Throat Liner"/>
    <s v="Pump, Dredge*Dredge Pump*Hardware &amp; Gaskets*O-Ring, Throat Liner"/>
    <n v="0"/>
    <s v="7720P-08"/>
    <s v="MPMW Dwg "/>
    <n v="1"/>
  </r>
  <r>
    <s v="0211"/>
    <x v="19"/>
    <n v="62400007453"/>
    <s v="Spud System*Jacking System*Jacking Gearbox*Valve, Hydraulic Pressure Relief"/>
    <x v="73"/>
    <s v="Y"/>
    <n v="2"/>
    <s v="Valve, Hydraulic Pressure Relief"/>
    <s v="Spud System*Jacking System*Jacking Gearbox*Valve, Hydraulic Pressure Relief"/>
    <n v="6"/>
    <s v="DB30"/>
    <s v="HYDRO-NUMATICS"/>
    <n v="1"/>
  </r>
  <r>
    <s v="0211"/>
    <x v="19"/>
    <n v="63600000286"/>
    <s v="Pump, Dredge*Dredge Pump Engine (EMD 645)*Water Pumps (WP1-WP2)*Water Pump, Right Bank (L20-645 Turbo) U"/>
    <x v="63"/>
    <s v="Y"/>
    <n v="1"/>
    <s v="Water Pump, Right Bank (L20-645 Turbo) U"/>
    <s v="Pump, Dredge*Dredge Pump Engine (EMD 645)*Water Pumps (WP1-WP2)*Water Pump, Right Bank (L20-645 Turbo) U"/>
    <n v="0"/>
    <s v="40179631UX"/>
    <s v="EMD"/>
    <n v="1"/>
  </r>
  <r>
    <s v="0211"/>
    <x v="19"/>
    <n v="63600000287"/>
    <s v="Pump, Dredge*Dredge Pump Engine (EMD 645)*Water Pumps (WP1-WP2)*Water Pump, Left Bank (L20-645 Turbo)U"/>
    <x v="63"/>
    <s v="Y"/>
    <n v="1"/>
    <s v="Water Pump, Left Bank (L20-645 Turbo)U"/>
    <s v="Pump, Dredge*Dredge Pump Engine (EMD 645)*Water Pumps (WP1-WP2)*Water Pump, Left Bank (L20-645 Turbo)U"/>
    <n v="0"/>
    <s v="40179630UX"/>
    <s v="EMD"/>
    <n v="1"/>
  </r>
  <r>
    <s v="0211"/>
    <x v="19"/>
    <n v="66200002058"/>
    <s v="Pump, Dredge*Dredge Pump Engine (EMD 645)*Starting System*Turbine Starter"/>
    <x v="63"/>
    <s v="Y"/>
    <n v="1"/>
    <s v="Turbine Starter"/>
    <s v="Pump, Dredge*Dredge Pump Engine (EMD 645)*Starting System*Turbine Starter"/>
    <n v="0"/>
    <s v="TR60PR1G-941"/>
    <s v="INGERSOLL-RAND"/>
    <n v="1"/>
  </r>
  <r>
    <s v="0211"/>
    <x v="19"/>
    <n v="66200005026"/>
    <s v="Compressed Air*Air Compressor Set (#1)*Compressor (#1)*V-Belt"/>
    <x v="79"/>
    <s v="Y"/>
    <n v="1"/>
    <s v="V-Belt"/>
    <s v="Compressed Air*Air Compressor Set (#1)*Compressor (#1)*V-Belt"/>
    <n v="0"/>
    <s v="5L860"/>
    <s v="NAPA"/>
    <n v="2"/>
  </r>
  <r>
    <s v="0211"/>
    <x v="19"/>
    <n v="66200007603"/>
    <s v="Generators*Main Genset (Stbd)*Generator Engine (Stbd) (CAT 3406B)*Sensor, Oil Pressure"/>
    <x v="4"/>
    <s v="Y"/>
    <n v="1"/>
    <s v="Sensor, Oil Pressure"/>
    <s v="Generators*Main Genset (Stbd)*Generator Engine (Stbd) (CAT 3406B)*Sensor, Oil Pressure"/>
    <n v="0"/>
    <s v="224-4536"/>
    <s v="Caterpillar"/>
    <n v="2"/>
  </r>
  <r>
    <s v="0211"/>
    <x v="19"/>
    <n v="66200009104"/>
    <s v="Gland Seal*Gland Seal Pump (#1)*Valve, Swing Check, 2&quot;"/>
    <x v="67"/>
    <s v="Y"/>
    <n v="1"/>
    <s v="Valve, Swing Check, 2&quot;"/>
    <s v="Gland Seal*Gland Seal Pump (#1)*Valve, Swing Check, 2&quot;"/>
    <n v="0"/>
    <s v="072507.400"/>
    <s v="W &amp; O Supply"/>
    <n v="2"/>
  </r>
  <r>
    <s v="0211"/>
    <x v="19"/>
    <n v="66200010977"/>
    <s v="Compressed Air*Air Compressor Set (#1)*Compressor (#1)*Pump, Oil"/>
    <x v="79"/>
    <s v="Y"/>
    <n v="1"/>
    <s v="Pump, Oil"/>
    <s v="Compressed Air*Air Compressor Set (#1)*Compressor (#1)*Pump, Oil"/>
    <n v="0"/>
    <s v="160003"/>
    <s v="QUINCY"/>
    <n v="2"/>
  </r>
  <r>
    <s v="0211"/>
    <x v="19"/>
    <n v="66200010992"/>
    <s v="Compressed Air*Air Compressor Set (#1)*Compressor (#1)*Gauge, Oil Pressure"/>
    <x v="79"/>
    <s v="Y"/>
    <n v="1"/>
    <s v="Gauge, Oil Pressure"/>
    <s v="Compressed Air*Air Compressor Set (#1)*Compressor (#1)*Gauge, Oil Pressure"/>
    <n v="0"/>
    <s v="110822"/>
    <s v="QUINCY"/>
    <n v="2"/>
  </r>
  <r>
    <s v="0212"/>
    <x v="20"/>
    <n v="14263"/>
    <s v="Pump, Dredge (Port)*Dredge Pump Gearbox (LH)*Clutch (Port) (32VC1000)*Valve, Air Control, 120 VAC"/>
    <x v="82"/>
    <s v="Y"/>
    <n v="2"/>
    <s v="Valve, Air Control, 120 VAC"/>
    <s v="Pump, Dredge (Port)*Dredge Pump Gearbox (LH)*Clutch (Port) (32VC1000)*Valve, Air Control, 120 VAC"/>
    <n v="2"/>
    <s v="8316G064-120/VAC"/>
    <s v="STEINER ELECTRIC"/>
    <n v="2"/>
  </r>
  <r>
    <s v="0212"/>
    <x v="20"/>
    <n v="18877"/>
    <s v="Production Instrumentation/Monitoring*Rosemount Transducers*Transmitter (0-100 PSIG)"/>
    <x v="75"/>
    <s v="Y"/>
    <n v="1"/>
    <s v="Transmitter (0-100 PSIG)"/>
    <s v="Production Instrumentation/Monitoring*Rosemount Transducers*Transmitter (0-100 PSIG)"/>
    <n v="0"/>
    <s v="1151GP6E22B3M3DF"/>
    <s v="ROSEMOUNT"/>
    <n v="1"/>
  </r>
  <r>
    <s v="0212"/>
    <x v="20"/>
    <n v="18879"/>
    <s v="Production Instrumentation/Monitoring*Rosemount Transducers*Transmitter (0-400 PSIG)"/>
    <x v="75"/>
    <s v="Y"/>
    <n v="1"/>
    <s v="Transmitter (0-400 PSIG)"/>
    <s v="Production Instrumentation/Monitoring*Rosemount Transducers*Transmitter (0-400 PSIG)"/>
    <n v="1"/>
    <s v="1151GP8E22B3M3DF"/>
    <s v="ROSEMOUNT"/>
    <n v="1"/>
  </r>
  <r>
    <s v="0212"/>
    <x v="20"/>
    <n v="24857"/>
    <s v="Pump, Dredge (Port)*Dredge Pump Engine Port (EMD 645)*Pre-Lube Pump*PRELUBE PUMP &quot; ASSY&quot;*Pump, Pre-Lube"/>
    <x v="82"/>
    <s v="Y"/>
    <n v="1"/>
    <s v="Pump, Pre-Lube"/>
    <s v="Pump, Dredge (Port)*Dredge Pump Engine Port (EMD 645)*Pre-Lube Pump*PRELUBE PUMP &quot; ASSY&quot;*Pump, Pre-Lube"/>
    <n v="0"/>
    <s v="GG-4195"/>
    <s v="VIKING MARINE SOUTH, INC."/>
    <n v="2"/>
  </r>
  <r>
    <s v="0212"/>
    <x v="20"/>
    <n v="30509"/>
    <s v="Electrical*Automation*PLC (Allen Bradley)*SLC 1746 - P3 - PS"/>
    <x v="61"/>
    <s v="Y"/>
    <n v="1"/>
    <s v="SLC 1746 - P3 - PS"/>
    <s v="Electrical*Automation*PLC (Allen Bradley)*SLC 1746 - P3 - PS"/>
    <m/>
    <s v="1746-P3"/>
    <s v="ENGLEWOOD ELECTRICAL SUPPLY"/>
    <n v="1"/>
  </r>
  <r>
    <s v="0212"/>
    <x v="20"/>
    <n v="30512"/>
    <s v="Electrical*Automation*PLC (Allen Bradley)*SLC 1746 - OB16, 16 Pnt Dgtl Output Mod"/>
    <x v="61"/>
    <s v="Y"/>
    <n v="1"/>
    <s v="SLC 1746 - OB16, 16 Pnt Dgtl Output Mod"/>
    <s v="Electrical*Automation*PLC (Allen Bradley)*SLC 1746 - OB16, 16 Pnt Dgtl Output Mod"/>
    <m/>
    <s v="1746-OB16"/>
    <s v="Allen-Bradley"/>
    <n v="1"/>
  </r>
  <r>
    <s v="0212"/>
    <x v="20"/>
    <n v="30794"/>
    <s v="Electrical*Automation*PLC (Allen Bradley)*SLC 1746 - OX8 Isolated Relay Output"/>
    <x v="61"/>
    <s v="Y"/>
    <n v="1"/>
    <s v="SLC 1746 - OX8 Isolated Relay Output"/>
    <s v="Electrical*Automation*PLC (Allen Bradley)*SLC 1746 - OX8 Isolated Relay Output"/>
    <n v="1"/>
    <s v="1746-OX8"/>
    <s v="Allen-Bradley"/>
    <n v="1"/>
  </r>
  <r>
    <s v="0212"/>
    <x v="20"/>
    <n v="32236"/>
    <s v="Pump, Dredge (Port)*Dredge Pump Gearbox (LH)*Clutch (Port) (32VC1000)*Clutch (Complete Assembly)"/>
    <x v="82"/>
    <s v="Y"/>
    <n v="1"/>
    <s v="Clutch (Complete Assembly)"/>
    <s v="Pump, Dredge (Port)*Dredge Pump Gearbox (LH)*Clutch (Port) (32VC1000)*Clutch (Complete Assembly)"/>
    <n v="0"/>
    <s v="988456"/>
    <s v="EATON AIRFLEX"/>
    <n v="2"/>
  </r>
  <r>
    <s v="0212"/>
    <x v="20"/>
    <n v="35149"/>
    <s v="Pump, Dredge (Port)*Dredge Pump Engine Port (EMD 645)*Governor*Pick Up, Magnetic"/>
    <x v="82"/>
    <s v="Y"/>
    <n v="2"/>
    <s v="Pick Up, Magnetic"/>
    <s v="Pump, Dredge (Port)*Dredge Pump Engine Port (EMD 645)*Governor*Pick Up, Magnetic"/>
    <n v="0"/>
    <s v="8270383"/>
    <s v="EMD"/>
    <n v="2"/>
  </r>
  <r>
    <s v="0212"/>
    <x v="20"/>
    <n v="35386"/>
    <s v="Pump, Dredge (Port)*Dredge Pump Engine Port (EMD 645)*Crankcase/Oil Pan/Block*Top Deck Cover, Non Flame Arrestor*Cover Hinge, Latch Assembly"/>
    <x v="82"/>
    <s v="Y"/>
    <n v="2"/>
    <s v="Cover Hinge, Latch Assembly"/>
    <s v="Pump, Dredge (Port)*Dredge Pump Engine Port (EMD 645)*Crankcase/Oil Pan/Block*Top Deck Cover, Non Flame Arrestor*Cover Hinge, Latch Assembly"/>
    <n v="0"/>
    <s v="8168872"/>
    <s v="ENGINE SYSTEMS INC."/>
    <n v="2"/>
  </r>
  <r>
    <s v="0212"/>
    <x v="20"/>
    <n v="35651"/>
    <s v="Pump, Dredge (Port)*Dredge Pump Engine Port (EMD 645)*Crankcase/Oil Pan/Block*Top Deck Cover, Flame Arrestor*Hinge, Latch Assembly, Valve Cover"/>
    <x v="82"/>
    <s v="Y"/>
    <n v="2"/>
    <s v="Hinge, Latch Assembly, Valve Cover"/>
    <s v="Pump, Dredge (Port)*Dredge Pump Engine Port (EMD 645)*Crankcase/Oil Pan/Block*Top Deck Cover, Flame Arrestor*Hinge, Latch Assembly, Valve Cover"/>
    <n v="0"/>
    <s v="9094557"/>
    <s v="EMD (MSI)"/>
    <n v="2"/>
  </r>
  <r>
    <s v="0212"/>
    <x v="20"/>
    <n v="44215"/>
    <s v="Electrical*Automation*Sensors*Sensor, Rack Position"/>
    <x v="61"/>
    <s v="Y"/>
    <n v="1"/>
    <s v="Sensor, Rack Position"/>
    <s v="Electrical*Automation*Sensors*Sensor, Rack Position"/>
    <n v="0"/>
    <s v="LWX150-002-1"/>
    <s v="NOVOTECKNIC"/>
    <n v="1"/>
  </r>
  <r>
    <s v="0212"/>
    <x v="20"/>
    <n v="49708"/>
    <s v="Electrical*Automation*Speed Control*Module, Speed Control"/>
    <x v="61"/>
    <s v="Y"/>
    <n v="1"/>
    <s v="Module, Speed Control"/>
    <s v="Electrical*Automation*Speed Control*Module, Speed Control"/>
    <n v="1"/>
    <s v="8273-140"/>
    <s v="Woodward"/>
    <n v="1"/>
  </r>
  <r>
    <s v="0212"/>
    <x v="20"/>
    <n v="49709"/>
    <s v="Electrical*Automation*Speed Control*Connector"/>
    <x v="61"/>
    <s v="Y"/>
    <n v="2"/>
    <s v="Connector"/>
    <s v="Electrical*Automation*Speed Control*Connector"/>
    <n v="2"/>
    <s v="MS3106F-14S-7S"/>
    <s v="Woodward"/>
    <n v="1"/>
  </r>
  <r>
    <s v="0212"/>
    <x v="20"/>
    <n v="49710"/>
    <s v="Electrical*Automation*Speed Control*Magnetic Pick Up"/>
    <x v="61"/>
    <s v="Y"/>
    <n v="2"/>
    <s v="Magnetic Pick Up"/>
    <s v="Electrical*Automation*Speed Control*Magnetic Pick Up"/>
    <n v="4"/>
    <s v="5430-933"/>
    <s v="Woodward"/>
    <n v="1"/>
  </r>
  <r>
    <s v="0212"/>
    <x v="20"/>
    <n v="56400"/>
    <s v="Mooring/Anchor Handling*Anchor Winch*Brake Band"/>
    <x v="106"/>
    <s v="Y"/>
    <n v="1"/>
    <s v="Brake Band"/>
    <s v="Mooring/Anchor Handling*Anchor Winch*Brake Band"/>
    <n v="0"/>
    <m/>
    <m/>
    <n v="1"/>
  </r>
  <r>
    <s v="0212"/>
    <x v="20"/>
    <n v="56401"/>
    <s v="Mooring/Anchor Handling*Anchor Winch*Band, Friction"/>
    <x v="106"/>
    <s v="Y"/>
    <n v="1"/>
    <s v="Band, Friction"/>
    <s v="Mooring/Anchor Handling*Anchor Winch*Band, Friction"/>
    <n v="0"/>
    <m/>
    <m/>
    <n v="1"/>
  </r>
  <r>
    <s v="0212"/>
    <x v="20"/>
    <n v="57712"/>
    <s v="Electrical*Motor Control Centers*CONTACTOR, SOFT START*Timer, Contactor"/>
    <x v="61"/>
    <s v="Y"/>
    <n v="1"/>
    <s v="Timer, Contactor"/>
    <s v="Electrical*Motor Control Centers*CONTACTOR, SOFT START*Timer, Contactor"/>
    <n v="1"/>
    <s v="CR7XTAO"/>
    <s v="GE"/>
    <n v="1"/>
  </r>
  <r>
    <s v="0212"/>
    <x v="20"/>
    <n v="7500000194"/>
    <s v="Pump, Dredge (Port)*Dredge Pump Engine Port (EMD 645)*Starting System*Valve, Air Start, Two Way*mrg-Solenoid, Used For Air Starters"/>
    <x v="82"/>
    <s v="Y"/>
    <n v="1"/>
    <s v="mrg-Solenoid, Used For Air Starters"/>
    <s v="Pump, Dredge (Port)*Dredge Pump Engine Port (EMD 645)*Starting System*Valve, Air Start, Two Way*mrg-Solenoid, Used For Air Starters"/>
    <n v="2"/>
    <s v="712-000"/>
    <s v="SALEM"/>
    <n v="2"/>
  </r>
  <r>
    <s v="0212"/>
    <x v="20"/>
    <n v="13200000164"/>
    <s v="Pump, Dredge (Port)*Dredge Pump Engine Port (EMD 645)*Lube Oil Scavenging Pump (SP2)*Lube Oil Scavenging Pump (20-645)*Coupling, Fuel Pump"/>
    <x v="82"/>
    <s v="Y"/>
    <n v="1"/>
    <s v="Coupling, Fuel Pump"/>
    <s v="Pump, Dredge (Port)*Dredge Pump Engine Port (EMD 645)*Lube Oil Scavenging Pump (SP2)*Lube Oil Scavenging Pump (20-645)*Coupling, Fuel Pump"/>
    <n v="0"/>
    <s v="8077938"/>
    <s v="EMD (MSI)"/>
    <n v="2"/>
  </r>
  <r>
    <s v="0212"/>
    <x v="20"/>
    <n v="13200002629"/>
    <s v="Pump, Dredge (Port)*Dredge Pump Gearbox (LH)*Clutch (Port) (32VC1000)*Tube, Air Connection"/>
    <x v="82"/>
    <s v="Y"/>
    <n v="2"/>
    <s v="Tube, Air Connection"/>
    <s v="Pump, Dredge (Port)*Dredge Pump Gearbox (LH)*Clutch (Port) (32VC1000)*Tube, Air Connection"/>
    <n v="4"/>
    <s v="412178-05"/>
    <s v="BRAKE SUPPLY"/>
    <n v="2"/>
  </r>
  <r>
    <s v="0212"/>
    <x v="20"/>
    <n v="14400000081"/>
    <s v="Pump, Dredge (Port)*Dredge Pump Engine Port (EMD 645)*Starting System*Valve, Air Start, Two Way"/>
    <x v="82"/>
    <s v="Y"/>
    <n v="1"/>
    <s v="Valve, Air Start, Two Way"/>
    <s v="Pump, Dredge (Port)*Dredge Pump Engine Port (EMD 645)*Starting System*Valve, Air Start, Two Way"/>
    <n v="1"/>
    <s v="8393335"/>
    <s v="EMD (MSI)"/>
    <n v="2"/>
  </r>
  <r>
    <s v="0212"/>
    <x v="20"/>
    <n v="14400000092"/>
    <s v="Pump, Dredge (Port)*Dredge Pump Engine Port (EMD 645)*Fuel Pump (FP1)*Fuel Pump"/>
    <x v="82"/>
    <s v="Y"/>
    <n v="1"/>
    <s v="Fuel Pump"/>
    <s v="Pump, Dredge (Port)*Dredge Pump Engine Port (EMD 645)*Fuel Pump (FP1)*Fuel Pump"/>
    <n v="2"/>
    <s v="8080284"/>
    <s v="EMD (MSI)"/>
    <n v="2"/>
  </r>
  <r>
    <s v="0212"/>
    <x v="20"/>
    <n v="16000000014"/>
    <s v="Compressed Air*Air Receivers*Ooler, In-Line"/>
    <x v="79"/>
    <s v="Y"/>
    <n v="1"/>
    <s v="Ooler, In-Line"/>
    <s v="Compressed Air*Air Receivers*Ooler, In-Line"/>
    <n v="0"/>
    <s v="18L54BC"/>
    <s v="Parker"/>
    <n v="1"/>
  </r>
  <r>
    <s v="0212"/>
    <x v="20"/>
    <n v="16000000015"/>
    <s v="Mooring/Anchor Handling*Anchor Winch*Control Station*Valve, Dump"/>
    <x v="106"/>
    <s v="Y"/>
    <n v="1"/>
    <s v="Valve, Dump"/>
    <s v="Mooring/Anchor Handling*Anchor Winch*Control Station*Valve, Dump"/>
    <n v="2"/>
    <s v="P52935-3"/>
    <s v="REX ROTH"/>
    <n v="1"/>
  </r>
  <r>
    <s v="0212"/>
    <x v="20"/>
    <n v="16000000016"/>
    <s v="Mooring/Anchor Handling*Anchor Winch*Control Station*Rebuild Kit"/>
    <x v="106"/>
    <s v="Y"/>
    <n v="1"/>
    <s v="Rebuild Kit"/>
    <s v="Mooring/Anchor Handling*Anchor Winch*Control Station*Rebuild Kit"/>
    <n v="2"/>
    <m/>
    <m/>
    <n v="1"/>
  </r>
  <r>
    <s v="0212"/>
    <x v="20"/>
    <n v="23500000111"/>
    <s v="Pump, Dredge (Port)*Dredge Pump Engine Port (EMD 645)*Governor*Actuator, PG"/>
    <x v="82"/>
    <s v="Y"/>
    <n v="1"/>
    <s v="Actuator, PG"/>
    <s v="Pump, Dredge (Port)*Dredge Pump Engine Port (EMD 645)*Governor*Actuator, PG"/>
    <n v="0"/>
    <s v="8251-422"/>
    <s v="Woodward"/>
    <n v="2"/>
  </r>
  <r>
    <s v="0212"/>
    <x v="20"/>
    <n v="45000003416"/>
    <s v="Compressed Air*Air Receivers*Regulator, Airline, Clutch"/>
    <x v="79"/>
    <s v="Y"/>
    <n v="1"/>
    <s v="Regulator, Airline, Clutch"/>
    <s v="Compressed Air*Air Receivers*Regulator, Airline, Clutch"/>
    <n v="0"/>
    <s v="4ZM10"/>
    <s v="Grainger"/>
    <n v="1"/>
  </r>
  <r>
    <s v="0212"/>
    <x v="20"/>
    <n v="45000005746"/>
    <s v="Safety Firefighting*Fire Pump (#1)*Fire Pump, Goulds 3196 MTX"/>
    <x v="84"/>
    <s v="Y"/>
    <n v="1"/>
    <s v="Fire Pump, Goulds 3196 MTX"/>
    <s v="Safety Firefighting*Fire Pump (#1)*Fire Pump, Goulds 3196 MTX"/>
    <n v="1"/>
    <s v="3196 MTX"/>
    <s v="GOULD'S PUMPS"/>
    <n v="1"/>
  </r>
  <r>
    <s v="0212"/>
    <x v="20"/>
    <n v="45000005748"/>
    <s v="Safety Firefighting*Fire Pump (#2)*Fire Pump, Goulds 3196"/>
    <x v="84"/>
    <s v="Y"/>
    <n v="1"/>
    <s v="Fire Pump, Goulds 3196"/>
    <s v="Safety Firefighting*Fire Pump (#2)*Fire Pump, Goulds 3196"/>
    <n v="0"/>
    <s v="3196 MTX"/>
    <s v="GOULDS PUMPS"/>
    <n v="1"/>
  </r>
  <r>
    <s v="0212"/>
    <x v="20"/>
    <n v="45000005749"/>
    <s v="Safety Firefighting*Fire Pump (#2)*Motor (20 HP)*Motor, 20 HP"/>
    <x v="84"/>
    <s v="Y"/>
    <n v="1"/>
    <s v="Motor, 20 HP"/>
    <s v="Safety Firefighting*Fire Pump (#2)*Motor (20 HP)*Motor, 20 HP"/>
    <n v="0"/>
    <s v="5K265BL105D1"/>
    <s v="G.E."/>
    <n v="1"/>
  </r>
  <r>
    <s v="0212"/>
    <x v="20"/>
    <n v="45000005752"/>
    <s v="Bilge/Ballast*Bilge/Ballast Pump (#2)*Pump"/>
    <x v="83"/>
    <s v="Y"/>
    <n v="1"/>
    <s v="Pump"/>
    <s v="Bilge/Ballast*Bilge/Ballast Pump (#2)*Pump"/>
    <n v="0"/>
    <s v="3196"/>
    <s v="GOULDS PUMPS"/>
    <n v="1"/>
  </r>
  <r>
    <s v="0212"/>
    <x v="20"/>
    <n v="45000005753"/>
    <s v="Bilge/Ballast*Bilge/Ballast Pump (#2)*Pump*Motor, 7.5 Hp"/>
    <x v="83"/>
    <s v="Y"/>
    <n v="1"/>
    <s v="Motor, 7.5 Hp"/>
    <s v="Bilge/Ballast*Bilge/Ballast Pump (#2)*Pump*Motor, 7.5 Hp"/>
    <n v="0"/>
    <m/>
    <m/>
    <n v="1"/>
  </r>
  <r>
    <s v="0212"/>
    <x v="20"/>
    <n v="45000005755"/>
    <s v="Fuel Oil Transfer*Fuel Surge Pump (#1)*Pump Set, Complete"/>
    <x v="81"/>
    <s v="Y"/>
    <n v="1"/>
    <s v="Pump Set, Complete"/>
    <s v="Fuel Oil Transfer*Fuel Surge Pump (#1)*Pump Set, Complete"/>
    <n v="1"/>
    <s v="429C-98"/>
    <s v="MARLOW"/>
    <n v="1"/>
  </r>
  <r>
    <s v="0212"/>
    <x v="20"/>
    <n v="45000005756"/>
    <s v="Fuel Oil Transfer*Fuel Surge Pump (#1)*Pump Set, Complete*Motor, 1 Hp"/>
    <x v="81"/>
    <s v="Y"/>
    <n v="1"/>
    <s v="Motor, 1 Hp"/>
    <s v="Fuel Oil Transfer*Fuel Surge Pump (#1)*Pump Set, Complete*Motor, 1 Hp"/>
    <n v="1"/>
    <m/>
    <m/>
    <n v="1"/>
  </r>
  <r>
    <s v="0212"/>
    <x v="20"/>
    <n v="45000005760"/>
    <s v="Fuel Oil Transfer*Fuel Transfer Pump (#1)*Motor (15 HP)*Motor, 15 HP"/>
    <x v="81"/>
    <s v="Y"/>
    <n v="1"/>
    <s v="Motor, 15 HP"/>
    <s v="Fuel Oil Transfer*Fuel Transfer Pump (#1)*Motor (15 HP)*Motor, 15 HP"/>
    <n v="0"/>
    <s v="A993AW01V330R030F"/>
    <s v="US ELECTRIC"/>
    <n v="2"/>
  </r>
  <r>
    <s v="0212"/>
    <x v="20"/>
    <n v="45000005761"/>
    <s v="Fuel Oil Transfer*Fuel Transfer Pump (#1)*Fuel Transfer Pump Set, Complete"/>
    <x v="81"/>
    <s v="Y"/>
    <n v="1"/>
    <s v="Fuel Transfer Pump Set, Complete"/>
    <s v="Fuel Oil Transfer*Fuel Transfer Pump (#1)*Fuel Transfer Pump Set, Complete"/>
    <n v="0"/>
    <s v="3796"/>
    <s v="GOULDS PUMPS"/>
    <n v="2"/>
  </r>
  <r>
    <s v="0212"/>
    <x v="20"/>
    <n v="45000007421"/>
    <s v="Bilge/Ballast*Bilge/Ballast Pump (#2)*Pump*Seal"/>
    <x v="83"/>
    <s v="Y"/>
    <n v="1"/>
    <s v="Seal"/>
    <s v="Bilge/Ballast*Bilge/Ballast Pump (#2)*Pump*Seal"/>
    <n v="0"/>
    <s v="153023"/>
    <s v="FLOWSERVE PUMPS"/>
    <n v="1"/>
  </r>
  <r>
    <s v="0212"/>
    <x v="20"/>
    <n v="45000009196"/>
    <s v="Electrical*Automation*PLC (Allen Bradley)*SLC 1747 - L552 Processor"/>
    <x v="61"/>
    <s v="Y"/>
    <n v="1"/>
    <s v="SLC 1747 - L552 Processor"/>
    <s v="Electrical*Automation*PLC (Allen Bradley)*SLC 1747 - L552 Processor"/>
    <n v="1"/>
    <s v="1747-L552"/>
    <s v="ALLEN-BRADLEY"/>
    <n v="1"/>
  </r>
  <r>
    <s v="0212"/>
    <x v="20"/>
    <n v="45000014049"/>
    <s v="Electrical*Automation*PLC (Allen Bradley)*SLC 1746 - NR8, 8 Point RTD Input Card"/>
    <x v="61"/>
    <s v="Y"/>
    <n v="1"/>
    <s v="SLC 1746 - NR8, 8 Point RTD Input Card"/>
    <s v="Electrical*Automation*PLC (Allen Bradley)*SLC 1746 - NR8, 8 Point RTD Input Card"/>
    <m/>
    <s v="1746-NR8"/>
    <s v="ALLEN-BRADLEY"/>
    <n v="1"/>
  </r>
  <r>
    <s v="0212"/>
    <x v="20"/>
    <n v="45000022411"/>
    <s v="Lube Oil Transfer*Lube Oil Transfer Pump*PUMP SET, COMPLETE*Motor, 10 HP"/>
    <x v="86"/>
    <s v="Y"/>
    <n v="1"/>
    <s v="Motor, 10 HP"/>
    <s v="Lube Oil Transfer*Lube Oil Transfer Pump*PUMP SET, COMPLETE*Motor, 10 HP"/>
    <n v="0"/>
    <s v="5K215BD105A"/>
    <s v="G.E."/>
    <n v="1"/>
  </r>
  <r>
    <s v="0212"/>
    <x v="20"/>
    <n v="45000022596"/>
    <s v="Fuel Oil Transfer*Fuel Transfer Pump (#1)*Pump*Coupling*Coupling*Hub (Motor Side)"/>
    <x v="81"/>
    <s v="Y"/>
    <n v="1"/>
    <s v="Hub (Motor Side)"/>
    <s v="Fuel Oil Transfer*Fuel Transfer Pump (#1)*Pump*Coupling*Coupling*Hub (Motor Side)"/>
    <n v="0"/>
    <s v="1050T35"/>
    <s v="Falk"/>
    <n v="3"/>
  </r>
  <r>
    <s v="0212"/>
    <x v="20"/>
    <n v="45000022597"/>
    <s v="Fuel Oil Transfer*Fuel Transfer Pump (#1)*Pump*Coupling*Coupling*Cover &amp; Grid Assembly"/>
    <x v="81"/>
    <s v="Y"/>
    <n v="1"/>
    <s v="Cover &amp; Grid Assembly"/>
    <s v="Fuel Oil Transfer*Fuel Transfer Pump (#1)*Pump*Coupling*Coupling*Cover &amp; Grid Assembly"/>
    <n v="0"/>
    <s v="1050T35"/>
    <s v="Falk"/>
    <n v="3"/>
  </r>
  <r>
    <s v="0212"/>
    <x v="20"/>
    <n v="45000022598"/>
    <s v="Fuel Oil Transfer*Fuel Transfer Pump (#1)*Pump*Coupling*Coupling*Spacer"/>
    <x v="81"/>
    <s v="Y"/>
    <n v="1"/>
    <s v="Spacer"/>
    <s v="Fuel Oil Transfer*Fuel Transfer Pump (#1)*Pump*Coupling*Coupling*Spacer"/>
    <n v="0"/>
    <s v="1050T35"/>
    <s v="Falk"/>
    <n v="3"/>
  </r>
  <r>
    <s v="0212"/>
    <x v="20"/>
    <n v="45000022599"/>
    <s v="Fuel Oil Transfer*Fuel Transfer Pump (#1)*Pump*Coupling*Coupling*Hub (Pump End)"/>
    <x v="81"/>
    <s v="Y"/>
    <n v="1"/>
    <s v="Hub (Pump End)"/>
    <s v="Fuel Oil Transfer*Fuel Transfer Pump (#1)*Pump*Coupling*Coupling*Hub (Pump End)"/>
    <n v="0"/>
    <s v="1050T35"/>
    <s v="Falk"/>
    <n v="3"/>
  </r>
  <r>
    <s v="0212"/>
    <x v="20"/>
    <n v="45000022600"/>
    <s v="Safety Firefighting*Fire Pump (#1)*Coupling*Hub (Motor Side)"/>
    <x v="84"/>
    <s v="Y"/>
    <n v="1"/>
    <s v="Hub (Motor Side)"/>
    <s v="Safety Firefighting*Fire Pump (#1)*Coupling*Hub (Motor Side)"/>
    <n v="1"/>
    <s v="1060T35"/>
    <s v="Falk"/>
    <n v="1"/>
  </r>
  <r>
    <s v="0212"/>
    <x v="20"/>
    <n v="45000022601"/>
    <s v="Safety Firefighting*Fire Pump (#1)*Coupling*Hub (Pump Side)"/>
    <x v="84"/>
    <s v="Y"/>
    <n v="1"/>
    <s v="Hub (Pump Side)"/>
    <s v="Safety Firefighting*Fire Pump (#1)*Coupling*Hub (Pump Side)"/>
    <n v="1"/>
    <s v="1060T35"/>
    <s v="Falk"/>
    <n v="1"/>
  </r>
  <r>
    <s v="0212"/>
    <x v="20"/>
    <n v="45000022602"/>
    <s v="Safety Firefighting*Fire Pump (#1)*Coupling*Cover &amp; Grid Assembly"/>
    <x v="84"/>
    <s v="Y"/>
    <n v="1"/>
    <s v="Cover &amp; Grid Assembly"/>
    <s v="Safety Firefighting*Fire Pump (#1)*Coupling*Cover &amp; Grid Assembly"/>
    <n v="1"/>
    <s v="1060T35"/>
    <s v="Falk"/>
    <n v="1"/>
  </r>
  <r>
    <s v="0212"/>
    <x v="20"/>
    <n v="45000022603"/>
    <s v="Safety Firefighting*Fire Pump (#1)*Coupling*Spacer, Standard Stock"/>
    <x v="84"/>
    <s v="Y"/>
    <n v="1"/>
    <s v="Spacer, Standard Stock"/>
    <s v="Safety Firefighting*Fire Pump (#1)*Coupling*Spacer, Standard Stock"/>
    <n v="1"/>
    <s v="1060T35"/>
    <s v="Falk"/>
    <n v="1"/>
  </r>
  <r>
    <s v="0212"/>
    <x v="20"/>
    <n v="45000023191"/>
    <s v="Pump, Dredge (Port)*Dredge Pump Engine Port (EMD 645)*Pre-Lube Pump*Pump Motor, Pre-Lube"/>
    <x v="82"/>
    <s v="Y"/>
    <n v="1"/>
    <s v="Pump Motor, Pre-Lube"/>
    <s v="Pump, Dredge (Port)*Dredge Pump Engine Port (EMD 645)*Pre-Lube Pump*Pump Motor, Pre-Lube"/>
    <n v="0"/>
    <s v="WWE-1-18-143T"/>
    <s v="WORLDWIDE"/>
    <n v="2"/>
  </r>
  <r>
    <s v="0212"/>
    <x v="20"/>
    <n v="45000023419"/>
    <s v="Electrical*Automation*Sensors*RTD, High-Temp, 4&quot;"/>
    <x v="61"/>
    <s v="Y"/>
    <n v="1"/>
    <s v="RTD, High-Temp, 4&quot;"/>
    <s v="Electrical*Automation*Sensors*RTD, High-Temp, 4&quot;"/>
    <n v="2"/>
    <s v="R1T185H483-004(1/2&quot;)-SL-8HN31"/>
    <s v="LESMAN INSTRUMENT CO."/>
    <n v="1"/>
  </r>
  <r>
    <s v="0212"/>
    <x v="20"/>
    <n v="45000024912"/>
    <s v="Production Instrumentation/Monitoring*Rosemount Transducers*Transmitter (-15 +40 PSIG)"/>
    <x v="75"/>
    <s v="Y"/>
    <n v="1"/>
    <s v="Transmitter (-15 +40 PSIG)"/>
    <s v="Production Instrumentation/Monitoring*Rosemount Transducers*Transmitter (-15 +40 PSIG)"/>
    <n v="0"/>
    <s v="1151GP6E22M3S1"/>
    <s v="ROSEMOUNT"/>
    <n v="1"/>
  </r>
  <r>
    <s v="0212"/>
    <x v="20"/>
    <n v="45000028527"/>
    <s v="Compressed Air*Air Compressor Set (#1)*Motor*Motor, 15 HP"/>
    <x v="79"/>
    <s v="Y"/>
    <n v="1"/>
    <s v="Motor, 15 HP"/>
    <s v="Compressed Air*Air Compressor Set (#1)*Motor*Motor, 15 HP"/>
    <n v="0"/>
    <s v="ECP2333T"/>
    <s v="QUINCY"/>
    <n v="2"/>
  </r>
  <r>
    <s v="0212"/>
    <x v="20"/>
    <n v="45000028529"/>
    <s v="Compressed Air*Air Compressor Set (#2)*Compressor (#2)*Air Tank/ Receiver (120 Gallon)*Air Gauge (0-200 PSI)"/>
    <x v="79"/>
    <s v="Y"/>
    <n v="1"/>
    <s v="Air Gauge (0-200 PSI)"/>
    <s v="Compressed Air*Air Compressor Set (#2)*Compressor (#2)*Air Tank/ Receiver (120 Gallon)*Air Gauge (0-200 PSI)"/>
    <n v="0"/>
    <s v="3226"/>
    <s v="QUINCY"/>
    <n v="2"/>
  </r>
  <r>
    <s v="0212"/>
    <x v="20"/>
    <n v="45000028530"/>
    <s v="Compressed Air*Air Compressor Set (#2)*Compressor (#2)*Air Tank/ Receiver (120 Gallon)*Valve, Safety Relief"/>
    <x v="79"/>
    <s v="Y"/>
    <n v="1"/>
    <s v="Valve, Safety Relief"/>
    <s v="Compressed Air*Air Compressor Set (#2)*Compressor (#2)*Air Tank/ Receiver (120 Gallon)*Valve, Safety Relief"/>
    <n v="0"/>
    <s v="3922-200"/>
    <s v="QUINCY"/>
    <n v="2"/>
  </r>
  <r>
    <s v="0212"/>
    <x v="20"/>
    <n v="45000029843"/>
    <s v="Electrical*Motor Control Centers*Motor Starter, Cooling Pump # 1"/>
    <x v="61"/>
    <s v="Y"/>
    <n v="1"/>
    <s v="Motor Starter, Cooling Pump # 1"/>
    <s v="Electrical*Motor Control Centers*Motor Starter, Cooling Pump # 1"/>
    <n v="0"/>
    <s v="55-501463G004"/>
    <s v="GE"/>
    <n v="1"/>
  </r>
  <r>
    <s v="0212"/>
    <x v="20"/>
    <n v="45000029844"/>
    <s v="Electrical*Motor Control Centers*Motor Starter, Cooling Pump # 2"/>
    <x v="61"/>
    <s v="Y"/>
    <n v="1"/>
    <s v="Motor Starter, Cooling Pump # 2"/>
    <s v="Electrical*Motor Control Centers*Motor Starter, Cooling Pump # 2"/>
    <n v="0"/>
    <s v="55-501463G004"/>
    <s v="GE"/>
    <n v="1"/>
  </r>
  <r>
    <s v="0212"/>
    <x v="20"/>
    <n v="45000030491"/>
    <s v="Generators*Main Genset (Port)*Generator Engine (Port) (CAT 3412)*CAT 3412 Generator Engine*Fuel System and Governor*Line Assy, Fuel Injection # 3"/>
    <x v="4"/>
    <s v="Y"/>
    <n v="1"/>
    <s v="Line Assy, Fuel Injection # 3"/>
    <s v="Generators*Main Genset (Port)*Generator Engine (Port) (CAT 3412)*CAT 3412 Generator Engine*Fuel System and Governor*Line Assy, Fuel Injection # 3"/>
    <n v="0"/>
    <s v="4P-7803"/>
    <s v="Caterpillar"/>
    <n v="1"/>
  </r>
  <r>
    <s v="0212"/>
    <x v="20"/>
    <n v="45000031037"/>
    <s v="Mooring/Anchor Handling*Anchor Winch*Brake Cylinder*Cylinder"/>
    <x v="106"/>
    <s v="Y"/>
    <n v="1"/>
    <s v="Cylinder"/>
    <s v="Mooring/Anchor Handling*Anchor Winch*Brake Cylinder*Cylinder"/>
    <n v="0"/>
    <s v="625CMP1PPC1"/>
    <s v="Motion Industries"/>
    <n v="1"/>
  </r>
  <r>
    <s v="0212"/>
    <x v="20"/>
    <n v="45000031038"/>
    <s v="Mooring/Anchor Handling*Anchor Winch*Drum Dog*CYLINDER, AIR"/>
    <x v="106"/>
    <s v="Y"/>
    <n v="1"/>
    <s v="CYLINDER, AIR"/>
    <s v="Mooring/Anchor Handling*Anchor Winch*Drum Dog*CYLINDER, AIR"/>
    <n v="1"/>
    <s v="CY3582"/>
    <s v="Motion Industries"/>
    <n v="1"/>
  </r>
  <r>
    <s v="0212"/>
    <x v="20"/>
    <n v="45000031039"/>
    <s v="Mooring/Anchor Handling*Anchor Winch*Friction Clutch*Cylinder, Air"/>
    <x v="106"/>
    <s v="Y"/>
    <n v="1"/>
    <s v="Cylinder, Air"/>
    <s v="Mooring/Anchor Handling*Anchor Winch*Friction Clutch*Cylinder, Air"/>
    <n v="1"/>
    <s v="CY5207"/>
    <s v="Motion Industries"/>
    <n v="1"/>
  </r>
  <r>
    <s v="0212"/>
    <x v="20"/>
    <n v="45000031053"/>
    <s v="Mooring/Anchor Handling*Anchor Winch*Valve, Quick Release"/>
    <x v="106"/>
    <s v="Y"/>
    <n v="2"/>
    <s v="Valve, Quick Release"/>
    <s v="Mooring/Anchor Handling*Anchor Winch*Valve, Quick Release"/>
    <n v="3"/>
    <s v="P52935-3"/>
    <s v="WABCO"/>
    <n v="1"/>
  </r>
  <r>
    <s v="0212"/>
    <x v="20"/>
    <n v="45000031202"/>
    <s v="Generators*Main Genset (Port)*Generator Engine (Port) (CAT 3412)*Governor*Governor"/>
    <x v="4"/>
    <s v="Y"/>
    <n v="1"/>
    <s v="Governor"/>
    <s v="Generators*Main Genset (Port)*Generator Engine (Port) (CAT 3412)*Governor*Governor"/>
    <n v="0"/>
    <s v="4W-6811"/>
    <s v="Caterpillar"/>
    <n v="1"/>
  </r>
  <r>
    <s v="0212"/>
    <x v="20"/>
    <n v="45000031203"/>
    <s v="Generators*Main Genset (Port)*Generator Engine (Port) (CAT 3412)*Governor*Motor, Governor"/>
    <x v="4"/>
    <s v="Y"/>
    <n v="1"/>
    <s v="Motor, Governor"/>
    <s v="Generators*Main Genset (Port)*Generator Engine (Port) (CAT 3412)*Governor*Motor, Governor"/>
    <n v="1"/>
    <s v="4W-5123"/>
    <s v="Caterpillar"/>
    <n v="1"/>
  </r>
  <r>
    <s v="0212"/>
    <x v="20"/>
    <n v="45000031204"/>
    <s v="Generators*Main Genset (Port)*Generator Engine (Port) (CAT 3412)*Governor*Screw"/>
    <x v="4"/>
    <s v="Y"/>
    <n v="1"/>
    <s v="Screw"/>
    <s v="Generators*Main Genset (Port)*Generator Engine (Port) (CAT 3412)*Governor*Screw"/>
    <n v="4"/>
    <s v="9N-6225"/>
    <s v="Caterpillar"/>
    <n v="1"/>
  </r>
  <r>
    <s v="0212"/>
    <x v="20"/>
    <n v="45000031257"/>
    <s v="Pump, Dredge (Port)*Dredge Pump Engine Port (EMD 645)*Soak Back Pump*Timer, Coil, 120 Volts"/>
    <x v="82"/>
    <s v="Y"/>
    <n v="1"/>
    <s v="Timer, Coil, 120 Volts"/>
    <s v="Pump, Dredge (Port)*Dredge Pump Engine Port (EMD 645)*Soak Back Pump*Timer, Coil, 120 Volts"/>
    <n v="0"/>
    <s v="7022AH"/>
    <s v="Agastat"/>
    <n v="2"/>
  </r>
  <r>
    <s v="0212"/>
    <x v="20"/>
    <n v="45000031810"/>
    <s v="Electrical*Automation*PLC (Allen Bradley)*SLC 1746 - IN16I Analog Input Module"/>
    <x v="61"/>
    <s v="Y"/>
    <n v="1"/>
    <s v="SLC 1746 - IN16I Analog Input Module"/>
    <s v="Electrical*Automation*PLC (Allen Bradley)*SLC 1746 - IN16I Analog Input Module"/>
    <n v="1"/>
    <s v="1746-IN16"/>
    <s v="ALLEN-BRADLEY"/>
    <n v="1"/>
  </r>
  <r>
    <s v="0212"/>
    <x v="20"/>
    <n v="45000031811"/>
    <s v="Electrical*Automation*PLC (Allen Bradley)*SLC 1746 - NO4I, Analog Module"/>
    <x v="61"/>
    <s v="Y"/>
    <n v="1"/>
    <s v="SLC 1746 - NO4I, Analog Module"/>
    <s v="Electrical*Automation*PLC (Allen Bradley)*SLC 1746 - NO4I, Analog Module"/>
    <n v="1"/>
    <s v="1746-NO4I"/>
    <s v="ALLEN-BRADLEY"/>
    <n v="1"/>
  </r>
  <r>
    <s v="0212"/>
    <x v="20"/>
    <n v="45000031812"/>
    <s v="Electrical*Automation*PLC (Allen Bradley)*SLC 1746-IB16, 16 Pnt Dgtl Input Mod"/>
    <x v="61"/>
    <s v="Y"/>
    <n v="1"/>
    <s v="SLC 1746-IB16, 16 Pnt Dgtl Input Mod"/>
    <s v="Electrical*Automation*PLC (Allen Bradley)*SLC 1746-IB16, 16 Pnt Dgtl Input Mod"/>
    <n v="1"/>
    <s v="1746-IB16"/>
    <s v="ALLEN-BRADLEY"/>
    <n v="1"/>
  </r>
  <r>
    <s v="0212"/>
    <x v="20"/>
    <n v="45000032316"/>
    <s v="Pump, Dredge (Port)*Dredge Pump Engine Port (EMD 645)*Starting System*Valve, Solenoid, Air Start"/>
    <x v="82"/>
    <s v="Y"/>
    <n v="1"/>
    <s v="Valve, Solenoid, Air Start"/>
    <s v="Pump, Dredge (Port)*Dredge Pump Engine Port (EMD 645)*Starting System*Valve, Solenoid, Air Start"/>
    <n v="2"/>
    <s v="9513135"/>
    <s v="EMD (MSI)"/>
    <n v="2"/>
  </r>
  <r>
    <s v="0212"/>
    <x v="20"/>
    <n v="45000032549"/>
    <s v="Electrical*Transducers/ Gauges*Analog Converter (Main Pump Rpm)"/>
    <x v="61"/>
    <s v="Y"/>
    <n v="1"/>
    <s v="Analog Converter (Main Pump Rpm)"/>
    <s v="Electrical*Transducers/ Gauges*Analog Converter (Main Pump Rpm)"/>
    <n v="0"/>
    <s v="MM7010ISO"/>
    <s v="Wilkerson Instrument Co."/>
    <n v="1"/>
  </r>
  <r>
    <s v="0212"/>
    <x v="20"/>
    <n v="45000034070"/>
    <s v="Mooring/Anchor Handling*Anchor Winch*Rotorseal"/>
    <x v="106"/>
    <s v="Y"/>
    <n v="2"/>
    <s v="Rotorseal"/>
    <s v="Mooring/Anchor Handling*Anchor Winch*Rotorseal"/>
    <n v="2"/>
    <s v="145107BG"/>
    <s v="Eaton"/>
    <n v="1"/>
  </r>
  <r>
    <s v="0212"/>
    <x v="20"/>
    <n v="45100000344"/>
    <s v="Pump, Dredge (Port)*Dredge Pump Engine Port (EMD 645)*Governor*Actuator, PG*Elbow, Oil Gauge"/>
    <x v="82"/>
    <s v="Y"/>
    <n v="1"/>
    <s v="Elbow, Oil Gauge"/>
    <s v="Pump, Dredge (Port)*Dredge Pump Engine Port (EMD 645)*Governor*Actuator, PG*Elbow, Oil Gauge"/>
    <n v="0"/>
    <s v="8113999"/>
    <s v="EMD (MSI)"/>
    <n v="2"/>
  </r>
  <r>
    <s v="0212"/>
    <x v="20"/>
    <n v="45100000346"/>
    <s v="Pump, Dredge (Port)*Dredge Pump Engine Port (EMD 645)*Governor*Actuator, PG*Glass, Sight"/>
    <x v="82"/>
    <s v="Y"/>
    <n v="1"/>
    <s v="Glass, Sight"/>
    <s v="Pump, Dredge (Port)*Dredge Pump Engine Port (EMD 645)*Governor*Actuator, PG*Glass, Sight"/>
    <n v="0"/>
    <s v="8131381"/>
    <s v="EMD (MSI)"/>
    <n v="2"/>
  </r>
  <r>
    <s v="0212"/>
    <x v="20"/>
    <n v="45100000347"/>
    <s v="Pump, Dredge (Port)*Dredge Pump Engine Port (EMD 645)*Governor*Actuator, PG*Gasket, Housing 312 ID X 535 OD X .068TK"/>
    <x v="82"/>
    <s v="Y"/>
    <n v="1"/>
    <s v="Gasket, Housing 312 ID X 535 OD X .068TK"/>
    <s v="Pump, Dredge (Port)*Dredge Pump Engine Port (EMD 645)*Governor*Actuator, PG*Gasket, Housing 312 ID X 535 OD X .068TK"/>
    <n v="0"/>
    <s v="40057405"/>
    <s v="EMD (MSI)"/>
    <n v="2"/>
  </r>
  <r>
    <s v="0212"/>
    <x v="20"/>
    <n v="45100000348"/>
    <s v="Pump, Dredge (Port)*Dredge Pump Engine Port (EMD 645)*Governor*Actuator, PG*O-Ring, Housing 359 ID X 500 OD X 0.067"/>
    <x v="82"/>
    <s v="Y"/>
    <n v="1"/>
    <s v="O-Ring, Housing 359 ID X 500 OD X 0.067"/>
    <s v="Pump, Dredge (Port)*Dredge Pump Engine Port (EMD 645)*Governor*Actuator, PG*O-Ring, Housing 359 ID X 500 OD X 0.067"/>
    <n v="0"/>
    <s v="8319674"/>
    <s v="EMD (MSI)"/>
    <n v="2"/>
  </r>
  <r>
    <s v="0212"/>
    <x v="20"/>
    <n v="60400000231"/>
    <s v="Compressed Air*Air Compressor Set (#2)*Compressor (#2)*Valve, Safety Relief"/>
    <x v="79"/>
    <s v="Y"/>
    <n v="1"/>
    <s v="Valve, Safety Relief"/>
    <s v="Compressed Air*Air Compressor Set (#2)*Compressor (#2)*Valve, Safety Relief"/>
    <n v="0"/>
    <s v="3022-200"/>
    <s v="QUINCY"/>
    <n v="2"/>
  </r>
  <r>
    <s v="0212"/>
    <x v="20"/>
    <n v="60400000232"/>
    <s v="Compressed Air*Air Compressor Set (#2)*Compressor (#2)*Switch, Air Pressure"/>
    <x v="79"/>
    <s v="Y"/>
    <n v="1"/>
    <s v="Switch, Air Pressure"/>
    <s v="Compressed Air*Air Compressor Set (#2)*Compressor (#2)*Switch, Air Pressure"/>
    <n v="0"/>
    <s v="2298-175"/>
    <s v="QUINCY"/>
    <n v="2"/>
  </r>
  <r>
    <s v="0212"/>
    <x v="20"/>
    <n v="60400000233"/>
    <s v="Compressed Air*Air Compressor Set (#2)*Compressor (#2)*Repair Kit, Oil Pump"/>
    <x v="79"/>
    <s v="Y"/>
    <n v="1"/>
    <s v="Repair Kit, Oil Pump"/>
    <s v="Compressed Air*Air Compressor Set (#2)*Compressor (#2)*Repair Kit, Oil Pump"/>
    <n v="0"/>
    <s v="160079"/>
    <s v="QUINCY"/>
    <n v="2"/>
  </r>
  <r>
    <s v="0212"/>
    <x v="20"/>
    <n v="60400000234"/>
    <s v="Compressed Air*Air Compressor Set (#2)*Compressor (#2)*Repair Kit, Basic Compressor"/>
    <x v="79"/>
    <s v="Y"/>
    <n v="1"/>
    <s v="Repair Kit, Basic Compressor"/>
    <s v="Compressed Air*Air Compressor Set (#2)*Compressor (#2)*Repair Kit, Basic Compressor"/>
    <n v="0"/>
    <s v="110823-350"/>
    <s v="QUINCY"/>
    <n v="2"/>
  </r>
  <r>
    <s v="0212"/>
    <x v="20"/>
    <n v="60400000235"/>
    <s v="Compressed Air*Air Compressor Set (#2)*Compressor (#2)*Gasket Set"/>
    <x v="79"/>
    <s v="Y"/>
    <n v="1"/>
    <s v="Gasket Set"/>
    <s v="Compressed Air*Air Compressor Set (#2)*Compressor (#2)*Gasket Set"/>
    <n v="0"/>
    <s v="7503"/>
    <s v="QUINCY"/>
    <n v="2"/>
  </r>
  <r>
    <s v="0212"/>
    <x v="20"/>
    <n v="60400000634"/>
    <s v="Generators*Main Genset (Port)*Generator Port*Regulator, Voltage"/>
    <x v="4"/>
    <s v="Y"/>
    <n v="1"/>
    <s v="Regulator, Voltage"/>
    <s v="Generators*Main Genset (Port)*Generator Port*Regulator, Voltage"/>
    <n v="0"/>
    <s v="DVR-2000E Plus"/>
    <s v="MARATHON ELECTRIC"/>
    <n v="1"/>
  </r>
  <r>
    <s v="0212"/>
    <x v="20"/>
    <n v="60400000669"/>
    <s v="Generators*Main Genset (Port)*Generator Port*Main Genset Display*Cat Display Panel"/>
    <x v="4"/>
    <s v="Y"/>
    <n v="1"/>
    <s v="Cat Display Panel"/>
    <s v="Generators*Main Genset (Port)*Generator Port*Main Genset Display*Cat Display Panel"/>
    <n v="2"/>
    <s v="DSE7310"/>
    <s v="PAN AMERICAN POWER"/>
    <n v="1"/>
  </r>
  <r>
    <s v="0212"/>
    <x v="20"/>
    <n v="60400000701"/>
    <s v="Lube Oil Transfer*Waste Oil Transfer Pump*Motor, (5 HP)*Motor, 5 HP"/>
    <x v="86"/>
    <s v="Y"/>
    <n v="1"/>
    <s v="Motor, 5 HP"/>
    <s v="Lube Oil Transfer*Waste Oil Transfer Pump*Motor, (5 HP)*Motor, 5 HP"/>
    <n v="0"/>
    <s v="6AGV2"/>
    <s v="Grainger"/>
    <n v="1"/>
  </r>
  <r>
    <s v="0212"/>
    <x v="20"/>
    <n v="60400000703"/>
    <s v="Lube Oil Transfer*Waste Oil Transfer Pump*Pump, 3196*Coupling*Coupling"/>
    <x v="86"/>
    <s v="Y"/>
    <n v="1"/>
    <s v="Coupling"/>
    <s v="Lube Oil Transfer*Waste Oil Transfer Pump*Pump, 3196*Coupling*Coupling"/>
    <n v="0"/>
    <s v="PS50TL"/>
    <s v="DODGE PARA FLEX"/>
    <n v="1"/>
  </r>
  <r>
    <s v="0212"/>
    <x v="20"/>
    <n v="60400000725"/>
    <s v="Mooring/Anchor Handling*Anchor Winch*Control Station*Valve, Controlair"/>
    <x v="106"/>
    <s v="Y"/>
    <n v="1"/>
    <s v="Valve, Controlair"/>
    <s v="Mooring/Anchor Handling*Anchor Winch*Control Station*Valve, Controlair"/>
    <n v="0"/>
    <s v="P50494-1"/>
    <s v="REX ROTH"/>
    <n v="1"/>
  </r>
  <r>
    <s v="0212"/>
    <x v="20"/>
    <n v="60400001110"/>
    <s v="Electrical*Automation*Sensors*Sensor, Rack"/>
    <x v="61"/>
    <s v="Y"/>
    <n v="1"/>
    <s v="Sensor, Rack"/>
    <s v="Electrical*Automation*Sensors*Sensor, Rack"/>
    <n v="0"/>
    <s v="LGW 75 Art. No. 026103"/>
    <s v="NOVOTECKNIC"/>
    <n v="1"/>
  </r>
  <r>
    <s v="0212"/>
    <x v="20"/>
    <n v="60400001401"/>
    <s v="Pump, Dredge (Stbd)*Dredge Pump Engine Stbd (EMD 645)*Engine Accessories*Heat Exchanger, L/O"/>
    <x v="99"/>
    <s v="Y"/>
    <n v="1"/>
    <s v="Heat Exchanger, L/O"/>
    <s v="Pump, Dredge (Stbd)*Dredge Pump Engine Stbd (EMD 645)*Engine Accessories*Heat Exchanger, L/O"/>
    <n v="0"/>
    <s v="D244937"/>
    <s v="American Industrial"/>
    <n v="2"/>
  </r>
  <r>
    <s v="0212"/>
    <x v="20"/>
    <n v="60400002437"/>
    <s v="Pump, Dredge (Port)*Dredge Pump Engine Port (EMD 645)*Crankcase/Oil Pan/Block*Cover Assembly, Handhole (Safety)"/>
    <x v="82"/>
    <s v="Y"/>
    <n v="1"/>
    <s v="Cover Assembly, Handhole (Safety)"/>
    <s v="Pump, Dredge (Port)*Dredge Pump Engine Port (EMD 645)*Crankcase/Oil Pan/Block*Cover Assembly, Handhole (Safety)"/>
    <n v="0"/>
    <s v="8499419"/>
    <s v="EMD (MSI)"/>
    <n v="2"/>
  </r>
  <r>
    <s v="0212"/>
    <x v="20"/>
    <n v="60400002489"/>
    <s v="Pump, Dredge (Port)*Dredge Pump Engine Port (EMD 645)*Governor*Connector, Amphenol Circular Mil Spec"/>
    <x v="82"/>
    <s v="Y"/>
    <n v="2"/>
    <s v="Connector, Amphenol Circular Mil Spec"/>
    <s v="Pump, Dredge (Port)*Dredge Pump Engine Port (EMD 645)*Governor*Connector, Amphenol Circular Mil Spec"/>
    <n v="2"/>
    <m/>
    <m/>
    <n v="2"/>
  </r>
  <r>
    <s v="0212"/>
    <x v="20"/>
    <n v="60400002629"/>
    <s v="Pump, Dredge (Stbd)*Dredge Pump Engine Stbd (EMD 645)*Engine Accessories*Priming Pump, Hand"/>
    <x v="99"/>
    <s v="Y"/>
    <n v="1"/>
    <s v="Priming Pump, Hand"/>
    <s v="Pump, Dredge (Stbd)*Dredge Pump Engine Stbd (EMD 645)*Engine Accessories*Priming Pump, Hand"/>
    <n v="0"/>
    <s v="3317701"/>
    <s v="EMD"/>
    <n v="2"/>
  </r>
  <r>
    <s v="0212"/>
    <x v="20"/>
    <n v="60400002639"/>
    <s v="Pump, Dredge (Stbd)*Dredge Pump Engine Stbd (EMD 645)*Engine Accessories*Priming Pump, Hand*Gland, Packing"/>
    <x v="99"/>
    <s v="Y"/>
    <n v="1"/>
    <s v="Gland, Packing"/>
    <s v="Pump, Dredge (Stbd)*Dredge Pump Engine Stbd (EMD 645)*Engine Accessories*Priming Pump, Hand*Gland, Packing"/>
    <n v="0"/>
    <s v="3263200"/>
    <s v="EMD"/>
    <n v="2"/>
  </r>
  <r>
    <s v="0212"/>
    <x v="20"/>
    <n v="60400003121"/>
    <s v="Electrical*Transducers/ Gauges*Pressure Transmitter 0-100 Psi"/>
    <x v="61"/>
    <s v="Y"/>
    <n v="1"/>
    <s v="Pressure Transmitter 0-100 Psi"/>
    <s v="Electrical*Transducers/ Gauges*Pressure Transmitter 0-100 Psi"/>
    <n v="0"/>
    <s v="88C004A2"/>
    <s v="LESMAN INSTRUMENTS"/>
    <n v="1"/>
  </r>
  <r>
    <s v="0212"/>
    <x v="20"/>
    <n v="60400006203"/>
    <s v="Pump, Dredge (Port)*Dredge Pump Engine Port (EMD 645)*Fuel Injectors (IN2)*Injector (UL-1042 E5)"/>
    <x v="82"/>
    <s v="Y"/>
    <n v="20"/>
    <s v="Injector (UL-1042 E5)"/>
    <s v="Pump, Dredge (Port)*Dredge Pump Engine Port (EMD 645)*Fuel Injectors (IN2)*Injector (UL-1042 E5)"/>
    <n v="2"/>
    <s v="40166524UX-mp"/>
    <s v="EMD (MSI)"/>
    <n v="2"/>
  </r>
  <r>
    <s v="0212"/>
    <x v="20"/>
    <n v="60400006204"/>
    <s v="Pump, Dredge (Port)*Dredge Pump Engine Port (EMD 645)*Power Packs (PP2)*Fork Rod Pack (1042-UL)"/>
    <x v="82"/>
    <s v="Y"/>
    <n v="1"/>
    <s v="Fork Rod Pack (1042-UL)"/>
    <s v="Pump, Dredge (Port)*Dredge Pump Engine Port (EMD 645)*Power Packs (PP2)*Fork Rod Pack (1042-UL)"/>
    <n v="0"/>
    <s v="40173247"/>
    <s v="EMD (MSI)"/>
    <n v="2"/>
  </r>
  <r>
    <s v="0212"/>
    <x v="20"/>
    <n v="60400006205"/>
    <s v="Pump, Dredge (Port)*Dredge Pump Engine Port (EMD 645)*Power Packs (PP2)*Blade Rod Pack (1042-UL)"/>
    <x v="82"/>
    <s v="Y"/>
    <n v="1"/>
    <s v="Blade Rod Pack (1042-UL)"/>
    <s v="Pump, Dredge (Port)*Dredge Pump Engine Port (EMD 645)*Power Packs (PP2)*Blade Rod Pack (1042-UL)"/>
    <n v="0"/>
    <s v="40173248"/>
    <s v="EMD (MSI)"/>
    <n v="2"/>
  </r>
  <r>
    <s v="0212"/>
    <x v="20"/>
    <n v="62400002259"/>
    <s v="Compressed Air*Air Compressor Set (#2)*Compressor (#2)*Compressor (Quincy D350HP)*Gasket, Valve"/>
    <x v="79"/>
    <s v="Y"/>
    <n v="1"/>
    <s v="Gasket, Valve"/>
    <s v="Compressed Air*Air Compressor Set (#2)*Compressor (#2)*Compressor (Quincy D350HP)*Gasket, Valve"/>
    <n v="0"/>
    <s v="1556"/>
    <s v="QUINCY"/>
    <n v="2"/>
  </r>
  <r>
    <s v="0212"/>
    <x v="20"/>
    <n v="62400002261"/>
    <s v="Compressed Air*Air Compressor Set (#2)*Compressor (#2)*Compressor (Quincy D350HP)*Suction Valve Assembly"/>
    <x v="79"/>
    <s v="Y"/>
    <n v="1"/>
    <s v="Suction Valve Assembly"/>
    <s v="Compressed Air*Air Compressor Set (#2)*Compressor (#2)*Compressor (Quincy D350HP)*Suction Valve Assembly"/>
    <n v="0"/>
    <s v="6671X1U"/>
    <s v="QUINCY"/>
    <n v="2"/>
  </r>
  <r>
    <s v="0212"/>
    <x v="20"/>
    <n v="62400002265"/>
    <s v="Compressed Air*Air Compressor Set (#2)*Compressor (#2)*Compressor (Quincy D350HP)*Discharge Valve - Assembly"/>
    <x v="79"/>
    <s v="Y"/>
    <n v="1"/>
    <s v="Discharge Valve - Assembly"/>
    <s v="Compressed Air*Air Compressor Set (#2)*Compressor (#2)*Compressor (Quincy D350HP)*Discharge Valve - Assembly"/>
    <n v="0"/>
    <s v="6670X1"/>
    <s v="QUINCY"/>
    <n v="2"/>
  </r>
  <r>
    <s v="0212"/>
    <x v="20"/>
    <n v="62400002267"/>
    <s v="Compressed Air*Air Compressor Set (#2)*Compressor (#2)*Compressor (Quincy D350HP)*Unloader, Assembly"/>
    <x v="79"/>
    <s v="Y"/>
    <n v="1"/>
    <s v="Unloader, Assembly"/>
    <s v="Compressed Air*Air Compressor Set (#2)*Compressor (#2)*Compressor (Quincy D350HP)*Unloader, Assembly"/>
    <n v="0"/>
    <s v="40192"/>
    <s v="QUINCY"/>
    <n v="2"/>
  </r>
  <r>
    <s v="0212"/>
    <x v="20"/>
    <n v="62400002268"/>
    <s v="Compressed Air*Air Compressor Set (#2)*Compressor (#2)*Compressor (Quincy D350HP)*Gasket, Valve"/>
    <x v="79"/>
    <s v="Y"/>
    <n v="1"/>
    <s v="Gasket, Valve"/>
    <s v="Compressed Air*Air Compressor Set (#2)*Compressor (#2)*Compressor (Quincy D350HP)*Gasket, Valve"/>
    <n v="0"/>
    <s v="2024"/>
    <s v="QUINCY"/>
    <n v="2"/>
  </r>
  <r>
    <s v="0212"/>
    <x v="20"/>
    <n v="62400002269"/>
    <s v="Compressed Air*Air Compressor Set (#2)*Compressor (#2)*Compressor (Quincy D350HP)*Unloader Assembly"/>
    <x v="79"/>
    <s v="Y"/>
    <n v="1"/>
    <s v="Unloader Assembly"/>
    <s v="Compressed Air*Air Compressor Set (#2)*Compressor (#2)*Compressor (Quincy D350HP)*Unloader Assembly"/>
    <n v="0"/>
    <s v="7483X"/>
    <s v="QUINCY"/>
    <n v="2"/>
  </r>
  <r>
    <s v="0212"/>
    <x v="20"/>
    <n v="62400002270"/>
    <s v="Compressed Air*Air Compressor Set (#2)*Compressor (#2)*Compressor (Quincy D350HP)*Gasket, Valve Plate"/>
    <x v="79"/>
    <s v="Y"/>
    <n v="1"/>
    <s v="Gasket, Valve Plate"/>
    <s v="Compressed Air*Air Compressor Set (#2)*Compressor (#2)*Compressor (Quincy D350HP)*Gasket, Valve Plate"/>
    <n v="0"/>
    <s v="2025"/>
    <s v="QUINCY"/>
    <n v="2"/>
  </r>
  <r>
    <s v="0212"/>
    <x v="20"/>
    <n v="62400002274"/>
    <s v="Compressed Air*Air Compressor Set (#2)*Compressor (#2)*Compressor (Quincy D350HP)*Gasket, Cover Plate"/>
    <x v="79"/>
    <s v="Y"/>
    <n v="1"/>
    <s v="Gasket, Cover Plate"/>
    <s v="Compressed Air*Air Compressor Set (#2)*Compressor (#2)*Compressor (Quincy D350HP)*Gasket, Cover Plate"/>
    <n v="0"/>
    <s v="7398"/>
    <s v="QUINCY"/>
    <n v="2"/>
  </r>
  <r>
    <s v="0212"/>
    <x v="20"/>
    <n v="62400002284"/>
    <s v="Compressed Air*Air Compressor Set (#2)*Compressor (#2)*Compressor (Quincy D350HP)*Gasket - Cylinder Head"/>
    <x v="79"/>
    <s v="Y"/>
    <n v="2"/>
    <s v="Gasket - Cylinder Head"/>
    <s v="Compressed Air*Air Compressor Set (#2)*Compressor (#2)*Compressor (Quincy D350HP)*Gasket - Cylinder Head"/>
    <n v="0"/>
    <s v="7403"/>
    <s v="QUINCY"/>
    <n v="2"/>
  </r>
  <r>
    <s v="0212"/>
    <x v="20"/>
    <n v="62400002285"/>
    <s v="Compressed Air*Air Compressor Set (#2)*Compressor (#2)*Compressor (Quincy D350HP)*Intercooler - Gasket"/>
    <x v="79"/>
    <s v="Y"/>
    <n v="1"/>
    <s v="Intercooler - Gasket"/>
    <s v="Compressed Air*Air Compressor Set (#2)*Compressor (#2)*Compressor (Quincy D350HP)*Intercooler - Gasket"/>
    <n v="0"/>
    <s v="5860"/>
    <s v="QUINCY"/>
    <n v="2"/>
  </r>
  <r>
    <s v="0212"/>
    <x v="20"/>
    <n v="62400003074"/>
    <s v="Compressed Air*Air Compressor Set (#2)*Compressor (#2)*Compressor (Quincy D350HP)*Gauge, Oil Pressure"/>
    <x v="79"/>
    <s v="Y"/>
    <n v="1"/>
    <s v="Gauge, Oil Pressure"/>
    <s v="Compressed Air*Air Compressor Set (#2)*Compressor (#2)*Compressor (Quincy D350HP)*Gauge, Oil Pressure"/>
    <n v="0"/>
    <s v="110822"/>
    <s v="QUINCY"/>
    <n v="2"/>
  </r>
  <r>
    <s v="0212"/>
    <x v="20"/>
    <n v="62400004149"/>
    <s v="Pump, Dredge (Port)*Dredge Pump (Port)*Liner, Suction"/>
    <x v="82"/>
    <s v="Y"/>
    <n v="1"/>
    <s v="Liner, Suction"/>
    <s v="Pump, Dredge (Port)*Dredge Pump (Port)*Liner, Suction"/>
    <n v="0"/>
    <s v="5655C-00-0028G"/>
    <s v="GIW"/>
    <n v="2"/>
  </r>
  <r>
    <s v="0212"/>
    <x v="20"/>
    <n v="62400004150"/>
    <s v="Pump, Dredge (Port)*Dredge Pump (Port)*Liner, Hub"/>
    <x v="82"/>
    <s v="Y"/>
    <n v="1"/>
    <s v="Liner, Hub"/>
    <s v="Pump, Dredge (Port)*Dredge Pump (Port)*Liner, Hub"/>
    <n v="0"/>
    <s v="5234C-00-0028G"/>
    <s v="GIW"/>
    <n v="2"/>
  </r>
  <r>
    <s v="0212"/>
    <x v="20"/>
    <n v="62400004155"/>
    <s v="Pump, Dredge (Port)*Dredge Pump (Port)*Shaft Seal Assembly*Stuffing Box &quot;Shaft Seal Assembly&quot;"/>
    <x v="82"/>
    <s v="Y"/>
    <n v="1"/>
    <s v="Stuffing Box &quot;Shaft Seal Assembly&quot;"/>
    <s v="Pump, Dredge (Port)*Dredge Pump (Port)*Shaft Seal Assembly*Stuffing Box &quot;Shaft Seal Assembly&quot;"/>
    <n v="0"/>
    <s v="6547C-29-0000A"/>
    <s v="GIW"/>
    <n v="2"/>
  </r>
  <r>
    <s v="0212"/>
    <x v="20"/>
    <n v="62400004185"/>
    <s v="Pump, Dredge (Port)*Dredge Pump (Port)*Shaft Seal Assembly*Housing, Stuffing Box (Split)"/>
    <x v="82"/>
    <s v="Y"/>
    <n v="2"/>
    <s v="Housing, Stuffing Box (Split)"/>
    <s v="Pump, Dredge (Port)*Dredge Pump (Port)*Shaft Seal Assembly*Housing, Stuffing Box (Split)"/>
    <n v="0"/>
    <s v="5256C-00-0P40C"/>
    <s v="GIW"/>
    <n v="2"/>
  </r>
  <r>
    <s v="0212"/>
    <x v="20"/>
    <n v="62400004186"/>
    <s v="Pump, Dredge (Port)*Dredge Pump (Port)*Shaft Seal Assembly*Gland (Split)"/>
    <x v="82"/>
    <s v="Y"/>
    <n v="2"/>
    <s v="Gland (Split)"/>
    <s v="Pump, Dredge (Port)*Dredge Pump (Port)*Shaft Seal Assembly*Gland (Split)"/>
    <n v="1"/>
    <s v="5032C-00-0065D"/>
    <s v="GIW"/>
    <n v="2"/>
  </r>
  <r>
    <s v="0212"/>
    <x v="20"/>
    <n v="62400004199"/>
    <s v="Pump, Dredge (Port)*Dredge Pump (Port)*Shaft Seal Assembly*Nut, 3/4&quot; H.S."/>
    <x v="82"/>
    <s v="Y"/>
    <n v="2"/>
    <s v="Nut, 3/4&quot; H.S."/>
    <s v="Pump, Dredge (Port)*Dredge Pump (Port)*Shaft Seal Assembly*Nut, 3/4&quot; H.S."/>
    <n v="0"/>
    <s v="9706P-03-35STP"/>
    <s v="GIW"/>
    <n v="2"/>
  </r>
  <r>
    <s v="0212"/>
    <x v="20"/>
    <n v="62400004208"/>
    <s v="Pump, Dredge (Port)*Dredge Pump (Port)*Shaft Seal Assembly*Gasket (Special)"/>
    <x v="82"/>
    <s v="Y"/>
    <n v="2"/>
    <s v="Gasket (Special)"/>
    <s v="Pump, Dredge (Port)*Dredge Pump (Port)*Shaft Seal Assembly*Gasket (Special)"/>
    <n v="0"/>
    <s v="4336C-00-03MIP"/>
    <s v="GIW"/>
    <n v="2"/>
  </r>
  <r>
    <s v="0212"/>
    <x v="20"/>
    <n v="62400004442"/>
    <s v="Piping (Dredge)*Discharge expansion joint*Expansion Joint/ Hose, Discharge"/>
    <x v="80"/>
    <s v="Y"/>
    <n v="1"/>
    <s v="Expansion Joint/ Hose, Discharge"/>
    <s v="Piping (Dredge)*Discharge expansion joint*Expansion Joint/ Hose, Discharge"/>
    <n v="0"/>
    <s v="147-09-29038"/>
    <s v="GLDD DWG"/>
    <n v="1"/>
  </r>
  <r>
    <s v="0212"/>
    <x v="20"/>
    <n v="62400004463"/>
    <s v="Pump, Dredge (Port)*Dredge Pump Engine Port (EMD 645)*UNDER REVIEW*mrg-?Bridge, Exhaust Vlv, Utex"/>
    <x v="82"/>
    <s v="Y"/>
    <n v="4"/>
    <s v="mrg-?Bridge, Exhaust Vlv, Utex"/>
    <s v="Pump, Dredge (Port)*Dredge Pump Engine Port (EMD 645)*UNDER REVIEW*mrg-?Bridge, Exhaust Vlv, Utex"/>
    <n v="2"/>
    <s v="2-40145929 UX"/>
    <s v="EMD"/>
    <n v="2"/>
  </r>
  <r>
    <s v="0212"/>
    <x v="20"/>
    <n v="62400004594"/>
    <s v="Pump, Dredge (Port)*Dredge Pump (Port)*Shaft Seal Assembly*Impeller Release Ring Kit"/>
    <x v="82"/>
    <s v="Y"/>
    <n v="1"/>
    <s v="Impeller Release Ring Kit"/>
    <s v="Pump, Dredge (Port)*Dredge Pump (Port)*Shaft Seal Assembly*Impeller Release Ring Kit"/>
    <n v="1"/>
    <s v="0916X-00-0000K"/>
    <s v="GIW"/>
    <n v="2"/>
  </r>
  <r>
    <s v="0212"/>
    <x v="20"/>
    <n v="62400004595"/>
    <s v="Pump, Dredge (Port)*Dredge Pump (Port)*Shaft Seal Assembly*Kit, Shaft Sleeve"/>
    <x v="82"/>
    <s v="Y"/>
    <n v="2"/>
    <s v="Kit, Shaft Sleeve"/>
    <s v="Pump, Dredge (Port)*Dredge Pump (Port)*Shaft Seal Assembly*Kit, Shaft Sleeve"/>
    <n v="1"/>
    <s v="9749P-44-0000K"/>
    <s v="GIW"/>
    <n v="2"/>
  </r>
  <r>
    <s v="0212"/>
    <x v="20"/>
    <n v="62400004669"/>
    <s v="Production Instrumentation/Monitoring*Flowmeter, Gland Pump System*Flowmeter, Gland Seal System"/>
    <x v="75"/>
    <s v="Y"/>
    <n v="1"/>
    <s v="Flowmeter, Gland Seal System"/>
    <s v="Production Instrumentation/Monitoring*Flowmeter, Gland Pump System*Flowmeter, Gland Seal System"/>
    <n v="0"/>
    <s v="Enviromag 2300C"/>
    <s v="KROHNE USA"/>
    <n v="1"/>
  </r>
  <r>
    <s v="0212"/>
    <x v="20"/>
    <n v="62400007352"/>
    <s v="Pump, Dredge (Port)*Pump Bearing Assembly (Port)*Seal, Pump End"/>
    <x v="82"/>
    <s v="Y"/>
    <n v="2"/>
    <s v="Seal, Pump End"/>
    <s v="Pump, Dredge (Port)*Pump Bearing Assembly (Port)*Seal, Pump End"/>
    <n v="0"/>
    <s v="7734P-25-16RUP"/>
    <s v="GIW"/>
    <n v="2"/>
  </r>
  <r>
    <s v="0212"/>
    <x v="20"/>
    <n v="62400007353"/>
    <s v="Pump, Dredge (Port)*Pump Bearing Assembly (Port)*Seal, Engine End"/>
    <x v="82"/>
    <s v="Y"/>
    <n v="2"/>
    <s v="Seal, Engine End"/>
    <s v="Pump, Dredge (Port)*Pump Bearing Assembly (Port)*Seal, Engine End"/>
    <n v="0"/>
    <s v="7734P-09-16RUP"/>
    <s v="GIW"/>
    <n v="2"/>
  </r>
  <r>
    <s v="0212"/>
    <x v="20"/>
    <n v="62400008018"/>
    <s v="Gland Seal*Gland Seal Pump Set (Port)*Gaskets, O-Ring"/>
    <x v="67"/>
    <s v="Y"/>
    <n v="2"/>
    <s v="Gaskets, O-Ring"/>
    <s v="Gland Seal*Gland Seal Pump Set (Port)*Gaskets, O-Ring"/>
    <n v="0"/>
    <s v="HE 568-237"/>
    <s v="HAGLER SYSTEMS"/>
    <n v="3"/>
  </r>
  <r>
    <s v="0212"/>
    <x v="20"/>
    <n v="63600000101"/>
    <s v="Electrical*Automation*Speed Control*Control Module, Auto Start"/>
    <x v="61"/>
    <s v="Y"/>
    <n v="1"/>
    <s v="Control Module, Auto Start"/>
    <s v="Electrical*Automation*Speed Control*Control Module, Auto Start"/>
    <n v="0"/>
    <s v="7310-005-32 MKII"/>
    <s v="Deep Sea Electronics"/>
    <n v="1"/>
  </r>
  <r>
    <s v="0212"/>
    <x v="20"/>
    <n v="63600000286"/>
    <s v="Pump, Dredge (Port)*Dredge Pump Engine Port (EMD 645)*Water Pumps (WP1-WP2)*Water Pump, Right Bank (L20-645 Turbo) U"/>
    <x v="82"/>
    <s v="Y"/>
    <n v="1"/>
    <s v="Water Pump, Right Bank (L20-645 Turbo) U"/>
    <s v="Pump, Dredge (Port)*Dredge Pump Engine Port (EMD 645)*Water Pumps (WP1-WP2)*Water Pump, Right Bank (L20-645 Turbo) U"/>
    <n v="0"/>
    <s v="40179631UX"/>
    <s v="EMD"/>
    <n v="2"/>
  </r>
  <r>
    <s v="0212"/>
    <x v="20"/>
    <n v="63600000287"/>
    <s v="Pump, Dredge (Port)*Dredge Pump Engine Port (EMD 645)*Water Pumps (WP1-WP2)*Water Pump, Left Bank (L20-645 Turbo)U"/>
    <x v="82"/>
    <s v="Y"/>
    <n v="1"/>
    <s v="Water Pump, Left Bank (L20-645 Turbo)U"/>
    <s v="Pump, Dredge (Port)*Dredge Pump Engine Port (EMD 645)*Water Pumps (WP1-WP2)*Water Pump, Left Bank (L20-645 Turbo)U"/>
    <n v="0"/>
    <s v="40179630UX"/>
    <s v="EMD"/>
    <n v="2"/>
  </r>
  <r>
    <s v="0212"/>
    <x v="20"/>
    <n v="66200001116"/>
    <s v="Generators*Main Genset (Stbd)*Generator STBD (Newage Stamford)*Regulator, Voltage, VR6"/>
    <x v="4"/>
    <s v="Y"/>
    <n v="1"/>
    <s v="Regulator, Voltage, VR6"/>
    <s v="Generators*Main Genset (Stbd)*Generator STBD (Newage Stamford)*Regulator, Voltage, VR6"/>
    <n v="1"/>
    <s v="365-2076"/>
    <s v="Caterpillar"/>
    <n v="1"/>
  </r>
  <r>
    <s v="0212"/>
    <x v="20"/>
    <n v="66200001428"/>
    <s v="Pump, Dredge (Port)*Dredge Pump Gearbox (LH)*Filter Element"/>
    <x v="82"/>
    <s v="Y"/>
    <n v="2"/>
    <s v="Filter Element"/>
    <s v="Pump, Dredge (Port)*Dredge Pump Gearbox (LH)*Filter Element"/>
    <n v="0"/>
    <s v="25DNZ25V"/>
    <s v="Schroeder"/>
    <n v="2"/>
  </r>
  <r>
    <s v="0212"/>
    <x v="20"/>
    <n v="66200001452"/>
    <s v="Pump, Dredge (Port)*Dredge Pump Gearbox (LH)*Breather filter"/>
    <x v="82"/>
    <s v="Y"/>
    <n v="1"/>
    <s v="Breather filter"/>
    <s v="Pump, Dredge (Port)*Dredge Pump Gearbox (LH)*Breather filter"/>
    <n v="0"/>
    <m/>
    <m/>
    <n v="2"/>
  </r>
  <r>
    <s v="0212"/>
    <x v="20"/>
    <n v="66200001638"/>
    <s v="Generators*Main Genset (Port)*Generator Port*Toggle Switch"/>
    <x v="4"/>
    <s v="Y"/>
    <n v="1"/>
    <s v="Toggle Switch"/>
    <s v="Generators*Main Genset (Port)*Generator Port*Toggle Switch"/>
    <n v="0"/>
    <s v="SS627-BG"/>
    <s v="Selecta"/>
    <n v="1"/>
  </r>
  <r>
    <s v="0212"/>
    <x v="20"/>
    <n v="66200001980"/>
    <s v="Pump, Dredge (Port)*Dredge Pump Gearbox (LH)*Flow Switch, Universal Flow"/>
    <x v="82"/>
    <s v="Y"/>
    <n v="1"/>
    <s v="Flow Switch, Universal Flow"/>
    <s v="Pump, Dredge (Port)*Dredge Pump Gearbox (LH)*Flow Switch, Universal Flow"/>
    <n v="0"/>
    <s v="100272047"/>
    <s v="LUFKIN"/>
    <n v="2"/>
  </r>
  <r>
    <s v="0212"/>
    <x v="20"/>
    <n v="66200001981"/>
    <s v="Pump, Dredge (Port)*Dredge Pump Gearbox (LH)*Relief Valve, FulFlo, 1/2&quot; NPT"/>
    <x v="82"/>
    <s v="Y"/>
    <n v="1"/>
    <s v="Relief Valve, FulFlo, 1/2&quot; NPT"/>
    <s v="Pump, Dredge (Port)*Dredge Pump Gearbox (LH)*Relief Valve, FulFlo, 1/2&quot; NPT"/>
    <n v="0"/>
    <s v="E7075900"/>
    <s v="LUFKIN"/>
    <n v="2"/>
  </r>
  <r>
    <s v="0212"/>
    <x v="20"/>
    <n v="66200001983"/>
    <s v="Pump, Dredge (Port)*Dredge Pump Gearbox (LH)*Pressure Switch, AB 836"/>
    <x v="82"/>
    <s v="Y"/>
    <n v="1"/>
    <s v="Pressure Switch, AB 836"/>
    <s v="Pump, Dredge (Port)*Dredge Pump Gearbox (LH)*Pressure Switch, AB 836"/>
    <n v="0"/>
    <s v="E7076096"/>
    <s v="LUFKIN"/>
    <n v="2"/>
  </r>
  <r>
    <s v="0212"/>
    <x v="20"/>
    <n v="66200001984"/>
    <s v="Pump, Dredge (Port)*Dredge Pump Gearbox (LH)*Pressure Switch, AB 837"/>
    <x v="82"/>
    <s v="Y"/>
    <n v="1"/>
    <s v="Pressure Switch, AB 837"/>
    <s v="Pump, Dredge (Port)*Dredge Pump Gearbox (LH)*Pressure Switch, AB 837"/>
    <n v="0"/>
    <s v="E7076094"/>
    <s v="LUFKIN"/>
    <n v="2"/>
  </r>
  <r>
    <s v="0212"/>
    <x v="20"/>
    <n v="66200001997"/>
    <s v="Pump, Dredge (Port)*Dredge Pump Gearbox (LH)*Seal, Lip Type"/>
    <x v="82"/>
    <s v="Y"/>
    <n v="2"/>
    <s v="Seal, Lip Type"/>
    <s v="Pump, Dredge (Port)*Dredge Pump Gearbox (LH)*Seal, Lip Type"/>
    <n v="0"/>
    <s v="E9020816"/>
    <s v="LUFKIN"/>
    <n v="2"/>
  </r>
  <r>
    <s v="0212"/>
    <x v="20"/>
    <n v="66200001998"/>
    <s v="Pump, Dredge (Port)*Dredge Pump Gearbox (LH)*Seal, Lip Type"/>
    <x v="82"/>
    <s v="Y"/>
    <n v="2"/>
    <s v="Seal, Lip Type"/>
    <s v="Pump, Dredge (Port)*Dredge Pump Gearbox (LH)*Seal, Lip Type"/>
    <n v="0"/>
    <s v="E9030957"/>
    <s v="LUFKIN"/>
    <n v="2"/>
  </r>
  <r>
    <s v="0212"/>
    <x v="20"/>
    <n v="66200001999"/>
    <s v="Pump, Dredge (Port)*Dredge Pump Gearbox (LH)*Seal, Rotor"/>
    <x v="82"/>
    <s v="Y"/>
    <n v="2"/>
    <s v="Seal, Rotor"/>
    <s v="Pump, Dredge (Port)*Dredge Pump Gearbox (LH)*Seal, Rotor"/>
    <n v="0"/>
    <s v="100272337"/>
    <s v="LUFKIN"/>
    <n v="2"/>
  </r>
  <r>
    <s v="0212"/>
    <x v="20"/>
    <n v="66200004533"/>
    <s v="Generators*Main Genset (Stbd)*Generator STBD (Newage Stamford)*Relay, Eleven Pin, 24V"/>
    <x v="4"/>
    <s v="Y"/>
    <n v="1"/>
    <s v="Relay, Eleven Pin, 24V"/>
    <s v="Generators*Main Genset (Stbd)*Generator STBD (Newage Stamford)*Relay, Eleven Pin, 24V"/>
    <n v="0"/>
    <s v="RR 3 B-U DC24V"/>
    <s v="Idec"/>
    <n v="1"/>
  </r>
  <r>
    <s v="0212"/>
    <x v="20"/>
    <n v="66200004534"/>
    <s v="Generators*Main Genset (Stbd)*Generator STBD (Newage Stamford)*Block, Relay"/>
    <x v="4"/>
    <s v="Y"/>
    <n v="1"/>
    <s v="Block, Relay"/>
    <s v="Generators*Main Genset (Stbd)*Generator STBD (Newage Stamford)*Block, Relay"/>
    <n v="0"/>
    <s v="SR3B-05"/>
    <s v="Idec"/>
    <n v="1"/>
  </r>
  <r>
    <s v="0212"/>
    <x v="20"/>
    <n v="66200005026"/>
    <s v="Compressed Air*Air Compressor Set (#2)*Compressor (#2)*V-Belt"/>
    <x v="79"/>
    <s v="Y"/>
    <n v="1"/>
    <s v="V-Belt"/>
    <s v="Compressed Air*Air Compressor Set (#2)*Compressor (#2)*V-Belt"/>
    <n v="6"/>
    <s v="5L860"/>
    <s v="NAPA"/>
    <n v="2"/>
  </r>
  <r>
    <s v="0212"/>
    <x v="20"/>
    <n v="66200005441"/>
    <s v="Electrical*Motor Control Centers*Motor Starter, Magnetic (Pre-Lube Pump)"/>
    <x v="61"/>
    <s v="Y"/>
    <n v="1"/>
    <s v="Motor Starter, Magnetic (Pre-Lube Pump)"/>
    <s v="Electrical*Motor Control Centers*Motor Starter, Magnetic (Pre-Lube Pump)"/>
    <n v="1"/>
    <s v="8536SAG12V02S"/>
    <s v="Square D"/>
    <n v="1"/>
  </r>
  <r>
    <s v="0212"/>
    <x v="20"/>
    <n v="66200005629"/>
    <s v="Pump, Dredge (Port)*Dredge Pump (Port)*Hardware &amp; Gaskets*O-Ring, Outer"/>
    <x v="82"/>
    <s v="Y"/>
    <n v="2"/>
    <s v="O-Ring, Outer"/>
    <s v="Pump, Dredge (Port)*Dredge Pump (Port)*Hardware &amp; Gaskets*O-Ring, Outer"/>
    <n v="4"/>
    <s v="7719P-40-04RUP"/>
    <s v="GIW"/>
    <n v="2"/>
  </r>
  <r>
    <s v="0212"/>
    <x v="20"/>
    <n v="66200005630"/>
    <s v="Pump, Dredge (Port)*Dredge Pump (Port)*Hardware &amp; Gaskets*O-Ring, Inner"/>
    <x v="82"/>
    <s v="Y"/>
    <n v="2"/>
    <s v="O-Ring, Inner"/>
    <s v="Pump, Dredge (Port)*Dredge Pump (Port)*Hardware &amp; Gaskets*O-Ring, Inner"/>
    <n v="0"/>
    <s v="7719P-32-04RUP"/>
    <s v="GIW"/>
    <n v="2"/>
  </r>
  <r>
    <s v="0212"/>
    <x v="20"/>
    <n v="66200005899"/>
    <s v="Gland Seal*Gland Seal Pump Set (Port)*Valve Kit, (Fluild End)"/>
    <x v="67"/>
    <s v="Y"/>
    <n v="2"/>
    <s v="Valve Kit, (Fluild End)"/>
    <s v="Gland Seal*Gland Seal Pump Set (Port)*Valve Kit, (Fluild End)"/>
    <n v="3"/>
    <s v="D35K52GCCEC"/>
    <s v="HAGLER SYSTEMS"/>
    <n v="3"/>
  </r>
  <r>
    <s v="0212"/>
    <x v="20"/>
    <n v="66200006116"/>
    <s v="Piping (Dredge)*Cleanout (Hagler)*Stud, Mounting"/>
    <x v="80"/>
    <s v="Y"/>
    <n v="24"/>
    <s v="Stud, Mounting"/>
    <s v="Piping (Dredge)*Cleanout (Hagler)*Stud, Mounting"/>
    <n v="24"/>
    <s v="1018418-AS-01"/>
    <s v="Hagler"/>
    <n v="1"/>
  </r>
  <r>
    <s v="0212"/>
    <x v="20"/>
    <n v="66200006121"/>
    <s v="Piping (Dredge)*Cleanout (Hagler)*Hinge Pin Assy, OD 1.250"/>
    <x v="80"/>
    <s v="Y"/>
    <n v="1"/>
    <s v="Hinge Pin Assy, OD 1.250"/>
    <s v="Piping (Dredge)*Cleanout (Hagler)*Hinge Pin Assy, OD 1.250"/>
    <n v="2"/>
    <s v="1009678"/>
    <s v="Hagler"/>
    <n v="1"/>
  </r>
  <r>
    <s v="0212"/>
    <x v="20"/>
    <n v="66200006128"/>
    <s v="Piping (Dredge)*Cleanout (Hagler)*Swing Bolt, 1.250-7 UNC, LG 12.000"/>
    <x v="80"/>
    <s v="Y"/>
    <n v="2"/>
    <s v="Swing Bolt, 1.250-7 UNC, LG 12.000"/>
    <s v="Piping (Dredge)*Cleanout (Hagler)*Swing Bolt, 1.250-7 UNC, LG 12.000"/>
    <n v="4"/>
    <s v="1009564"/>
    <s v="Hagler"/>
    <n v="1"/>
  </r>
  <r>
    <s v="0212"/>
    <x v="20"/>
    <n v="66200006170"/>
    <s v="Piping (Dredge)*Cleanout (Hagler)*Seal, Cleanout,0.500, LG 90.250"/>
    <x v="80"/>
    <s v="Y"/>
    <n v="2"/>
    <s v="Seal, Cleanout,0.500, LG 90.250"/>
    <s v="Piping (Dredge)*Cleanout (Hagler)*Seal, Cleanout,0.500, LG 90.250"/>
    <n v="0"/>
    <s v="1008690"/>
    <s v="Hagler"/>
    <n v="1"/>
  </r>
  <r>
    <s v="0212"/>
    <x v="20"/>
    <n v="66200007232"/>
    <s v="Pump, Dredge (Port)*Dredge Pump Gearbox (LH)*Pump, Oil"/>
    <x v="82"/>
    <s v="Y"/>
    <n v="1"/>
    <s v="Pump, Oil"/>
    <s v="Pump, Dredge (Port)*Dredge Pump Gearbox (LH)*Pump, Oil"/>
    <n v="0"/>
    <s v="C3EHC-143"/>
    <s v="DELAVAL"/>
    <n v="2"/>
  </r>
  <r>
    <s v="0212"/>
    <x v="20"/>
    <n v="66200007296"/>
    <s v="Mooring/Anchor Handling*Anchor Winch*Motor*Motor, 100 Hp"/>
    <x v="106"/>
    <s v="Y"/>
    <n v="1"/>
    <s v="Motor, 100 Hp"/>
    <s v="Mooring/Anchor Handling*Anchor Winch*Motor*Motor, 100 Hp"/>
    <n v="0"/>
    <m/>
    <m/>
    <n v="1"/>
  </r>
  <r>
    <s v="0212"/>
    <x v="20"/>
    <n v="66200007386"/>
    <s v="Gland Seal*Gland Seal Pump Set (Port)*Screw, Cap, Hex-Hd 140mm"/>
    <x v="67"/>
    <s v="Y"/>
    <n v="12"/>
    <s v="Screw, Cap, Hex-Hd 140mm"/>
    <s v="Gland Seal*Gland Seal Pump Set (Port)*Screw, Cap, Hex-Hd 140mm"/>
    <n v="0"/>
    <s v="G35-024-2010"/>
    <s v="Hydra Cell"/>
    <n v="3"/>
  </r>
  <r>
    <s v="0212"/>
    <x v="20"/>
    <n v="66200007387"/>
    <s v="Gland Seal*Gland Seal Pump Set (Port)*Nut, Hex-Hd Cap Screw"/>
    <x v="67"/>
    <s v="Y"/>
    <n v="12"/>
    <s v="Nut, Hex-Hd Cap Screw"/>
    <s v="Gland Seal*Gland Seal Pump Set (Port)*Nut, Hex-Hd Cap Screw"/>
    <n v="0"/>
    <s v="G35-028-2010"/>
    <s v="Hydra Cell"/>
    <n v="3"/>
  </r>
  <r>
    <s v="0212"/>
    <x v="20"/>
    <n v="66200007388"/>
    <s v="Gland Seal*Gland Seal Pump Set (Port)*Washer, Hex-Hd Cap Screw Flat"/>
    <x v="67"/>
    <s v="Y"/>
    <n v="36"/>
    <s v="Washer, Hex-Hd Cap Screw Flat"/>
    <s v="Gland Seal*Gland Seal Pump Set (Port)*Washer, Hex-Hd Cap Screw Flat"/>
    <n v="0"/>
    <s v="D40-048-2010"/>
    <s v="Hydra Cell"/>
    <n v="3"/>
  </r>
  <r>
    <s v="0212"/>
    <x v="20"/>
    <n v="66200008062"/>
    <s v="Pump, Dredge (Port)*Dredge Pump Gearbox (LH)*Gasket, Item #0021"/>
    <x v="82"/>
    <s v="Y"/>
    <n v="2"/>
    <s v="Gasket, Item #0021"/>
    <s v="Pump, Dredge (Port)*Dredge Pump Gearbox (LH)*Gasket, Item #0021"/>
    <n v="0"/>
    <s v="AP152178"/>
    <s v="LUFKIN"/>
    <n v="2"/>
  </r>
  <r>
    <s v="0212"/>
    <x v="20"/>
    <n v="66200008985"/>
    <s v="Hydraulic System*HPU (Bypass Valve) (2-Valve)*Housing, Filter"/>
    <x v="87"/>
    <s v="Y"/>
    <n v="1"/>
    <s v="Housing, Filter"/>
    <s v="Hydraulic System*HPU (Bypass Valve) (2-Valve)*Housing, Filter"/>
    <n v="0"/>
    <s v="TEF 426 10VG S P FS 7"/>
    <s v="Eaton"/>
    <n v="1"/>
  </r>
  <r>
    <s v="0212"/>
    <x v="20"/>
    <n v="66200009415"/>
    <s v="Pump, Dredge (Port)*Pump Bearing Assembly (Port)*Coupling, Atra-Flex*Bolt Kit, Drive Ring"/>
    <x v="82"/>
    <s v="Y"/>
    <n v="3"/>
    <s v="Bolt Kit, Drive Ring"/>
    <s v="Pump, Dredge (Port)*Pump Bearing Assembly (Port)*Coupling, Atra-Flex*Bolt Kit, Drive Ring"/>
    <n v="1"/>
    <s v="T10 BK"/>
    <s v="Atra-Flex"/>
    <n v="1"/>
  </r>
  <r>
    <s v="0212"/>
    <x v="20"/>
    <n v="66200009419"/>
    <s v="Pump, Dredge (Port)*Pump Bearing Assembly (Port)*Coupling, Atra-Flex*Bolt Kit, Reverse Drive Ring"/>
    <x v="82"/>
    <s v="Y"/>
    <n v="3"/>
    <s v="Bolt Kit, Reverse Drive Ring"/>
    <s v="Pump, Dredge (Port)*Pump Bearing Assembly (Port)*Coupling, Atra-Flex*Bolt Kit, Reverse Drive Ring"/>
    <n v="0"/>
    <s v="T10 BKS"/>
    <s v="Atra-Flex"/>
    <n v="1"/>
  </r>
  <r>
    <s v="0212"/>
    <x v="20"/>
    <n v="66200009425"/>
    <s v="Pump, Dredge (Stbd)*Pump Bearing Assembly (Stbd)*Coupling, Atra Flex*Bolt Kit, Drive Ring"/>
    <x v="99"/>
    <s v="Y"/>
    <n v="3"/>
    <s v="Bolt Kit, Drive Ring"/>
    <s v="Pump, Dredge (Stbd)*Pump Bearing Assembly (Stbd)*Coupling, Atra Flex*Bolt Kit, Drive Ring"/>
    <n v="1"/>
    <s v="T10 BK"/>
    <s v="Atra-Flex"/>
    <n v="1"/>
  </r>
  <r>
    <s v="0212"/>
    <x v="20"/>
    <n v="66200009426"/>
    <s v="Pump, Dredge (Stbd)*Pump Bearing Assembly (Stbd)*Coupling, Atra Flex*Bolt Kit, Reverse Drive Ring"/>
    <x v="99"/>
    <s v="Y"/>
    <n v="3"/>
    <s v="Bolt Kit, Reverse Drive Ring"/>
    <s v="Pump, Dredge (Stbd)*Pump Bearing Assembly (Stbd)*Coupling, Atra Flex*Bolt Kit, Reverse Drive Ring"/>
    <n v="0"/>
    <s v="T10 BKS"/>
    <s v="Atra-Flex"/>
    <n v="1"/>
  </r>
  <r>
    <s v="0212"/>
    <x v="20"/>
    <n v="66200010975"/>
    <s v="Compressed Air*Air Compressor Set (#2)*Compressor (#2)*O-Ring, Viton"/>
    <x v="79"/>
    <s v="Y"/>
    <n v="1"/>
    <s v="O-Ring, Viton"/>
    <s v="Compressed Air*Air Compressor Set (#2)*Compressor (#2)*O-Ring, Viton"/>
    <n v="0"/>
    <s v="22749-152"/>
    <s v="QUINCY"/>
    <n v="2"/>
  </r>
  <r>
    <s v="0212"/>
    <x v="20"/>
    <n v="66200010977"/>
    <s v="Compressed Air*Air Compressor Set (#2)*Compressor (#2)*Pump, Oil"/>
    <x v="79"/>
    <s v="Y"/>
    <n v="1"/>
    <s v="Pump, Oil"/>
    <s v="Compressed Air*Air Compressor Set (#2)*Compressor (#2)*Pump, Oil"/>
    <n v="0"/>
    <s v="160003"/>
    <s v="QUINCY"/>
    <n v="2"/>
  </r>
  <r>
    <s v="0212"/>
    <x v="20"/>
    <n v="66200010978"/>
    <s v="Compressed Air*Air Compressor Set (#2)*Compressor (#2)*Drive Shaft, Oil Pump"/>
    <x v="79"/>
    <s v="Y"/>
    <n v="1"/>
    <s v="Drive Shaft, Oil Pump"/>
    <s v="Compressed Air*Air Compressor Set (#2)*Compressor (#2)*Drive Shaft, Oil Pump"/>
    <n v="0"/>
    <s v="2024200201"/>
    <s v="QUINCY"/>
    <n v="2"/>
  </r>
  <r>
    <s v="0212"/>
    <x v="20"/>
    <n v="66200010982"/>
    <s v="Compressed Air*Air Compressor Set (#2)*Compressor (#2)*O-Ring, Viton"/>
    <x v="79"/>
    <s v="Y"/>
    <n v="1"/>
    <s v="O-Ring, Viton"/>
    <s v="Compressed Air*Air Compressor Set (#2)*Compressor (#2)*O-Ring, Viton"/>
    <n v="0"/>
    <s v="22749-011"/>
    <s v="QUINCY"/>
    <n v="2"/>
  </r>
  <r>
    <s v="0212"/>
    <x v="20"/>
    <n v="66200010992"/>
    <s v="Compressed Air*Air Compressor Set (#2)*Compressor (#2)*Gauge, Oil Pressure"/>
    <x v="79"/>
    <s v="Y"/>
    <n v="1"/>
    <s v="Gauge, Oil Pressure"/>
    <s v="Compressed Air*Air Compressor Set (#2)*Compressor (#2)*Gauge, Oil Pressure"/>
    <n v="0"/>
    <s v="110822"/>
    <s v="QUINCY"/>
    <n v="2"/>
  </r>
  <r>
    <s v="0212"/>
    <x v="20"/>
    <n v="66200011440"/>
    <s v="Pump, Dredge (Port)*Dredge Pump Engine Port (EMD 645)*Pre-Lube Pump*Switch, Oil Pressure"/>
    <x v="82"/>
    <s v="Y"/>
    <n v="1"/>
    <s v="Switch, Oil Pressure"/>
    <s v="Pump, Dredge (Port)*Dredge Pump Engine Port (EMD 645)*Pre-Lube Pump*Switch, Oil Pressure"/>
    <n v="0"/>
    <s v="E1H-H90-F2"/>
    <s v="Barksdale Control Products"/>
    <n v="2"/>
  </r>
  <r>
    <s v="0212"/>
    <x v="20"/>
    <n v="66200012123"/>
    <s v="Pump, Dredge (Port)*Dredge Pump Engine Port (EMD 645)*Pre-Lube Pump*Contact Relay, Phonix"/>
    <x v="82"/>
    <s v="Y"/>
    <n v="1"/>
    <s v="Contact Relay, Phonix"/>
    <s v="Pump, Dredge (Port)*Dredge Pump Engine Port (EMD 645)*Pre-Lube Pump*Contact Relay, Phonix"/>
    <n v="0"/>
    <m/>
    <m/>
    <n v="2"/>
  </r>
  <r>
    <s v="0212"/>
    <x v="20"/>
    <n v="66200012124"/>
    <s v="Pump, Dredge (Port)*Dredge Pump Engine Port (EMD 645)*Pre-Lube Pump*PC Relay Module 4P 24V"/>
    <x v="82"/>
    <s v="Y"/>
    <n v="1"/>
    <s v="PC Relay Module 4P 24V"/>
    <s v="Pump, Dredge (Port)*Dredge Pump Engine Port (EMD 645)*Pre-Lube Pump*PC Relay Module 4P 24V"/>
    <n v="0"/>
    <m/>
    <m/>
    <n v="2"/>
  </r>
  <r>
    <s v="0214"/>
    <x v="21"/>
    <n v="8556"/>
    <s v="Pump, Dredge*Dredge Pump*Stuffing  Box (D/P)*Impeller Release Ring Kit (11.5&quot; Hub)"/>
    <x v="63"/>
    <s v="Y"/>
    <n v="1"/>
    <s v="Impeller Release Ring Kit (11.5&quot; Hub)"/>
    <s v="Pump, Dredge*Dredge Pump*Stuffing  Box (D/P)*Impeller Release Ring Kit (11.5&quot; Hub)"/>
    <n v="1"/>
    <s v="0919X (11.5&quot; Hub)"/>
    <s v="GIW"/>
    <n v="1"/>
  </r>
  <r>
    <s v="0214"/>
    <x v="21"/>
    <n v="9410"/>
    <s v="Pump, Dredge*Dredge Pump Gearbox*Shaft, Input (2nd Shaft)*Seal, Oil (Split) (Garlock)"/>
    <x v="63"/>
    <s v="Y"/>
    <n v="2"/>
    <s v="Seal, Oil (Split) (Garlock)"/>
    <s v="Pump, Dredge*Dredge Pump Gearbox*Shaft, Input (2nd Shaft)*Seal, Oil (Split) (Garlock)"/>
    <n v="6"/>
    <s v="23X3949"/>
    <s v="Garlock"/>
    <n v="1"/>
  </r>
  <r>
    <s v="0214"/>
    <x v="21"/>
    <n v="9547"/>
    <s v="Pump, Dredge*Dredge Pump*Hardware &amp; Gaskets*O-Ring, Hub Liner-Plate"/>
    <x v="63"/>
    <s v="Y"/>
    <n v="1"/>
    <s v="O-Ring, Hub Liner-Plate"/>
    <s v="Pump, Dredge*Dredge Pump*Hardware &amp; Gaskets*O-Ring, Hub Liner-Plate"/>
    <n v="1"/>
    <s v="7718P-11"/>
    <s v="GIW"/>
    <n v="1"/>
  </r>
  <r>
    <s v="0214"/>
    <x v="21"/>
    <n v="9548"/>
    <s v="Pump, Dredge*Dredge Pump*Hardware &amp; Gaskets*O-Ring, Shaft Sleeve"/>
    <x v="63"/>
    <s v="Y"/>
    <n v="1"/>
    <s v="O-Ring, Shaft Sleeve"/>
    <s v="Pump, Dredge*Dredge Pump*Hardware &amp; Gaskets*O-Ring, Shaft Sleeve"/>
    <n v="5"/>
    <s v="7710P-47"/>
    <s v="GIW"/>
    <n v="1"/>
  </r>
  <r>
    <s v="0214"/>
    <x v="21"/>
    <n v="9670"/>
    <s v="Lube Oil Transfer*Waste Oil Pump*PUMP, WASTE OIL*Coupling, 1&quot;"/>
    <x v="86"/>
    <s v="Y"/>
    <n v="1"/>
    <s v="Coupling, 1&quot;"/>
    <s v="Lube Oil Transfer*Waste Oil Pump*PUMP, WASTE OIL*Coupling, 1&quot;"/>
    <n v="0"/>
    <s v="L110"/>
    <s v="LOVE JOY"/>
    <n v="1"/>
  </r>
  <r>
    <s v="0214"/>
    <x v="21"/>
    <n v="9671"/>
    <s v="Fuel Oil Transfer*Fuel Pump*Pump, Fuel"/>
    <x v="81"/>
    <s v="Y"/>
    <n v="1"/>
    <s v="Pump, Fuel"/>
    <s v="Fuel Oil Transfer*Fuel Pump*Pump, Fuel"/>
    <n v="0"/>
    <s v="GHS2NM3-B0009"/>
    <s v="GORMANN RUPP"/>
    <n v="1"/>
  </r>
  <r>
    <s v="0214"/>
    <x v="21"/>
    <n v="9676"/>
    <s v="Gland Seal*Gland Seal Pump (Stbd)*Motor, (100 HP)*Motor, 100 HP"/>
    <x v="67"/>
    <s v="Y"/>
    <n v="1"/>
    <s v="Motor, 100 HP"/>
    <s v="Gland Seal*Gland Seal Pump (Stbd)*Motor, (100 HP)*Motor, 100 HP"/>
    <n v="0"/>
    <m/>
    <m/>
    <n v="2"/>
  </r>
  <r>
    <s v="0214"/>
    <x v="21"/>
    <n v="9678"/>
    <s v="Gland Seal*Gland Seal Pump (Port)*Motor, (100 HP)*Coupling*Cover, Grid Assembly"/>
    <x v="67"/>
    <s v="Y"/>
    <n v="1"/>
    <s v="Cover, Grid Assembly"/>
    <s v="Gland Seal*Gland Seal Pump (Port)*Motor, (100 HP)*Coupling*Cover, Grid Assembly"/>
    <n v="3"/>
    <s v="0775807"/>
    <s v="Falk"/>
    <n v="2"/>
  </r>
  <r>
    <s v="0214"/>
    <x v="21"/>
    <n v="9680"/>
    <s v="Gland Seal*Gland Seal Pump (Port)*Motor, (100 HP)*Coupling*Spacer Hub"/>
    <x v="67"/>
    <s v="Y"/>
    <n v="1"/>
    <s v="Spacer Hub"/>
    <s v="Gland Seal*Gland Seal Pump (Port)*Motor, (100 HP)*Coupling*Spacer Hub"/>
    <n v="1"/>
    <s v="0744097"/>
    <s v="Falk"/>
    <n v="2"/>
  </r>
  <r>
    <s v="0214"/>
    <x v="21"/>
    <n v="9681"/>
    <s v="Gland Seal*Gland Seal Pump (Port)*Motor, (100 HP)*Coupling*Hub, 1.875 BORE"/>
    <x v="67"/>
    <s v="Y"/>
    <n v="1"/>
    <s v="Hub, 1.875 BORE"/>
    <s v="Gland Seal*Gland Seal Pump (Port)*Motor, (100 HP)*Coupling*Hub, 1.875 BORE"/>
    <n v="0"/>
    <s v="0704621"/>
    <s v="Falk"/>
    <n v="2"/>
  </r>
  <r>
    <s v="0214"/>
    <x v="21"/>
    <n v="9939"/>
    <s v="Pump, Dredge*Shafting*Pump Bearing Assembly (D/P)*Oil Circulating Pump*Pump, Oil Circulating"/>
    <x v="63"/>
    <s v="Y"/>
    <n v="1"/>
    <s v="Pump, Oil Circulating"/>
    <s v="Pump, Dredge*Shafting*Pump Bearing Assembly (D/P)*Oil Circulating Pump*Pump, Oil Circulating"/>
    <n v="0"/>
    <s v="A3DB-118"/>
    <s v="IMO"/>
    <n v="1"/>
  </r>
  <r>
    <s v="0214"/>
    <x v="21"/>
    <n v="9940"/>
    <s v="Pump, Dredge*Shafting*Pump Bearing Assembly (D/P)*Oil Circulating Pump*Motor, Oil Circulating Pump, 2 Hp"/>
    <x v="63"/>
    <s v="Y"/>
    <n v="1"/>
    <s v="Motor, Oil Circulating Pump, 2 Hp"/>
    <s v="Pump, Dredge*Shafting*Pump Bearing Assembly (D/P)*Oil Circulating Pump*Motor, Oil Circulating Pump, 2 Hp"/>
    <n v="2"/>
    <s v="C145T17FB2D"/>
    <s v="LEESON"/>
    <n v="1"/>
  </r>
  <r>
    <s v="0214"/>
    <x v="21"/>
    <n v="9941"/>
    <s v="Pump, Dredge*Dredge Pump Engine (EMD 645)*Govenor*Governor"/>
    <x v="63"/>
    <s v="Y"/>
    <n v="1"/>
    <s v="Governor"/>
    <s v="Pump, Dredge*Dredge Pump Engine (EMD 645)*Govenor*Governor"/>
    <n v="0"/>
    <s v="8250-939"/>
    <s v="GERHARDTS"/>
    <n v="1"/>
  </r>
  <r>
    <s v="0214"/>
    <x v="21"/>
    <n v="9943"/>
    <s v="Lube Oil Transfer*Lube Oil Transfer Pump*Pump, L/O Transfer"/>
    <x v="86"/>
    <s v="Y"/>
    <n v="1"/>
    <s v="Pump, L/O Transfer"/>
    <s v="Lube Oil Transfer*Lube Oil Transfer Pump*Pump, L/O Transfer"/>
    <n v="1"/>
    <s v="H32"/>
    <s v="VIKING MARINE SOUTH, INC."/>
    <n v="1"/>
  </r>
  <r>
    <s v="0214"/>
    <x v="21"/>
    <n v="9944"/>
    <s v="Lube Oil Transfer*Lube Oil Transfer Pump*Pump, L/O Transfer*MOTOR, 1 HP"/>
    <x v="86"/>
    <s v="Y"/>
    <n v="1"/>
    <s v="MOTOR, 1 HP"/>
    <s v="Lube Oil Transfer*Lube Oil Transfer Pump*Pump, L/O Transfer*MOTOR, 1 HP"/>
    <n v="0"/>
    <s v="M3556"/>
    <s v="Baldor"/>
    <n v="1"/>
  </r>
  <r>
    <s v="0214"/>
    <x v="21"/>
    <n v="9987"/>
    <s v="Spud System*Jacking System*Jacking Mechanism*Valve (V-02)"/>
    <x v="73"/>
    <s v="Y"/>
    <n v="2"/>
    <s v="Valve (V-02)"/>
    <s v="Spud System*Jacking System*Jacking Mechanism*Valve (V-02)"/>
    <n v="4"/>
    <s v="P52935-3"/>
    <s v="WABCO"/>
    <n v="1"/>
  </r>
  <r>
    <s v="0214"/>
    <x v="21"/>
    <n v="9991"/>
    <s v="Spud System*Jacking System*Jacking Mechanism*Valve (V-06)"/>
    <x v="73"/>
    <s v="Y"/>
    <n v="2"/>
    <s v="Valve (V-06)"/>
    <s v="Spud System*Jacking System*Jacking Mechanism*Valve (V-06)"/>
    <n v="5"/>
    <s v="JR-250-D"/>
    <s v="GENERANT"/>
    <n v="1"/>
  </r>
  <r>
    <s v="0214"/>
    <x v="21"/>
    <n v="9993"/>
    <s v="Spud System*Jacking System*Jacking Mechanism*Valve (V-08)"/>
    <x v="73"/>
    <s v="Y"/>
    <n v="2"/>
    <s v="Valve (V-08)"/>
    <s v="Spud System*Jacking System*Jacking Mechanism*Valve (V-08)"/>
    <n v="1"/>
    <s v="R431008230"/>
    <s v="Bosch Rexroth"/>
    <n v="1"/>
  </r>
  <r>
    <s v="0214"/>
    <x v="21"/>
    <n v="9994"/>
    <s v="Spud System*Jacking System*Jacking Mechanism*Valve (V-09)"/>
    <x v="73"/>
    <s v="Y"/>
    <n v="2"/>
    <s v="Valve (V-09)"/>
    <s v="Spud System*Jacking System*Jacking Mechanism*Valve (V-09)"/>
    <n v="7"/>
    <s v="PD4-32-12-12"/>
    <s v="WABCO"/>
    <n v="1"/>
  </r>
  <r>
    <s v="0214"/>
    <x v="21"/>
    <n v="12256"/>
    <s v="Pump, Dredge*Shafting*Pump Bearing Assembly (D/P)*Seal, Oil, Pump End (Item 21)"/>
    <x v="63"/>
    <s v="Y"/>
    <n v="1"/>
    <s v="Seal, Oil, Pump End (Item 21)"/>
    <s v="Pump, Dredge*Shafting*Pump Bearing Assembly (D/P)*Seal, Oil, Pump End (Item 21)"/>
    <n v="6"/>
    <s v="23X4178"/>
    <s v="MOTION IND."/>
    <n v="1"/>
  </r>
  <r>
    <s v="0214"/>
    <x v="21"/>
    <n v="12257"/>
    <s v="Pump, Dredge*Shafting*Pump Bearing Assembly (D/P)*Seal, Oil, Engine End (Item 30)"/>
    <x v="63"/>
    <s v="Y"/>
    <n v="1"/>
    <s v="Seal, Oil, Engine End (Item 30)"/>
    <s v="Pump, Dredge*Shafting*Pump Bearing Assembly (D/P)*Seal, Oil, Engine End (Item 30)"/>
    <n v="4"/>
    <s v="23 X 4080"/>
    <s v="Garlock"/>
    <n v="1"/>
  </r>
  <r>
    <s v="0214"/>
    <x v="21"/>
    <n v="13958"/>
    <s v="Gland Seal*Gland Seal Pump (Stbd)*Gland Seal Pump Set (#1), Complete*Coupling (1060T35)"/>
    <x v="67"/>
    <s v="Y"/>
    <n v="1"/>
    <s v="Coupling (1060T35)"/>
    <s v="Gland Seal*Gland Seal Pump (Stbd)*Gland Seal Pump Set (#1), Complete*Coupling (1060T35)"/>
    <n v="1"/>
    <s v="1060T35"/>
    <s v="Falk"/>
    <n v="1"/>
  </r>
  <r>
    <s v="0214"/>
    <x v="21"/>
    <n v="13961"/>
    <s v="Gland Seal*Gland Seal Pump (Stbd)*Gland Seal Pump Set (#1), Complete*Coupling (1060T35)*Hub, Motor End"/>
    <x v="67"/>
    <s v="Y"/>
    <n v="1"/>
    <s v="Hub, Motor End"/>
    <s v="Gland Seal*Gland Seal Pump (Stbd)*Gland Seal Pump Set (#1), Complete*Coupling (1060T35)*Hub, Motor End"/>
    <n v="0"/>
    <s v="0713016"/>
    <s v="Motion Industries"/>
    <n v="1"/>
  </r>
  <r>
    <s v="0214"/>
    <x v="21"/>
    <n v="13962"/>
    <s v="Gland Seal*Gland Seal Pump (Stbd)*Gland Seal Pump Set (#1), Complete*Coupling (1060T35)*Hub, Pump End"/>
    <x v="67"/>
    <s v="Y"/>
    <n v="1"/>
    <s v="Hub, Pump End"/>
    <s v="Gland Seal*Gland Seal Pump (Stbd)*Gland Seal Pump Set (#1), Complete*Coupling (1060T35)*Hub, Pump End"/>
    <n v="0"/>
    <s v="1060T35"/>
    <s v="Motion Industries"/>
    <n v="1"/>
  </r>
  <r>
    <s v="0214"/>
    <x v="21"/>
    <n v="13963"/>
    <s v="Gland Seal*Gland Seal Pump (Stbd)*Gland Seal Pump Set (#1), Complete*Coupling (1060T35)*Spacer"/>
    <x v="67"/>
    <s v="Y"/>
    <n v="1"/>
    <s v="Spacer"/>
    <s v="Gland Seal*Gland Seal Pump (Stbd)*Gland Seal Pump Set (#1), Complete*Coupling (1060T35)*Spacer"/>
    <n v="1"/>
    <s v="0765755"/>
    <s v="Motion Industries"/>
    <n v="1"/>
  </r>
  <r>
    <s v="0214"/>
    <x v="21"/>
    <n v="14263"/>
    <s v="Pump, Dredge*Dredge Pump Gearbox*Clutch (32VC1000)*Valve, Air Control, 120 VAC"/>
    <x v="63"/>
    <s v="Y"/>
    <n v="1"/>
    <s v="Valve, Air Control, 120 VAC"/>
    <s v="Pump, Dredge*Dredge Pump Gearbox*Clutch (32VC1000)*Valve, Air Control, 120 VAC"/>
    <n v="0"/>
    <s v="8316G064-120/VAC"/>
    <s v="STEINER ELECTRIC"/>
    <n v="1"/>
  </r>
  <r>
    <s v="0214"/>
    <x v="21"/>
    <n v="15454"/>
    <s v="Gland Seal*Gland Seal Pump (Stbd)*Gland Seal Pump Set (#1), Complete*Back Pullout Unit, 3196 LTX"/>
    <x v="67"/>
    <s v="Y"/>
    <n v="1"/>
    <s v="Back Pullout Unit, 3196 LTX"/>
    <s v="Gland Seal*Gland Seal Pump (Stbd)*Gland Seal Pump Set (#1), Complete*Back Pullout Unit, 3196 LTX"/>
    <n v="0"/>
    <s v="769F266BKPO"/>
    <s v="Goulds"/>
    <n v="1"/>
  </r>
  <r>
    <s v="0214"/>
    <x v="21"/>
    <n v="17048"/>
    <s v="Gland Seal*Gland Seal Pump (Stbd)*Impeller, CD4, 13&quot; Full"/>
    <x v="67"/>
    <s v="Y"/>
    <n v="1"/>
    <s v="Impeller, CD4, 13&quot; Full"/>
    <s v="Gland Seal*Gland Seal Pump (Stbd)*Impeller, CD4, 13&quot; Full"/>
    <n v="1"/>
    <s v="0104-146  21203"/>
    <s v="Goulds"/>
    <n v="1"/>
  </r>
  <r>
    <s v="0214"/>
    <x v="21"/>
    <n v="19095"/>
    <s v="Lube Oil Transfer*Pre Lube Pump*Pre Lube Pump"/>
    <x v="86"/>
    <s v="Y"/>
    <n v="1"/>
    <s v="Pre Lube Pump"/>
    <s v="Lube Oil Transfer*Pre Lube Pump*Pre Lube Pump"/>
    <n v="1"/>
    <s v="9322399"/>
    <s v="EMD"/>
    <n v="1"/>
  </r>
  <r>
    <s v="0214"/>
    <x v="21"/>
    <n v="19096"/>
    <s v="Lube Oil Transfer*Pre Lube Pump*Pre Lube Pump*Motor, 1 HP"/>
    <x v="86"/>
    <s v="Y"/>
    <n v="1"/>
    <s v="Motor, 1 HP"/>
    <s v="Lube Oil Transfer*Pre Lube Pump*Pre Lube Pump*Motor, 1 HP"/>
    <n v="0"/>
    <s v="9331765"/>
    <s v="EMD"/>
    <n v="1"/>
  </r>
  <r>
    <s v="0214"/>
    <x v="21"/>
    <n v="19097"/>
    <s v="Pump, Dredge*Dredge Pump Gearbox*Lube System*Filter"/>
    <x v="63"/>
    <s v="Y"/>
    <n v="1"/>
    <s v="Filter"/>
    <s v="Pump, Dredge*Dredge Pump Gearbox*Lube System*Filter"/>
    <n v="0"/>
    <s v="980-15"/>
    <s v="Kaydon-Bowser"/>
    <n v="1"/>
  </r>
  <r>
    <s v="0214"/>
    <x v="21"/>
    <n v="19710"/>
    <s v="Lube Oil Transfer*Pre Lube Pump*Pre Lube Pump*Coupling"/>
    <x v="86"/>
    <s v="Y"/>
    <n v="1"/>
    <s v="Coupling"/>
    <s v="Lube Oil Transfer*Pre Lube Pump*Pre Lube Pump*Coupling"/>
    <n v="0"/>
    <s v="8274508"/>
    <s v="EMD"/>
    <n v="1"/>
  </r>
  <r>
    <s v="0214"/>
    <x v="21"/>
    <n v="24891"/>
    <s v="Pump, Dredge*Shafting*Pump Bearing Assembly (D/P)*Coupling (Falk)*Grid, Falk 1210T10 Coupling,"/>
    <x v="63"/>
    <s v="Y"/>
    <n v="1"/>
    <s v="Grid, Falk 1210T10 Coupling,"/>
    <s v="Pump, Dredge*Shafting*Pump Bearing Assembly (D/P)*Coupling (Falk)*Grid, Falk 1210T10 Coupling,"/>
    <n v="0"/>
    <s v="1210T10"/>
    <s v="Falk"/>
    <n v="1"/>
  </r>
  <r>
    <s v="0214"/>
    <x v="21"/>
    <n v="25237"/>
    <s v="Pump, Dredge*Shafting*Pump Bearing Assembly (D/P)*Oil Cooler*Heat Exchanger (Oil)"/>
    <x v="63"/>
    <s v="Y"/>
    <n v="1"/>
    <s v="Heat Exchanger (Oil)"/>
    <s v="Pump, Dredge*Shafting*Pump Bearing Assembly (D/P)*Oil Cooler*Heat Exchanger (Oil)"/>
    <n v="1"/>
    <s v="BE EAB-1202-B4-SP-CNT-S"/>
    <s v="American Industrial"/>
    <n v="1"/>
  </r>
  <r>
    <s v="0214"/>
    <x v="21"/>
    <n v="29849"/>
    <s v="Piping (Dredge)*Victaulic Coupling, (36&quot;)*Gasket, Victaulic Coupling"/>
    <x v="80"/>
    <s v="Y"/>
    <n v="1"/>
    <s v="Gasket, Victaulic Coupling"/>
    <s v="Piping (Dredge)*Victaulic Coupling, (36&quot;)*Gasket, Victaulic Coupling"/>
    <n v="1"/>
    <s v="SF22662"/>
    <s v="TOWNLEY"/>
    <n v="1"/>
  </r>
  <r>
    <s v="0214"/>
    <x v="21"/>
    <n v="30794"/>
    <s v="Electrical*Automation*PLC (Allen Bradley)*SLC 1746 - OX8 Isolated Relay Output"/>
    <x v="61"/>
    <s v="Y"/>
    <n v="1"/>
    <s v="SLC 1746 - OX8 Isolated Relay Output"/>
    <s v="Electrical*Automation*PLC (Allen Bradley)*SLC 1746 - OX8 Isolated Relay Output"/>
    <n v="0"/>
    <s v="1746-OX8"/>
    <s v="Allen-Bradley"/>
    <n v="1"/>
  </r>
  <r>
    <s v="0214"/>
    <x v="21"/>
    <n v="31451"/>
    <s v="Gland Seal*Gland Seal Pump (Stbd)*Gland Seal Pump Set (#1), Complete*Coupling (1060T35)*Cover, 1060T35 Coupling"/>
    <x v="67"/>
    <s v="Y"/>
    <n v="1"/>
    <s v="Cover, 1060T35 Coupling"/>
    <s v="Gland Seal*Gland Seal Pump (Stbd)*Gland Seal Pump Set (#1), Complete*Coupling (1060T35)*Cover, 1060T35 Coupling"/>
    <n v="0"/>
    <s v="1060T35"/>
    <s v="Motion Industries"/>
    <n v="1"/>
  </r>
  <r>
    <s v="0214"/>
    <x v="21"/>
    <n v="31452"/>
    <s v="Gland Seal*Gland Seal Pump (Stbd)*Gland Seal Pump Set (#1), Complete*Coupling (1060T35)*Grid, 1060T35 Coupling"/>
    <x v="67"/>
    <s v="Y"/>
    <n v="1"/>
    <s v="Grid, 1060T35 Coupling"/>
    <s v="Gland Seal*Gland Seal Pump (Stbd)*Gland Seal Pump Set (#1), Complete*Coupling (1060T35)*Grid, 1060T35 Coupling"/>
    <n v="1"/>
    <s v="1060T35"/>
    <s v="Motion Industries"/>
    <n v="1"/>
  </r>
  <r>
    <s v="0214"/>
    <x v="21"/>
    <n v="32236"/>
    <s v="Pump, Dredge*Dredge Pump Gearbox*Clutch (32VC1000)*Clutch (Complete Assembly)"/>
    <x v="63"/>
    <s v="Y"/>
    <n v="1"/>
    <s v="Clutch (Complete Assembly)"/>
    <s v="Pump, Dredge*Dredge Pump Gearbox*Clutch (32VC1000)*Clutch (Complete Assembly)"/>
    <n v="1"/>
    <s v="988456"/>
    <s v="EATON AIRFLEX"/>
    <n v="1"/>
  </r>
  <r>
    <s v="0214"/>
    <x v="21"/>
    <n v="35207"/>
    <s v="Pump, Dredge*Dredge Pump Gearbox*Lube System*OIL PUMP AND MOTOR ASSEMBLY*Motor, 5 Hp"/>
    <x v="63"/>
    <s v="Y"/>
    <n v="1"/>
    <s v="Motor, 5 Hp"/>
    <s v="Pump, Dredge*Dredge Pump Gearbox*Lube System*OIL PUMP AND MOTOR ASSEMBLY*Motor, 5 Hp"/>
    <n v="0"/>
    <s v="5K254QPA8DA7A"/>
    <s v="General Electric"/>
    <n v="1"/>
  </r>
  <r>
    <s v="0214"/>
    <x v="21"/>
    <n v="40204"/>
    <s v="Generators*Main Genset (Stbd)*Generator Engine (Stbd) (CAT 3408)*Alternator"/>
    <x v="4"/>
    <s v="Y"/>
    <n v="1"/>
    <s v="Alternator"/>
    <s v="Generators*Main Genset (Stbd)*Generator Engine (Stbd) (CAT 3408)*Alternator"/>
    <n v="1"/>
    <s v="6T-1395"/>
    <s v="Caterpillar"/>
    <n v="1"/>
  </r>
  <r>
    <s v="0214"/>
    <x v="21"/>
    <n v="40205"/>
    <s v="Generators*Main Genset (Stbd)*Generator Engine (Stbd) (CAT 3408)*Alternator*Rod, Adjusting"/>
    <x v="4"/>
    <s v="Y"/>
    <n v="1"/>
    <s v="Rod, Adjusting"/>
    <s v="Generators*Main Genset (Stbd)*Generator Engine (Stbd) (CAT 3408)*Alternator*Rod, Adjusting"/>
    <n v="0"/>
    <s v="15-4585"/>
    <s v="Caterpillar"/>
    <n v="1"/>
  </r>
  <r>
    <s v="0214"/>
    <x v="21"/>
    <n v="44215"/>
    <s v="Electrical*Automation*Sensors*Sensor, Rack Position"/>
    <x v="61"/>
    <s v="Y"/>
    <n v="1"/>
    <s v="Sensor, Rack Position"/>
    <s v="Electrical*Automation*Sensors*Sensor, Rack Position"/>
    <n v="0"/>
    <s v="LWX150-002-1"/>
    <s v="NOVOTECKNIC"/>
    <n v="1"/>
  </r>
  <r>
    <s v="0214"/>
    <x v="21"/>
    <n v="49704"/>
    <s v="Electrical*Automation*Speed Control*Speed Controller, 701A"/>
    <x v="61"/>
    <s v="Y"/>
    <n v="1"/>
    <s v="Speed Controller, 701A"/>
    <s v="Electrical*Automation*Speed Control*Speed Controller, 701A"/>
    <n v="0"/>
    <s v="8280-192"/>
    <s v="Woodward"/>
    <n v="1"/>
  </r>
  <r>
    <s v="0214"/>
    <x v="21"/>
    <n v="49710"/>
    <s v="Electrical*Automation*Speed Control*Magnetic Pick Up"/>
    <x v="61"/>
    <s v="Y"/>
    <n v="1"/>
    <s v="Magnetic Pick Up"/>
    <s v="Electrical*Automation*Speed Control*Magnetic Pick Up"/>
    <n v="0"/>
    <s v="5430-933"/>
    <s v="Woodward"/>
    <n v="1"/>
  </r>
  <r>
    <s v="0214"/>
    <x v="21"/>
    <n v="50075"/>
    <s v="Gland Seal*Gland Seal Pump (Stbd)*Gland Seal Pump Set (#1), Complete*Coupling (1060T35)*Grid Spring Assembly"/>
    <x v="67"/>
    <s v="Y"/>
    <n v="1"/>
    <s v="Grid Spring Assembly"/>
    <s v="Gland Seal*Gland Seal Pump (Stbd)*Gland Seal Pump Set (#1), Complete*Coupling (1060T35)*Grid Spring Assembly"/>
    <n v="1"/>
    <s v="1060T35"/>
    <s v="Falk"/>
    <n v="1"/>
  </r>
  <r>
    <s v="0214"/>
    <x v="21"/>
    <n v="56399"/>
    <s v="Gland Seal*Gland Seal Pump (Stbd)*Gland Seal Pump Set (#1), Complete*Packing Set"/>
    <x v="67"/>
    <s v="Y"/>
    <n v="2"/>
    <s v="Packing Set"/>
    <s v="Gland Seal*Gland Seal Pump (Stbd)*Gland Seal Pump Set (#1), Complete*Packing Set"/>
    <n v="13"/>
    <s v="A01081A07"/>
    <s v="Goulds"/>
    <n v="1"/>
  </r>
  <r>
    <s v="0214"/>
    <x v="21"/>
    <n v="57477"/>
    <s v="Pump, Dredge*Dredge Pump Gearbox*Lube System*Oiler, Sight Feed"/>
    <x v="63"/>
    <s v="Y"/>
    <n v="1"/>
    <s v="Oiler, Sight Feed"/>
    <s v="Pump, Dredge*Dredge Pump Gearbox*Lube System*Oiler, Sight Feed"/>
    <n v="0"/>
    <s v="X-4081-G4"/>
    <s v="HORSBURGH &amp; SCOTT"/>
    <n v="1"/>
  </r>
  <r>
    <s v="0214"/>
    <x v="21"/>
    <n v="57651"/>
    <s v="Generators*Main Genset (Port)*Generator Engine Port (CAT 3406)*Alternator, 24 Volt, 45 Amp"/>
    <x v="4"/>
    <s v="Y"/>
    <n v="1"/>
    <s v="Alternator, 24 Volt, 45 Amp"/>
    <s v="Generators*Main Genset (Port)*Generator Engine Port (CAT 3406)*Alternator, 24 Volt, 45 Amp"/>
    <n v="1"/>
    <s v="OR-2698"/>
    <s v="Caterpillar"/>
    <n v="1"/>
  </r>
  <r>
    <s v="0214"/>
    <x v="21"/>
    <n v="7500000194"/>
    <s v="Pump, Dredge*Dredge Pump Engine (EMD 645)*Starting System*Valve, Air Start, Two Way*mrg-Solenoid, Used For Air Starters"/>
    <x v="63"/>
    <s v="Y"/>
    <n v="1"/>
    <s v="mrg-Solenoid, Used For Air Starters"/>
    <s v="Pump, Dredge*Dredge Pump Engine (EMD 645)*Starting System*Valve, Air Start, Two Way*mrg-Solenoid, Used For Air Starters"/>
    <n v="1"/>
    <s v="712-000"/>
    <s v="SALEM"/>
    <n v="1"/>
  </r>
  <r>
    <s v="0214"/>
    <x v="21"/>
    <n v="7500000545"/>
    <s v="Gland Seal*Gland Seal Pump (Stbd)*Gland Seal Pump Set (#1), Complete*Expansion Joint"/>
    <x v="67"/>
    <s v="Y"/>
    <n v="1"/>
    <s v="Expansion Joint"/>
    <s v="Gland Seal*Gland Seal Pump (Stbd)*Gland Seal Pump Set (#1), Complete*Expansion Joint"/>
    <n v="2"/>
    <s v="4528K54"/>
    <s v="MCMASTER CARR"/>
    <n v="1"/>
  </r>
  <r>
    <s v="0214"/>
    <x v="21"/>
    <n v="8800000588"/>
    <s v="Generators*Main Genset (Stbd)*Generator Engine (Stbd) (CAT 3408)*Starter, 24 V"/>
    <x v="4"/>
    <s v="Y"/>
    <n v="1"/>
    <s v="Starter, 24 V"/>
    <s v="Generators*Main Genset (Stbd)*Generator Engine (Stbd) (CAT 3408)*Starter, 24 V"/>
    <n v="2"/>
    <s v="10R-1852"/>
    <s v="Caterpillar"/>
    <n v="1"/>
  </r>
  <r>
    <s v="0214"/>
    <x v="21"/>
    <n v="11500002921"/>
    <s v="Pump, Dredge*Dredge Pump*Hardware &amp; Gaskets*x-O-Ring, Inner Liner, DO NOT IN USE"/>
    <x v="63"/>
    <s v="Y"/>
    <n v="1"/>
    <s v="x-O-Ring, Inner Liner, DO NOT IN USE"/>
    <s v="Pump, Dredge*Dredge Pump*Hardware &amp; Gaskets*x-O-Ring, Inner Liner, DO NOT IN USE"/>
    <n v="0"/>
    <s v="7719P-19"/>
    <s v="MPMW Dwg "/>
    <n v="1"/>
  </r>
  <r>
    <s v="0214"/>
    <x v="21"/>
    <n v="11500002926"/>
    <s v="Pump, Dredge*Dredge Pump*Hardware &amp; Gaskets*O-Ring, Outer Liner O.D."/>
    <x v="63"/>
    <s v="Y"/>
    <n v="1"/>
    <s v="O-Ring, Outer Liner O.D."/>
    <s v="Pump, Dredge*Dredge Pump*Hardware &amp; Gaskets*O-Ring, Outer Liner O.D."/>
    <n v="0"/>
    <s v="7719P-20"/>
    <s v="MPMW Dwg "/>
    <n v="1"/>
  </r>
  <r>
    <s v="0214"/>
    <x v="21"/>
    <n v="11500002927"/>
    <s v="Pump, Dredge*Dredge Pump*Hardware &amp; Gaskets*O-Ring, Back Door O.D."/>
    <x v="63"/>
    <s v="Y"/>
    <n v="1"/>
    <s v="O-Ring, Back Door O.D."/>
    <s v="Pump, Dredge*Dredge Pump*Hardware &amp; Gaskets*O-Ring, Back Door O.D."/>
    <n v="2"/>
    <s v="7739P-03"/>
    <s v="MPMW Dwg "/>
    <n v="1"/>
  </r>
  <r>
    <s v="0214"/>
    <x v="21"/>
    <n v="11500002928"/>
    <s v="Pump, Dredge*Dredge Pump*Hardware &amp; Gaskets*O-Ring, Back Door I.D."/>
    <x v="63"/>
    <s v="Y"/>
    <n v="1"/>
    <s v="O-Ring, Back Door I.D."/>
    <s v="Pump, Dredge*Dredge Pump*Hardware &amp; Gaskets*O-Ring, Back Door I.D."/>
    <n v="1"/>
    <s v="7743P-01"/>
    <s v="MPMW Dwg "/>
    <n v="1"/>
  </r>
  <r>
    <s v="0214"/>
    <x v="21"/>
    <n v="13200002629"/>
    <s v="Pump, Dredge*Dredge Pump Gearbox*Clutch (32VC1000)*Tube, Air Connection"/>
    <x v="63"/>
    <s v="Y"/>
    <n v="1"/>
    <s v="Tube, Air Connection"/>
    <s v="Pump, Dredge*Dredge Pump Gearbox*Clutch (32VC1000)*Tube, Air Connection"/>
    <n v="0"/>
    <s v="412178-05"/>
    <s v="BRAKE SUPPLY"/>
    <n v="1"/>
  </r>
  <r>
    <s v="0214"/>
    <x v="21"/>
    <n v="14400000081"/>
    <s v="Pump, Dredge*Dredge Pump Engine (EMD 645)*Starting System*Valve, Air Start, Two Way"/>
    <x v="63"/>
    <s v="Y"/>
    <n v="1"/>
    <s v="Valve, Air Start, Two Way"/>
    <s v="Pump, Dredge*Dredge Pump Engine (EMD 645)*Starting System*Valve, Air Start, Two Way"/>
    <n v="0"/>
    <s v="8393335"/>
    <s v="EMD (MSI)"/>
    <n v="1"/>
  </r>
  <r>
    <s v="0214"/>
    <x v="21"/>
    <n v="14500000426"/>
    <s v="Pump, Dredge*Dredge Pump Engine (EMD 645)*Lube Oil Scavenging Pump (SP2)*Lube Oil Scavenging Pump (20-645)"/>
    <x v="63"/>
    <s v="Y"/>
    <n v="1"/>
    <s v="Lube Oil Scavenging Pump (20-645)"/>
    <s v="Pump, Dredge*Dredge Pump Engine (EMD 645)*Lube Oil Scavenging Pump (SP2)*Lube Oil Scavenging Pump (20-645)"/>
    <n v="1"/>
    <s v="8417074"/>
    <s v="EMD (MSI)"/>
    <n v="1"/>
  </r>
  <r>
    <s v="0214"/>
    <x v="21"/>
    <n v="14500002209"/>
    <s v="Pump, Dredge*Dredge Pump*Stuffing  Box (D/P)*Lantern Ring, Gathane (Split)"/>
    <x v="63"/>
    <s v="Y"/>
    <n v="1"/>
    <s v="Lantern Ring, Gathane (Split)"/>
    <s v="Pump, Dredge*Dredge Pump*Stuffing  Box (D/P)*Lantern Ring, Gathane (Split)"/>
    <n v="0"/>
    <s v="618-0365A-00-03GAT"/>
    <s v="GIW"/>
    <n v="1"/>
  </r>
  <r>
    <s v="0214"/>
    <x v="21"/>
    <n v="14500002333"/>
    <s v="Pump, Dredge*Dredge Pump*Stuffing  Box (D/P)*Stuffing Box, Complete (11.5&quot;)"/>
    <x v="63"/>
    <s v="Y"/>
    <n v="1"/>
    <s v="Stuffing Box, Complete (11.5&quot;)"/>
    <s v="Pump, Dredge*Dredge Pump*Stuffing  Box (D/P)*Stuffing Box, Complete (11.5&quot;)"/>
    <n v="1"/>
    <s v="6560C-00-0P40C"/>
    <s v="GIW"/>
    <n v="1"/>
  </r>
  <r>
    <s v="0214"/>
    <x v="21"/>
    <n v="14500002735"/>
    <s v="Pump, Dredge*Dredge Pump*Stuffing  Box (D/P)*Packing Gland"/>
    <x v="63"/>
    <s v="Y"/>
    <n v="1"/>
    <s v="Packing Gland"/>
    <s v="Pump, Dredge*Dredge Pump*Stuffing  Box (D/P)*Packing Gland"/>
    <n v="0"/>
    <s v="0865C-04"/>
    <s v="GIW"/>
    <n v="1"/>
  </r>
  <r>
    <s v="0214"/>
    <x v="21"/>
    <n v="14500002739"/>
    <s v="Pump, Dredge*Dredge Pump*Stuffing  Box (D/P)*Packing Gland*Stud, Packing Gland, (Stainless Steel)"/>
    <x v="63"/>
    <s v="Y"/>
    <n v="2"/>
    <s v="Stud, Packing Gland, (Stainless Steel)"/>
    <s v="Pump, Dredge*Dredge Pump*Stuffing  Box (D/P)*Packing Gland*Stud, Packing Gland, (Stainless Steel)"/>
    <n v="0"/>
    <s v="9760P-26"/>
    <s v="GIW"/>
    <n v="1"/>
  </r>
  <r>
    <s v="0214"/>
    <x v="21"/>
    <n v="23500000062"/>
    <s v="Pump, Dredge*Dredge Pump*Stuffing  Box (D/P)*Sleeve, Shaft, D/P 11.5&quot;"/>
    <x v="63"/>
    <s v="Y"/>
    <n v="1"/>
    <s v="Sleeve, Shaft, D/P 11.5&quot;"/>
    <s v="Pump, Dredge*Dredge Pump*Stuffing  Box (D/P)*Sleeve, Shaft, D/P 11.5&quot;"/>
    <n v="1"/>
    <s v="8213D"/>
    <s v="GIW"/>
    <n v="1"/>
  </r>
  <r>
    <s v="0214"/>
    <x v="21"/>
    <n v="27900002276"/>
    <s v="Pump, Dredge*Dredge Pump Engine (EMD 645)*Crankcase/Oil Pan/Block*Switch, Crankcase Pressure"/>
    <x v="63"/>
    <s v="Y"/>
    <n v="1"/>
    <s v="Switch, Crankcase Pressure"/>
    <s v="Pump, Dredge*Dredge Pump Engine (EMD 645)*Crankcase/Oil Pan/Block*Switch, Crankcase Pressure"/>
    <n v="0"/>
    <s v="8362040"/>
    <s v="EMD (MSI)"/>
    <n v="1"/>
  </r>
  <r>
    <s v="0214"/>
    <x v="21"/>
    <n v="45000001286"/>
    <s v="Generators*Main Genset (Port)*Generator Engine Port (CAT 3406)*Fan, Radiator"/>
    <x v="4"/>
    <s v="Y"/>
    <n v="1"/>
    <s v="Fan, Radiator"/>
    <s v="Generators*Main Genset (Port)*Generator Engine Port (CAT 3406)*Fan, Radiator"/>
    <n v="0"/>
    <s v="1421931"/>
    <s v="Caterpillar"/>
    <n v="1"/>
  </r>
  <r>
    <s v="0214"/>
    <x v="21"/>
    <n v="45000001287"/>
    <s v="Generators*Main Genset (Port)*Generator Engine Port (CAT 3406)*Belt Set, Fan, Radiator (3-Belts)"/>
    <x v="4"/>
    <s v="Y"/>
    <n v="1"/>
    <s v="Belt Set, Fan, Radiator (3-Belts)"/>
    <s v="Generators*Main Genset (Port)*Generator Engine Port (CAT 3406)*Belt Set, Fan, Radiator (3-Belts)"/>
    <n v="0"/>
    <s v="6N6656"/>
    <s v="Caterpillar"/>
    <n v="1"/>
  </r>
  <r>
    <s v="0214"/>
    <x v="21"/>
    <n v="45000002183"/>
    <s v="Gland Seal*Gland Seal Pump (Stbd)*Gland Seal Pump Set (#1), Complete*Gasket, Casing"/>
    <x v="67"/>
    <s v="Y"/>
    <n v="1"/>
    <s v="Gasket, Casing"/>
    <s v="Gland Seal*Gland Seal Pump (Stbd)*Gland Seal Pump Set (#1), Complete*Gasket, Casing"/>
    <n v="2"/>
    <s v="Item "/>
    <s v="Goulds"/>
    <n v="1"/>
  </r>
  <r>
    <s v="0214"/>
    <x v="21"/>
    <n v="45000006703"/>
    <s v="Gland Seal*Gland Seal Pump (Stbd)*Gland Seal Pump Set (#1), Complete*Bearing, Thrust"/>
    <x v="67"/>
    <s v="Y"/>
    <n v="1"/>
    <s v="Bearing, Thrust"/>
    <s v="Gland Seal*Gland Seal Pump (Stbd)*Gland Seal Pump Set (#1), Complete*Bearing, Thrust"/>
    <n v="0"/>
    <s v="R8057 0 1029"/>
    <s v="Goulds"/>
    <n v="1"/>
  </r>
  <r>
    <s v="0214"/>
    <x v="21"/>
    <n v="45000006704"/>
    <s v="Gland Seal*Gland Seal Pump (Stbd)*Gland Seal Pump Set (#1), Complete*Bearing, Radial"/>
    <x v="67"/>
    <s v="Y"/>
    <n v="1"/>
    <s v="Bearing, Radial"/>
    <s v="Gland Seal*Gland Seal Pump (Stbd)*Gland Seal Pump Set (#1), Complete*Bearing, Radial"/>
    <n v="2"/>
    <s v="8050-31160"/>
    <s v="Goulds"/>
    <n v="1"/>
  </r>
  <r>
    <s v="0214"/>
    <x v="21"/>
    <n v="45000009196"/>
    <s v="Electrical*Automation*PLC (Allen Bradley)*SLC 1747 - L552 Processor"/>
    <x v="61"/>
    <s v="Y"/>
    <n v="1"/>
    <s v="SLC 1747 - L552 Processor"/>
    <s v="Electrical*Automation*PLC (Allen Bradley)*SLC 1747 - L552 Processor"/>
    <n v="0"/>
    <s v="1747-L552"/>
    <s v="ALLEN-BRADLEY"/>
    <n v="1"/>
  </r>
  <r>
    <s v="0214"/>
    <x v="21"/>
    <n v="45000011653"/>
    <s v="Generators*Main Genset (Stbd)*Generator Engine (Stbd) (CAT 3408)*Hose, Fuel (188 CM)"/>
    <x v="4"/>
    <s v="Y"/>
    <n v="1"/>
    <s v="Hose, Fuel (188 CM)"/>
    <s v="Generators*Main Genset (Stbd)*Generator Engine (Stbd) (CAT 3408)*Hose, Fuel (188 CM)"/>
    <n v="0"/>
    <s v="6N-3877"/>
    <s v="Caterpillar"/>
    <n v="1"/>
  </r>
  <r>
    <s v="0214"/>
    <x v="21"/>
    <n v="45000011654"/>
    <s v="Generators*Main Genset (Stbd)*Generator Engine (Stbd) (CAT 3408)*Hose, Fuel (287 CM)"/>
    <x v="4"/>
    <s v="Y"/>
    <n v="1"/>
    <s v="Hose, Fuel (287 CM)"/>
    <s v="Generators*Main Genset (Stbd)*Generator Engine (Stbd) (CAT 3408)*Hose, Fuel (287 CM)"/>
    <n v="0"/>
    <s v="6N-3876"/>
    <s v="Caterpillar"/>
    <n v="1"/>
  </r>
  <r>
    <s v="0214"/>
    <x v="21"/>
    <n v="45000011655"/>
    <s v="Generators*Main Genset (Stbd)*Generator Engine (Stbd) (CAT 3408)*Hose, Fuel (233.70 CM)"/>
    <x v="4"/>
    <s v="Y"/>
    <n v="1"/>
    <s v="Hose, Fuel (233.70 CM)"/>
    <s v="Generators*Main Genset (Stbd)*Generator Engine (Stbd) (CAT 3408)*Hose, Fuel (233.70 CM)"/>
    <n v="0"/>
    <s v="6N-3879"/>
    <s v="Caterpillar"/>
    <n v="1"/>
  </r>
  <r>
    <s v="0214"/>
    <x v="21"/>
    <n v="45000011656"/>
    <s v="Generators*Main Genset (Stbd)*Generator Engine (Stbd) (CAT 3408)*Hose, Fuel (190.50 CM)"/>
    <x v="4"/>
    <s v="Y"/>
    <n v="1"/>
    <s v="Hose, Fuel (190.50 CM)"/>
    <s v="Generators*Main Genset (Stbd)*Generator Engine (Stbd) (CAT 3408)*Hose, Fuel (190.50 CM)"/>
    <n v="0"/>
    <s v="6N-3878"/>
    <s v="Caterpillar"/>
    <n v="1"/>
  </r>
  <r>
    <s v="0214"/>
    <x v="21"/>
    <n v="45000014049"/>
    <s v="Electrical*Automation*PLC (Allen Bradley)*SLC 1746 - NR8, 8 Point RTD Input Card"/>
    <x v="61"/>
    <s v="Y"/>
    <n v="1"/>
    <s v="SLC 1746 - NR8, 8 Point RTD Input Card"/>
    <s v="Electrical*Automation*PLC (Allen Bradley)*SLC 1746 - NR8, 8 Point RTD Input Card"/>
    <n v="0"/>
    <s v="1746-NR8"/>
    <s v="ALLEN-BRADLEY"/>
    <n v="1"/>
  </r>
  <r>
    <s v="0214"/>
    <x v="21"/>
    <n v="45000019171"/>
    <s v="Gland Seal*Seals, Cartridge (Goulds Pump)*Seal, Cartridge (Mechanical Type) (LTX)"/>
    <x v="67"/>
    <s v="Y"/>
    <n v="1"/>
    <s v="Seal, Cartridge (Mechanical Type) (LTX)"/>
    <s v="Gland Seal*Seals, Cartridge (Goulds Pump)*Seal, Cartridge (Mechanical Type) (LTX)"/>
    <n v="0"/>
    <s v="80299"/>
    <s v="SCHUR &amp; COMPANY INC."/>
    <n v="1"/>
  </r>
  <r>
    <s v="0214"/>
    <x v="21"/>
    <n v="45000019567"/>
    <s v="Gland Seal*Gland Seal Pump (Stbd)*Gland Seal Pump Set (#1), Complete*Gasket Frame"/>
    <x v="67"/>
    <s v="Y"/>
    <n v="1"/>
    <s v="Gasket Frame"/>
    <s v="Gland Seal*Gland Seal Pump (Stbd)*Gland Seal Pump Set (#1), Complete*Gasket Frame"/>
    <n v="0"/>
    <s v="ITEM "/>
    <s v="Goulds"/>
    <n v="1"/>
  </r>
  <r>
    <s v="0214"/>
    <x v="21"/>
    <n v="45000019585"/>
    <s v="Spud System*Air Compressor*Air Compressor Engine (CAT 3406)*Line As-Fuel Injection (CYL # 1)"/>
    <x v="73"/>
    <s v="Y"/>
    <n v="1"/>
    <s v="Line As-Fuel Injection (CYL # 1)"/>
    <s v="Spud System*Air Compressor*Air Compressor Engine (CAT 3406)*Line As-Fuel Injection (CYL # 1)"/>
    <n v="0"/>
    <s v="4W-9371"/>
    <s v="Caterpillar"/>
    <n v="1"/>
  </r>
  <r>
    <s v="0214"/>
    <x v="21"/>
    <n v="45000019586"/>
    <s v="Spud System*Air Compressor*Air Compressor Engine (CAT 3406)*Line As-Fuel Injection (CYL #2)"/>
    <x v="73"/>
    <s v="Y"/>
    <n v="1"/>
    <s v="Line As-Fuel Injection (CYL #2)"/>
    <s v="Spud System*Air Compressor*Air Compressor Engine (CAT 3406)*Line As-Fuel Injection (CYL #2)"/>
    <n v="0"/>
    <s v="4W-9372"/>
    <s v="Caterpillar"/>
    <n v="1"/>
  </r>
  <r>
    <s v="0214"/>
    <x v="21"/>
    <n v="45000019587"/>
    <s v="Spud System*Air Compressor*Air Compressor Engine (CAT 3406)*Line, (CYL # 3)"/>
    <x v="73"/>
    <s v="Y"/>
    <n v="1"/>
    <s v="Line, (CYL # 3)"/>
    <s v="Spud System*Air Compressor*Air Compressor Engine (CAT 3406)*Line, (CYL # 3)"/>
    <n v="0"/>
    <s v="4W-9373"/>
    <s v="Caterpillar"/>
    <n v="1"/>
  </r>
  <r>
    <s v="0214"/>
    <x v="21"/>
    <n v="45000019588"/>
    <s v="Spud System*Air Compressor*Air Compressor Engine (CAT 3406)*Line, (CYL # 4)"/>
    <x v="73"/>
    <s v="Y"/>
    <n v="1"/>
    <s v="Line, (CYL # 4)"/>
    <s v="Spud System*Air Compressor*Air Compressor Engine (CAT 3406)*Line, (CYL # 4)"/>
    <n v="0"/>
    <s v="4W-9374"/>
    <s v="Caterpillar"/>
    <n v="1"/>
  </r>
  <r>
    <s v="0214"/>
    <x v="21"/>
    <n v="45000019589"/>
    <s v="Spud System*Air Compressor*Air Compressor Engine (CAT 3406)*Line, (CYL # 5)"/>
    <x v="73"/>
    <s v="Y"/>
    <n v="1"/>
    <s v="Line, (CYL # 5)"/>
    <s v="Spud System*Air Compressor*Air Compressor Engine (CAT 3406)*Line, (CYL # 5)"/>
    <n v="1"/>
    <s v="1917945"/>
    <s v="Caterpillar"/>
    <n v="1"/>
  </r>
  <r>
    <s v="0214"/>
    <x v="21"/>
    <n v="45000019590"/>
    <s v="Spud System*Air Compressor*Air Compressor Engine (CAT 3406)*Line, (CYL # 6)"/>
    <x v="73"/>
    <s v="Y"/>
    <n v="1"/>
    <s v="Line, (CYL # 6)"/>
    <s v="Spud System*Air Compressor*Air Compressor Engine (CAT 3406)*Line, (CYL # 6)"/>
    <n v="1"/>
    <s v="1917946"/>
    <s v="Caterpillar"/>
    <n v="1"/>
  </r>
  <r>
    <s v="0214"/>
    <x v="21"/>
    <n v="45000021603"/>
    <s v="Raw Water*Pump, Submersible*Pump, Submersible (60HP)"/>
    <x v="71"/>
    <s v="Y"/>
    <n v="1"/>
    <s v="Pump, Submersible (60HP)"/>
    <s v="Raw Water*Pump, Submersible*Pump, Submersible (60HP)"/>
    <n v="0"/>
    <s v="JCU"/>
    <s v="GOULDS PUMPS"/>
    <n v="1"/>
  </r>
  <r>
    <s v="0214"/>
    <x v="21"/>
    <n v="45000021628"/>
    <s v="Gland Seal*Gland Seal Pump (Stbd)*Gland Seal Pump Set (#1), Complete*Coupling Guard, Half"/>
    <x v="67"/>
    <s v="Y"/>
    <n v="1"/>
    <s v="Coupling Guard, Half"/>
    <s v="Gland Seal*Gland Seal Pump (Stbd)*Gland Seal Pump Set (#1), Complete*Coupling Guard, Half"/>
    <n v="0"/>
    <s v="501B"/>
    <s v="Goulds"/>
    <n v="1"/>
  </r>
  <r>
    <s v="0214"/>
    <x v="21"/>
    <n v="45000022160"/>
    <s v="Pump, Dredge*Dredge Pump Gearbox*Lube System*OIL PUMP AND MOTOR ASSEMBLY*Pump, Rotary Vane, 1-1/2&quot; NPT"/>
    <x v="63"/>
    <s v="Y"/>
    <n v="1"/>
    <s v="Pump, Rotary Vane, 1-1/2&quot; NPT"/>
    <s v="Pump, Dredge*Dredge Pump Gearbox*Lube System*OIL PUMP AND MOTOR ASSEMBLY*Pump, Rotary Vane, 1-1/2&quot; NPT"/>
    <n v="0"/>
    <s v="5C1F"/>
    <s v="TUTHILL"/>
    <n v="1"/>
  </r>
  <r>
    <s v="0214"/>
    <x v="21"/>
    <n v="45000022192"/>
    <s v="Pump, Dredge*Dredge Pump Gearbox*Lube System*OIL PUMP AND MOTOR ASSEMBLY*Bracket, Pump"/>
    <x v="63"/>
    <s v="Y"/>
    <n v="1"/>
    <s v="Bracket, Pump"/>
    <s v="Pump, Dredge*Dredge Pump Gearbox*Lube System*OIL PUMP AND MOTOR ASSEMBLY*Bracket, Pump"/>
    <n v="0"/>
    <s v="B-14343"/>
    <s v="HORSBURGH &amp; SCOTT"/>
    <n v="1"/>
  </r>
  <r>
    <s v="0214"/>
    <x v="21"/>
    <n v="45000022193"/>
    <s v="Pump, Dredge*Dredge Pump Gearbox*Lube System*OIL PUMP AND MOTOR ASSEMBLY*Adapter, Pump Bracket"/>
    <x v="63"/>
    <s v="Y"/>
    <n v="1"/>
    <s v="Adapter, Pump Bracket"/>
    <s v="Pump, Dredge*Dredge Pump Gearbox*Lube System*OIL PUMP AND MOTOR ASSEMBLY*Adapter, Pump Bracket"/>
    <n v="0"/>
    <s v="B-14344"/>
    <s v="HORSBURGH &amp; SCOTT"/>
    <n v="1"/>
  </r>
  <r>
    <s v="0214"/>
    <x v="21"/>
    <n v="45000022194"/>
    <s v="Pump, Dredge*Dredge Pump Gearbox*Lube System*OIL PUMP AND MOTOR ASSEMBLY*Coupling, L-110"/>
    <x v="63"/>
    <s v="Y"/>
    <n v="1"/>
    <s v="Coupling, L-110"/>
    <s v="Pump, Dredge*Dredge Pump Gearbox*Lube System*OIL PUMP AND MOTOR ASSEMBLY*Coupling, L-110"/>
    <n v="0"/>
    <s v="L-110"/>
    <s v="Lovejoy"/>
    <n v="1"/>
  </r>
  <r>
    <s v="0214"/>
    <x v="21"/>
    <n v="45000022197"/>
    <s v="Pump, Dredge*Dredge Pump Gearbox*Lube System*Gauge, Pressure, 0-100 PSI"/>
    <x v="63"/>
    <s v="Y"/>
    <n v="1"/>
    <s v="Gauge, Pressure, 0-100 PSI"/>
    <s v="Pump, Dredge*Dredge Pump Gearbox*Lube System*Gauge, Pressure, 0-100 PSI"/>
    <n v="0"/>
    <m/>
    <m/>
    <n v="1"/>
  </r>
  <r>
    <s v="0214"/>
    <x v="21"/>
    <n v="45000022199"/>
    <s v="Pump, Dredge*Dredge Pump Gearbox*Lube System*Indicator, Flow"/>
    <x v="63"/>
    <s v="Y"/>
    <n v="1"/>
    <s v="Indicator, Flow"/>
    <s v="Pump, Dredge*Dredge Pump Gearbox*Lube System*Indicator, Flow"/>
    <n v="0"/>
    <s v="050GM-12-1500S/.9-1 NR-19D"/>
    <s v="UNIVERSAL"/>
    <n v="1"/>
  </r>
  <r>
    <s v="0214"/>
    <x v="21"/>
    <n v="45000028527"/>
    <s v="Compressed Air*Air Compressor, Start Air (Aft)*Motor*Motor, 15 HP"/>
    <x v="79"/>
    <s v="Y"/>
    <n v="1"/>
    <s v="Motor, 15 HP"/>
    <s v="Compressed Air*Air Compressor, Start Air (Aft)*Motor*Motor, 15 HP"/>
    <n v="0"/>
    <s v="ECP2333T"/>
    <s v="QUINCY"/>
    <n v="2"/>
  </r>
  <r>
    <s v="0214"/>
    <x v="21"/>
    <n v="45000028529"/>
    <s v="Compressed Air*Air Compressor, Start Air (Fwd)*Air Tank/ Receiver (120 Gallon)*Air Gauge (0-200 PSI)"/>
    <x v="79"/>
    <s v="Y"/>
    <n v="1"/>
    <s v="Air Gauge (0-200 PSI)"/>
    <s v="Compressed Air*Air Compressor, Start Air (Fwd)*Air Tank/ Receiver (120 Gallon)*Air Gauge (0-200 PSI)"/>
    <n v="0"/>
    <s v="3226"/>
    <s v="QUINCY"/>
    <n v="2"/>
  </r>
  <r>
    <s v="0214"/>
    <x v="21"/>
    <n v="45000028530"/>
    <s v="Compressed Air*Air Compressor, Start Air (Fwd)*Air Tank/ Receiver (120 Gallon)*Valve, Safety Relief"/>
    <x v="79"/>
    <s v="Y"/>
    <n v="1"/>
    <s v="Valve, Safety Relief"/>
    <s v="Compressed Air*Air Compressor, Start Air (Fwd)*Air Tank/ Receiver (120 Gallon)*Valve, Safety Relief"/>
    <n v="0"/>
    <s v="3922-200"/>
    <s v="QUINCY"/>
    <n v="2"/>
  </r>
  <r>
    <s v="0214"/>
    <x v="21"/>
    <n v="45000029112"/>
    <s v="Gland Seal*Gland Seal Pump (Stbd)*Gland Seal Pump Set (#1), Complete*Sleeve, Shaft"/>
    <x v="67"/>
    <s v="Y"/>
    <n v="1"/>
    <s v="Sleeve, Shaft"/>
    <s v="Gland Seal*Gland Seal Pump (Stbd)*Gland Seal Pump Set (#1), Complete*Sleeve, Shaft"/>
    <n v="1"/>
    <s v="92593-6956"/>
    <s v="Goulds"/>
    <n v="1"/>
  </r>
  <r>
    <s v="0214"/>
    <x v="21"/>
    <n v="45000029148"/>
    <s v="Pump, Dredge*Dredge Pump Engine (EMD 645)*Fuel Injectors (IN6)*Fuel Injector (1042 EB)"/>
    <x v="63"/>
    <s v="Y"/>
    <n v="10"/>
    <s v="Fuel Injector (1042 EB)"/>
    <s v="Pump, Dredge*Dredge Pump Engine (EMD 645)*Fuel Injectors (IN6)*Fuel Injector (1042 EB)"/>
    <n v="5"/>
    <s v="40161957-MP"/>
    <s v="EMD (MSI)"/>
    <n v="1"/>
  </r>
  <r>
    <s v="0214"/>
    <x v="21"/>
    <n v="45000030554"/>
    <s v="Pump, Dredge*Dredge Pump Gearbox*Clutch (32VC1000)*Valve, Solenoid, 3-Way"/>
    <x v="63"/>
    <s v="Y"/>
    <n v="1"/>
    <s v="Valve, Solenoid, 3-Way"/>
    <s v="Pump, Dredge*Dredge Pump Gearbox*Clutch (32VC1000)*Valve, Solenoid, 3-Way"/>
    <n v="1"/>
    <s v="73312BN52NJ0N0C111P3"/>
    <s v="Parker"/>
    <n v="1"/>
  </r>
  <r>
    <s v="0214"/>
    <x v="21"/>
    <n v="45000031810"/>
    <s v="Electrical*Automation*PLC (Allen Bradley)*SLC 1746 - IN16I Analog Input Module"/>
    <x v="61"/>
    <s v="Y"/>
    <n v="1"/>
    <s v="SLC 1746 - IN16I Analog Input Module"/>
    <s v="Electrical*Automation*PLC (Allen Bradley)*SLC 1746 - IN16I Analog Input Module"/>
    <n v="0"/>
    <s v="1746-IN16"/>
    <s v="ALLEN-BRADLEY"/>
    <n v="1"/>
  </r>
  <r>
    <s v="0214"/>
    <x v="21"/>
    <n v="45000031812"/>
    <s v="Electrical*Automation*PLC (Allen Bradley)*SLC 1746-IB16, 16 Pnt Dgtl Input Mod"/>
    <x v="61"/>
    <s v="Y"/>
    <n v="1"/>
    <s v="SLC 1746-IB16, 16 Pnt Dgtl Input Mod"/>
    <s v="Electrical*Automation*PLC (Allen Bradley)*SLC 1746-IB16, 16 Pnt Dgtl Input Mod"/>
    <n v="0"/>
    <s v="1746-IB16"/>
    <s v="ALLEN-BRADLEY"/>
    <n v="1"/>
  </r>
  <r>
    <s v="0214"/>
    <x v="21"/>
    <n v="45000031913"/>
    <s v="Electrical*Automation*PLC (Allen Bradley)*SLC 1746 - P2 - PS"/>
    <x v="61"/>
    <s v="Y"/>
    <n v="1"/>
    <s v="SLC 1746 - P2 - PS"/>
    <s v="Electrical*Automation*PLC (Allen Bradley)*SLC 1746 - P2 - PS"/>
    <n v="0"/>
    <s v="1746-P2"/>
    <s v="Allen-Bradley"/>
    <n v="1"/>
  </r>
  <r>
    <s v="0214"/>
    <x v="21"/>
    <n v="45000032316"/>
    <s v="Pump, Dredge*Dredge Pump Engine (EMD 645)*Starting System*Valve, Solenoid, Air Start"/>
    <x v="63"/>
    <s v="Y"/>
    <n v="1"/>
    <s v="Valve, Solenoid, Air Start"/>
    <s v="Pump, Dredge*Dredge Pump Engine (EMD 645)*Starting System*Valve, Solenoid, Air Start"/>
    <n v="0"/>
    <s v="9513135"/>
    <s v="EMD (MSI)"/>
    <n v="1"/>
  </r>
  <r>
    <s v="0214"/>
    <x v="21"/>
    <n v="49400000391"/>
    <s v="Piping (Dredge)*Victaulic Coupling, (36&quot;)*Bolt, Victaulic Coupling 1-1/2&quot; X 5-3/4&quot;"/>
    <x v="80"/>
    <s v="Y"/>
    <n v="2"/>
    <s v="Bolt, Victaulic Coupling 1-1/2&quot; X 5-3/4&quot;"/>
    <s v="Piping (Dredge)*Victaulic Coupling, (36&quot;)*Bolt, Victaulic Coupling 1-1/2&quot; X 5-3/4&quot;"/>
    <n v="0"/>
    <m/>
    <m/>
    <n v="1"/>
  </r>
  <r>
    <s v="0214"/>
    <x v="21"/>
    <n v="54000000014"/>
    <s v="Pump, Dredge*Dredge Pump*Hardware &amp; Gaskets*O-Ring, Hub to Shell"/>
    <x v="63"/>
    <s v="Y"/>
    <n v="1"/>
    <s v="O-Ring, Hub to Shell"/>
    <s v="Pump, Dredge*Dredge Pump*Hardware &amp; Gaskets*O-Ring, Hub to Shell"/>
    <n v="1"/>
    <s v="7717P-42"/>
    <s v="GIW"/>
    <n v="1"/>
  </r>
  <r>
    <s v="0214"/>
    <x v="21"/>
    <n v="54000001000"/>
    <s v="Pump, Dredge*Dredge Pump Gearbox*Lube System*OIL PUMP AND MOTOR ASSEMBLY*Seal, Oil"/>
    <x v="63"/>
    <s v="Y"/>
    <n v="1"/>
    <s v="Seal, Oil"/>
    <s v="Pump, Dredge*Dredge Pump Gearbox*Lube System*OIL PUMP AND MOTOR ASSEMBLY*Seal, Oil"/>
    <n v="0"/>
    <s v="C514 TC 24 35 7 4"/>
    <s v="TUTHILL"/>
    <n v="1"/>
  </r>
  <r>
    <s v="0214"/>
    <x v="21"/>
    <n v="60400000230"/>
    <s v="Compressed Air*Air Compressor, Start Air (Fwd)*Belt, Drive"/>
    <x v="79"/>
    <s v="Y"/>
    <n v="1"/>
    <s v="Belt, Drive"/>
    <s v="Compressed Air*Air Compressor, Start Air (Fwd)*Belt, Drive"/>
    <n v="0"/>
    <s v="110258B083"/>
    <s v="QUINCY"/>
    <n v="2"/>
  </r>
  <r>
    <s v="0214"/>
    <x v="21"/>
    <n v="60400000231"/>
    <s v="Compressed Air*Air Compressor, Start Air (Fwd)*Valve, Safety Relief"/>
    <x v="79"/>
    <s v="Y"/>
    <n v="1"/>
    <s v="Valve, Safety Relief"/>
    <s v="Compressed Air*Air Compressor, Start Air (Fwd)*Valve, Safety Relief"/>
    <n v="0"/>
    <s v="3022-200"/>
    <s v="QUINCY"/>
    <n v="2"/>
  </r>
  <r>
    <s v="0214"/>
    <x v="21"/>
    <n v="60400000233"/>
    <s v="Compressed Air*Air Compressor, Start Air (Fwd)*Repair Kit, Oil Pump"/>
    <x v="79"/>
    <s v="Y"/>
    <n v="1"/>
    <s v="Repair Kit, Oil Pump"/>
    <s v="Compressed Air*Air Compressor, Start Air (Fwd)*Repair Kit, Oil Pump"/>
    <n v="0"/>
    <s v="160079"/>
    <s v="QUINCY"/>
    <n v="2"/>
  </r>
  <r>
    <s v="0214"/>
    <x v="21"/>
    <n v="60400000234"/>
    <s v="Compressed Air*Air Compressor, Start Air (Fwd)*Repair Kit, Basic Compressor"/>
    <x v="79"/>
    <s v="Y"/>
    <n v="1"/>
    <s v="Repair Kit, Basic Compressor"/>
    <s v="Compressed Air*Air Compressor, Start Air (Fwd)*Repair Kit, Basic Compressor"/>
    <n v="2"/>
    <s v="110823-350"/>
    <s v="QUINCY"/>
    <n v="2"/>
  </r>
  <r>
    <s v="0214"/>
    <x v="21"/>
    <n v="60400002856"/>
    <s v="Generators*Main Genset (Stbd)*Generator Engine (Stbd) (CAT 3408)*Pump, Water"/>
    <x v="4"/>
    <s v="Y"/>
    <n v="1"/>
    <s v="Pump, Water"/>
    <s v="Generators*Main Genset (Stbd)*Generator Engine (Stbd) (CAT 3408)*Pump, Water"/>
    <n v="0"/>
    <s v="4N-7498"/>
    <s v="Caterpillar"/>
    <n v="1"/>
  </r>
  <r>
    <s v="0214"/>
    <x v="21"/>
    <n v="60400002893"/>
    <s v="Generators*Main Genset (Stbd)*Generator Engine (Stbd) (CAT 3408)*Pump, Water*Seal, O-Ring"/>
    <x v="4"/>
    <s v="Y"/>
    <n v="1"/>
    <s v="Seal, O-Ring"/>
    <s v="Generators*Main Genset (Stbd)*Generator Engine (Stbd) (CAT 3408)*Pump, Water*Seal, O-Ring"/>
    <n v="0"/>
    <s v="5L-5032"/>
    <s v="Caterpillar"/>
    <n v="1"/>
  </r>
  <r>
    <s v="0214"/>
    <x v="21"/>
    <n v="60400002895"/>
    <s v="Generators*Main Genset (Stbd)*Generator Engine (Stbd) (CAT 3408)*Pump, Water*Seal, O-Ring (126.59 mm ID)"/>
    <x v="4"/>
    <s v="Y"/>
    <n v="1"/>
    <s v="Seal, O-Ring (126.59 mm ID)"/>
    <s v="Generators*Main Genset (Stbd)*Generator Engine (Stbd) (CAT 3408)*Pump, Water*Seal, O-Ring (126.59 mm ID)"/>
    <n v="1"/>
    <s v="4S-5898"/>
    <s v="Caterpillar"/>
    <n v="1"/>
  </r>
  <r>
    <s v="0214"/>
    <x v="21"/>
    <n v="60400002896"/>
    <s v="Generators*Main Genset (Stbd)*Generator Engine (Stbd) (CAT 3408)*Pump, Water*Seal, O-Ring (133.66 mm ID)"/>
    <x v="4"/>
    <s v="Y"/>
    <n v="1"/>
    <s v="Seal, O-Ring (133.66 mm ID)"/>
    <s v="Generators*Main Genset (Stbd)*Generator Engine (Stbd) (CAT 3408)*Pump, Water*Seal, O-Ring (133.66 mm ID)"/>
    <n v="0"/>
    <s v="5H-5672"/>
    <s v="Caterpillar"/>
    <n v="1"/>
  </r>
  <r>
    <s v="0214"/>
    <x v="21"/>
    <n v="60400002946"/>
    <s v="Spud System*Jacking System*Valve, Pressure Regulator"/>
    <x v="73"/>
    <s v="Y"/>
    <n v="1"/>
    <s v="Valve, Pressure Regulator"/>
    <s v="Spud System*Jacking System*Valve, Pressure Regulator"/>
    <n v="1"/>
    <m/>
    <m/>
    <n v="1"/>
  </r>
  <r>
    <s v="0214"/>
    <x v="21"/>
    <n v="60400006204"/>
    <s v="Pump, Dredge*Dredge Pump Engine (EMD 645)*Power Packs (PP2)*Fork Rod Pack (1042-UL)"/>
    <x v="63"/>
    <s v="Y"/>
    <n v="1"/>
    <s v="Fork Rod Pack (1042-UL)"/>
    <s v="Pump, Dredge*Dredge Pump Engine (EMD 645)*Power Packs (PP2)*Fork Rod Pack (1042-UL)"/>
    <n v="0"/>
    <s v="40173247"/>
    <s v="EMD (MSI)"/>
    <n v="1"/>
  </r>
  <r>
    <s v="0214"/>
    <x v="21"/>
    <n v="60400006205"/>
    <s v="Pump, Dredge*Dredge Pump Engine (EMD 645)*Power Packs (PP2)*Blade Rod Pack (1042-UL)"/>
    <x v="63"/>
    <s v="Y"/>
    <n v="1"/>
    <s v="Blade Rod Pack (1042-UL)"/>
    <s v="Pump, Dredge*Dredge Pump Engine (EMD 645)*Power Packs (PP2)*Blade Rod Pack (1042-UL)"/>
    <n v="0"/>
    <s v="40173248"/>
    <s v="EMD (MSI)"/>
    <n v="1"/>
  </r>
  <r>
    <s v="0214"/>
    <x v="21"/>
    <n v="62400002256"/>
    <s v="Compressed Air*Air Compressor, Start Air (Fwd)*Compressor (Quincy D350HP)*Valve, Pilot"/>
    <x v="79"/>
    <s v="Y"/>
    <n v="1"/>
    <s v="Valve, Pilot"/>
    <s v="Compressed Air*Air Compressor, Start Air (Fwd)*Compressor (Quincy D350HP)*Valve, Pilot"/>
    <n v="0"/>
    <s v="110198-999"/>
    <s v="QUINCY"/>
    <n v="2"/>
  </r>
  <r>
    <s v="0214"/>
    <x v="21"/>
    <n v="62400002257"/>
    <s v="Compressed Air*Air Compressor, Start Air (Fwd)*Compressor (Quincy D350HP)*Valve, Pilot"/>
    <x v="79"/>
    <s v="Y"/>
    <n v="1"/>
    <s v="Valve, Pilot"/>
    <s v="Compressed Air*Air Compressor, Start Air (Fwd)*Compressor (Quincy D350HP)*Valve, Pilot"/>
    <n v="0"/>
    <s v="110198-120"/>
    <s v="QUINCY"/>
    <n v="2"/>
  </r>
  <r>
    <s v="0214"/>
    <x v="21"/>
    <n v="62400002259"/>
    <s v="Compressed Air*Air Compressor, Start Air (Fwd)*Compressor (Quincy D350HP)*Gasket, Valve"/>
    <x v="79"/>
    <s v="Y"/>
    <n v="1"/>
    <s v="Gasket, Valve"/>
    <s v="Compressed Air*Air Compressor, Start Air (Fwd)*Compressor (Quincy D350HP)*Gasket, Valve"/>
    <n v="0"/>
    <s v="1556"/>
    <s v="QUINCY"/>
    <n v="2"/>
  </r>
  <r>
    <s v="0214"/>
    <x v="21"/>
    <n v="62400002261"/>
    <s v="Compressed Air*Air Compressor, Start Air (Fwd)*Compressor (Quincy D350HP)*Suction Valve Assembly"/>
    <x v="79"/>
    <s v="Y"/>
    <n v="1"/>
    <s v="Suction Valve Assembly"/>
    <s v="Compressed Air*Air Compressor, Start Air (Fwd)*Compressor (Quincy D350HP)*Suction Valve Assembly"/>
    <n v="0"/>
    <s v="6671X1U"/>
    <s v="QUINCY"/>
    <n v="2"/>
  </r>
  <r>
    <s v="0214"/>
    <x v="21"/>
    <n v="62400002265"/>
    <s v="Compressed Air*Air Compressor, Start Air (Fwd)*Compressor (Quincy D350HP)*Discharge Valve - Assembly"/>
    <x v="79"/>
    <s v="Y"/>
    <n v="1"/>
    <s v="Discharge Valve - Assembly"/>
    <s v="Compressed Air*Air Compressor, Start Air (Fwd)*Compressor (Quincy D350HP)*Discharge Valve - Assembly"/>
    <n v="0"/>
    <s v="6670X1"/>
    <s v="QUINCY"/>
    <n v="2"/>
  </r>
  <r>
    <s v="0214"/>
    <x v="21"/>
    <n v="62400002267"/>
    <s v="Compressed Air*Air Compressor, Start Air (Fwd)*Compressor (Quincy D350HP)*Unloader, Assembly"/>
    <x v="79"/>
    <s v="Y"/>
    <n v="1"/>
    <s v="Unloader, Assembly"/>
    <s v="Compressed Air*Air Compressor, Start Air (Fwd)*Compressor (Quincy D350HP)*Unloader, Assembly"/>
    <n v="0"/>
    <s v="40192"/>
    <s v="QUINCY"/>
    <n v="2"/>
  </r>
  <r>
    <s v="0214"/>
    <x v="21"/>
    <n v="62400002268"/>
    <s v="Compressed Air*Air Compressor, Start Air (Fwd)*Compressor (Quincy D350HP)*Gasket, Valve"/>
    <x v="79"/>
    <s v="Y"/>
    <n v="1"/>
    <s v="Gasket, Valve"/>
    <s v="Compressed Air*Air Compressor, Start Air (Fwd)*Compressor (Quincy D350HP)*Gasket, Valve"/>
    <n v="10"/>
    <s v="2024"/>
    <s v="QUINCY"/>
    <n v="2"/>
  </r>
  <r>
    <s v="0214"/>
    <x v="21"/>
    <n v="62400002269"/>
    <s v="Compressed Air*Air Compressor, Start Air (Fwd)*Compressor (Quincy D350HP)*Unloader Assembly"/>
    <x v="79"/>
    <s v="Y"/>
    <n v="1"/>
    <s v="Unloader Assembly"/>
    <s v="Compressed Air*Air Compressor, Start Air (Fwd)*Compressor (Quincy D350HP)*Unloader Assembly"/>
    <n v="0"/>
    <s v="7483X"/>
    <s v="QUINCY"/>
    <n v="2"/>
  </r>
  <r>
    <s v="0214"/>
    <x v="21"/>
    <n v="62400002270"/>
    <s v="Compressed Air*Air Compressor, Start Air (Fwd)*Compressor (Quincy D350HP)*Gasket, Valve Plate"/>
    <x v="79"/>
    <s v="Y"/>
    <n v="1"/>
    <s v="Gasket, Valve Plate"/>
    <s v="Compressed Air*Air Compressor, Start Air (Fwd)*Compressor (Quincy D350HP)*Gasket, Valve Plate"/>
    <n v="0"/>
    <s v="2025"/>
    <s v="QUINCY"/>
    <n v="2"/>
  </r>
  <r>
    <s v="0214"/>
    <x v="21"/>
    <n v="62400002274"/>
    <s v="Compressed Air*Air Compressor, Start Air (Fwd)*Compressor (Quincy D350HP)*Gasket, Cover Plate"/>
    <x v="79"/>
    <s v="Y"/>
    <n v="1"/>
    <s v="Gasket, Cover Plate"/>
    <s v="Compressed Air*Air Compressor, Start Air (Fwd)*Compressor (Quincy D350HP)*Gasket, Cover Plate"/>
    <n v="0"/>
    <s v="7398"/>
    <s v="QUINCY"/>
    <n v="2"/>
  </r>
  <r>
    <s v="0214"/>
    <x v="21"/>
    <n v="62400002284"/>
    <s v="Compressed Air*Air Compressor, Start Air (Fwd)*Compressor (Quincy D350HP)*Gasket - Cylinder Head"/>
    <x v="79"/>
    <s v="Y"/>
    <n v="1"/>
    <s v="Gasket - Cylinder Head"/>
    <s v="Compressed Air*Air Compressor, Start Air (Fwd)*Compressor (Quincy D350HP)*Gasket - Cylinder Head"/>
    <n v="4"/>
    <s v="7403"/>
    <s v="QUINCY"/>
    <n v="2"/>
  </r>
  <r>
    <s v="0214"/>
    <x v="21"/>
    <n v="62400002285"/>
    <s v="Compressed Air*Air Compressor, Start Air (Fwd)*Compressor (Quincy D350HP)*Intercooler - Gasket"/>
    <x v="79"/>
    <s v="Y"/>
    <n v="1"/>
    <s v="Intercooler - Gasket"/>
    <s v="Compressed Air*Air Compressor, Start Air (Fwd)*Compressor (Quincy D350HP)*Intercooler - Gasket"/>
    <n v="0"/>
    <s v="5860"/>
    <s v="QUINCY"/>
    <n v="2"/>
  </r>
  <r>
    <s v="0214"/>
    <x v="21"/>
    <n v="62400003074"/>
    <s v="Compressed Air*Air Compressor, Start Air (Fwd)*Compressor (Quincy D350HP)*Gauge, Oil Pressure"/>
    <x v="79"/>
    <s v="Y"/>
    <n v="1"/>
    <s v="Gauge, Oil Pressure"/>
    <s v="Compressed Air*Air Compressor, Start Air (Fwd)*Compressor (Quincy D350HP)*Gauge, Oil Pressure"/>
    <n v="0"/>
    <s v="110822"/>
    <s v="QUINCY"/>
    <n v="2"/>
  </r>
  <r>
    <s v="0214"/>
    <x v="21"/>
    <n v="62400003855"/>
    <s v="Gland Seal*Gland Seal Pump (Stbd)*Gland Seal Pump Set (#1), Complete*O-Ring, Impeller"/>
    <x v="67"/>
    <s v="Y"/>
    <n v="1"/>
    <s v="O-Ring, Impeller"/>
    <s v="Gland Seal*Gland Seal Pump (Stbd)*Gland Seal Pump Set (#1), Complete*O-Ring, Impeller"/>
    <n v="0"/>
    <s v="Item "/>
    <s v="Goulds"/>
    <n v="1"/>
  </r>
  <r>
    <s v="0214"/>
    <x v="21"/>
    <n v="62400004442"/>
    <s v="Piping (Dredge)*Discharge expansion joint*Expansion Joint/ Hose, Discharge"/>
    <x v="80"/>
    <s v="Y"/>
    <n v="1"/>
    <s v="Expansion Joint/ Hose, Discharge"/>
    <s v="Piping (Dredge)*Discharge expansion joint*Expansion Joint/ Hose, Discharge"/>
    <n v="0"/>
    <s v="147-09-29038"/>
    <s v="GLDD DWG"/>
    <n v="1"/>
  </r>
  <r>
    <s v="0214"/>
    <x v="21"/>
    <n v="62400004463"/>
    <s v="Pump, Dredge*Dredge Pump Engine (EMD 645)*UNDER REVIEW*mrg-?Bridge, Exhaust Vlv, Utex"/>
    <x v="63"/>
    <s v="Y"/>
    <n v="1"/>
    <s v="mrg-?Bridge, Exhaust Vlv, Utex"/>
    <s v="Pump, Dredge*Dredge Pump Engine (EMD 645)*UNDER REVIEW*mrg-?Bridge, Exhaust Vlv, Utex"/>
    <n v="0"/>
    <s v="2-40145929 UX"/>
    <s v="EMD"/>
    <n v="1"/>
  </r>
  <r>
    <s v="0214"/>
    <x v="21"/>
    <n v="62400004492"/>
    <s v="Pump, Dredge*Dredge Pump*Hardware &amp; Gaskets*O-Ring, Throat Liner"/>
    <x v="63"/>
    <s v="Y"/>
    <n v="1"/>
    <s v="O-Ring, Throat Liner"/>
    <s v="Pump, Dredge*Dredge Pump*Hardware &amp; Gaskets*O-Ring, Throat Liner"/>
    <n v="1"/>
    <s v="7720P-08"/>
    <s v="MPMW Dwg "/>
    <n v="1"/>
  </r>
  <r>
    <s v="0214"/>
    <x v="21"/>
    <n v="62400004789"/>
    <s v="Spud System*Air Compressor*Solenoid, V, 24 Volt, NC"/>
    <x v="73"/>
    <s v="Y"/>
    <n v="1"/>
    <s v="Solenoid, V, 24 Volt, NC"/>
    <s v="Spud System*Air Compressor*Solenoid, V, 24 Volt, NC"/>
    <n v="1"/>
    <s v="36842300"/>
    <s v="INGERSOLL-RAND"/>
    <n v="1"/>
  </r>
  <r>
    <s v="0214"/>
    <x v="21"/>
    <n v="62400004790"/>
    <s v="Spud System*Air Compressor*Solenoid, V, 24 Volt, NO"/>
    <x v="73"/>
    <s v="Y"/>
    <n v="1"/>
    <s v="Solenoid, V, 24 Volt, NO"/>
    <s v="Spud System*Air Compressor*Solenoid, V, 24 Volt, NO"/>
    <n v="1"/>
    <s v="36842318"/>
    <s v="INGERSOLL-RAND"/>
    <n v="1"/>
  </r>
  <r>
    <s v="0214"/>
    <x v="21"/>
    <n v="62400007867"/>
    <s v="Gland Seal*Gland Seal Pump (Stbd)*Gland Seal Pump Set (#1), Complete*Bearing, Ball (6311)"/>
    <x v="67"/>
    <s v="Y"/>
    <n v="1"/>
    <s v="Bearing, Ball (6311)"/>
    <s v="Gland Seal*Gland Seal Pump (Stbd)*Gland Seal Pump Set (#1), Complete*Bearing, Ball (6311)"/>
    <n v="0"/>
    <s v="Item "/>
    <s v="Goulds"/>
    <n v="1"/>
  </r>
  <r>
    <s v="0214"/>
    <x v="21"/>
    <n v="62400008328"/>
    <s v="Spud System*Jacking System*Regulator, Lift Control PSI"/>
    <x v="73"/>
    <s v="Y"/>
    <n v="1"/>
    <s v="Regulator, Lift Control PSI"/>
    <s v="Spud System*Jacking System*Regulator, Lift Control PSI"/>
    <n v="1"/>
    <s v="3AYY8"/>
    <s v="Grainger"/>
    <n v="1"/>
  </r>
  <r>
    <s v="0214"/>
    <x v="21"/>
    <n v="63600000286"/>
    <s v="Pump, Dredge*Dredge Pump Engine (EMD 645)*Water Pumps (WP1-WP2)*Water Pump, Right Bank (L20-645 Turbo) U"/>
    <x v="63"/>
    <s v="Y"/>
    <n v="1"/>
    <s v="Water Pump, Right Bank (L20-645 Turbo) U"/>
    <s v="Pump, Dredge*Dredge Pump Engine (EMD 645)*Water Pumps (WP1-WP2)*Water Pump, Right Bank (L20-645 Turbo) U"/>
    <n v="1"/>
    <s v="40179631UX"/>
    <s v="EMD"/>
    <n v="1"/>
  </r>
  <r>
    <s v="0214"/>
    <x v="21"/>
    <n v="63600000287"/>
    <s v="Pump, Dredge*Dredge Pump Engine (EMD 645)*Water Pumps (WP1-WP2)*Water Pump, Left Bank (L20-645 Turbo)U"/>
    <x v="63"/>
    <s v="Y"/>
    <n v="1"/>
    <s v="Water Pump, Left Bank (L20-645 Turbo)U"/>
    <s v="Pump, Dredge*Dredge Pump Engine (EMD 645)*Water Pumps (WP1-WP2)*Water Pump, Left Bank (L20-645 Turbo)U"/>
    <n v="1"/>
    <s v="40179630UX"/>
    <s v="EMD"/>
    <n v="1"/>
  </r>
  <r>
    <s v="0214"/>
    <x v="21"/>
    <n v="66200001423"/>
    <s v="Gland Seal*Gland Seal Pump (Port)*Motor, (100 HP)*Coupling*Cover and Grid Assembly"/>
    <x v="67"/>
    <s v="Y"/>
    <n v="1"/>
    <s v="Cover and Grid Assembly"/>
    <s v="Gland Seal*Gland Seal Pump (Port)*Motor, (100 HP)*Coupling*Cover and Grid Assembly"/>
    <n v="0"/>
    <s v="1040T10B"/>
    <s v="Falk"/>
    <n v="2"/>
  </r>
  <r>
    <s v="0214"/>
    <x v="21"/>
    <n v="66200004787"/>
    <s v="Generators*Main Genset (Port)*Generator (Port)*Voltage Regulator, Automatic"/>
    <x v="4"/>
    <s v="Y"/>
    <n v="1"/>
    <s v="Voltage Regulator, Automatic"/>
    <s v="Generators*Main Genset (Port)*Generator (Port)*Voltage Regulator, Automatic"/>
    <n v="2"/>
    <s v="202-8634"/>
    <s v="Caterpillar"/>
    <n v="1"/>
  </r>
  <r>
    <s v="0214"/>
    <x v="21"/>
    <n v="66200005026"/>
    <s v="Compressed Air*Air Compressor, Start Air (Fwd)*V-Belt"/>
    <x v="79"/>
    <s v="Y"/>
    <n v="1"/>
    <s v="V-Belt"/>
    <s v="Compressed Air*Air Compressor, Start Air (Fwd)*V-Belt"/>
    <n v="0"/>
    <s v="5L860"/>
    <s v="NAPA"/>
    <n v="2"/>
  </r>
  <r>
    <s v="0214"/>
    <x v="21"/>
    <n v="66200006579"/>
    <s v="Spud System*Air Compressor*Temperature Switch, Compressor"/>
    <x v="73"/>
    <s v="Y"/>
    <n v="1"/>
    <s v="Temperature Switch, Compressor"/>
    <s v="Spud System*Air Compressor*Temperature Switch, Compressor"/>
    <n v="0"/>
    <s v="35577592"/>
    <s v="INGERSOLL-RAND"/>
    <n v="1"/>
  </r>
  <r>
    <s v="0214"/>
    <x v="21"/>
    <n v="66200006588"/>
    <s v="Spud System*Air Compressor*Cooler, Oil"/>
    <x v="73"/>
    <s v="Y"/>
    <n v="1"/>
    <s v="Cooler, Oil"/>
    <s v="Spud System*Air Compressor*Cooler, Oil"/>
    <n v="0"/>
    <s v="36766103"/>
    <s v="INGERSOLL-RAND"/>
    <n v="1"/>
  </r>
  <r>
    <s v="0214"/>
    <x v="21"/>
    <n v="66200007702"/>
    <s v="Spud System*Air Compressor*Air Compressor Engine (CAT 3406)*Radiator, Air Compressor Engine"/>
    <x v="73"/>
    <s v="Y"/>
    <n v="1"/>
    <s v="Radiator, Air Compressor Engine"/>
    <s v="Spud System*Air Compressor*Air Compressor Engine (CAT 3406)*Radiator, Air Compressor Engine"/>
    <n v="0"/>
    <s v="36864387"/>
    <s v="Doosan"/>
    <n v="1"/>
  </r>
  <r>
    <s v="0214"/>
    <x v="21"/>
    <n v="66200008476"/>
    <s v="Spud System*Jacking System*Gauge, Pressure, 1-1/2&quot; Face, 0-200 psi"/>
    <x v="73"/>
    <s v="Y"/>
    <n v="4"/>
    <s v="Gauge, Pressure, 1-1/2&quot; Face, 0-200 psi"/>
    <s v="Spud System*Jacking System*Gauge, Pressure, 1-1/2&quot; Face, 0-200 psi"/>
    <n v="18"/>
    <s v="36TV56"/>
    <s v="Grainger"/>
    <n v="1"/>
  </r>
  <r>
    <s v="0214"/>
    <x v="21"/>
    <n v="66200009104"/>
    <s v="Gland Seal*Gland Seal Pump (Stbd)*Valve, Swing Check, 2&quot;"/>
    <x v="67"/>
    <s v="Y"/>
    <n v="1"/>
    <s v="Valve, Swing Check, 2&quot;"/>
    <s v="Gland Seal*Gland Seal Pump (Stbd)*Valve, Swing Check, 2&quot;"/>
    <n v="1"/>
    <s v="072507.400"/>
    <s v="W &amp; O Supply"/>
    <n v="1"/>
  </r>
  <r>
    <s v="0214"/>
    <x v="21"/>
    <n v="66200009108"/>
    <s v="Hydraulic System*Hydraulic System (Piping By-Pass)*Housing, Filter"/>
    <x v="87"/>
    <s v="Y"/>
    <n v="1"/>
    <s v="Housing, Filter"/>
    <s v="Hydraulic System*Hydraulic System (Piping By-Pass)*Housing, Filter"/>
    <n v="0"/>
    <s v="TEF 426 10VG S P FS7"/>
    <s v="Eaton"/>
    <n v="1"/>
  </r>
  <r>
    <s v="0214"/>
    <x v="21"/>
    <n v="66200009237"/>
    <s v="Spud System*Air Compressor*Hose, Fuel"/>
    <x v="73"/>
    <s v="Y"/>
    <n v="1"/>
    <s v="Hose, Fuel"/>
    <s v="Spud System*Air Compressor*Hose, Fuel"/>
    <n v="0"/>
    <s v="7N-3761"/>
    <s v="Caterpillar"/>
    <n v="1"/>
  </r>
  <r>
    <s v="0214"/>
    <x v="21"/>
    <n v="66200009238"/>
    <s v="Spud System*Air Compressor*Line, Fuel"/>
    <x v="73"/>
    <s v="Y"/>
    <n v="1"/>
    <s v="Line, Fuel"/>
    <s v="Spud System*Air Compressor*Line, Fuel"/>
    <n v="0"/>
    <s v="2W-6458"/>
    <s v="Caterpillar"/>
    <n v="1"/>
  </r>
  <r>
    <s v="0214"/>
    <x v="21"/>
    <n v="66200009239"/>
    <s v="Spud System*Air Compressor*Line, Fuel"/>
    <x v="73"/>
    <s v="Y"/>
    <n v="1"/>
    <s v="Line, Fuel"/>
    <s v="Spud System*Air Compressor*Line, Fuel"/>
    <n v="0"/>
    <s v="2W-2927"/>
    <s v="Caterpillar"/>
    <n v="1"/>
  </r>
  <r>
    <s v="0214"/>
    <x v="21"/>
    <n v="66200009240"/>
    <s v="Spud System*Air Compressor*Line, Fuel"/>
    <x v="73"/>
    <s v="Y"/>
    <n v="1"/>
    <s v="Line, Fuel"/>
    <s v="Spud System*Air Compressor*Line, Fuel"/>
    <n v="0"/>
    <s v="7C-6644"/>
    <s v="Caterpillar"/>
    <n v="1"/>
  </r>
  <r>
    <s v="0214"/>
    <x v="21"/>
    <n v="66200010977"/>
    <s v="Compressed Air*Air Compressor, Start Air (Fwd)*Pump, Oil"/>
    <x v="79"/>
    <s v="Y"/>
    <n v="1"/>
    <s v="Pump, Oil"/>
    <s v="Compressed Air*Air Compressor, Start Air (Fwd)*Pump, Oil"/>
    <n v="0"/>
    <s v="160003"/>
    <s v="QUINCY"/>
    <n v="2"/>
  </r>
  <r>
    <s v="0214"/>
    <x v="21"/>
    <n v="66200010992"/>
    <s v="Compressed Air*Air Compressor, Start Air (Fwd)*Gauge, Oil Pressure"/>
    <x v="79"/>
    <s v="Y"/>
    <n v="1"/>
    <s v="Gauge, Oil Pressure"/>
    <s v="Compressed Air*Air Compressor, Start Air (Fwd)*Gauge, Oil Pressure"/>
    <n v="0"/>
    <s v="110822"/>
    <s v="QUINCY"/>
    <n v="2"/>
  </r>
  <r>
    <s v="0215"/>
    <x v="22"/>
    <n v="8556"/>
    <s v="Pump, Dredge*Dredge Pump*Stuffing Box (D/P)*Impeller Release Ring Kit (11.5&quot; Hub)"/>
    <x v="63"/>
    <s v="Y"/>
    <n v="1"/>
    <s v="Impeller Release Ring Kit (11.5&quot; Hub)"/>
    <s v="Pump, Dredge*Dredge Pump*Stuffing Box (D/P)*Impeller Release Ring Kit (11.5&quot; Hub)"/>
    <n v="1"/>
    <s v="0919X (11.5&quot; Hub)"/>
    <s v="GIW"/>
    <n v="1"/>
  </r>
  <r>
    <s v="0215"/>
    <x v="22"/>
    <n v="9410"/>
    <s v="Pump, Dredge*Dredge Pump Gearbox*Shaft, Input (2nd Shaft)*Seal, Oil (Split) (Garlock)"/>
    <x v="63"/>
    <s v="Y"/>
    <n v="2"/>
    <s v="Seal, Oil (Split) (Garlock)"/>
    <s v="Pump, Dredge*Dredge Pump Gearbox*Shaft, Input (2nd Shaft)*Seal, Oil (Split) (Garlock)"/>
    <n v="0"/>
    <s v="23X3949"/>
    <s v="Garlock"/>
    <n v="1"/>
  </r>
  <r>
    <s v="0215"/>
    <x v="22"/>
    <n v="9530"/>
    <s v="Pump, Dredge*Dredge Pump Gearbox*Clutch (32VC1000)*Kit, Air Tube, Clutch"/>
    <x v="63"/>
    <s v="Y"/>
    <n v="1"/>
    <s v="Kit, Air Tube, Clutch"/>
    <s v="Pump, Dredge*Dredge Pump Gearbox*Clutch (32VC1000)*Kit, Air Tube, Clutch"/>
    <n v="0"/>
    <s v="146500C"/>
    <s v="EATON AIRFLEX"/>
    <n v="1"/>
  </r>
  <r>
    <s v="0215"/>
    <x v="22"/>
    <n v="9547"/>
    <s v="Pump, Dredge*Dredge Pump*Hardware &amp; Gaskets*O-Ring, Hub Liner-Plate"/>
    <x v="63"/>
    <s v="Y"/>
    <n v="1"/>
    <s v="O-Ring, Hub Liner-Plate"/>
    <s v="Pump, Dredge*Dredge Pump*Hardware &amp; Gaskets*O-Ring, Hub Liner-Plate"/>
    <n v="1"/>
    <s v="7718P-11"/>
    <s v="GIW"/>
    <n v="1"/>
  </r>
  <r>
    <s v="0215"/>
    <x v="22"/>
    <n v="9548"/>
    <s v="Pump, Dredge*Dredge Pump*Hardware &amp; Gaskets*O-Ring, Shaft Sleeve"/>
    <x v="63"/>
    <s v="Y"/>
    <n v="1"/>
    <s v="O-Ring, Shaft Sleeve"/>
    <s v="Pump, Dredge*Dredge Pump*Hardware &amp; Gaskets*O-Ring, Shaft Sleeve"/>
    <n v="1"/>
    <s v="7710P-47"/>
    <s v="GIW"/>
    <n v="1"/>
  </r>
  <r>
    <s v="0215"/>
    <x v="22"/>
    <n v="10229"/>
    <s v="Pump, Dredge*Dredge Pump*Hardware &amp; Gaskets*Gasket, Impeller To Sleeve"/>
    <x v="63"/>
    <s v="Y"/>
    <n v="1"/>
    <s v="Gasket, Impeller To Sleeve"/>
    <s v="Pump, Dredge*Dredge Pump*Hardware &amp; Gaskets*Gasket, Impeller To Sleeve"/>
    <n v="1"/>
    <s v="0479P-25"/>
    <s v="GIW"/>
    <n v="1"/>
  </r>
  <r>
    <s v="0215"/>
    <x v="22"/>
    <n v="13875"/>
    <s v="Pump, Dredge*Dredge Pump Engine (EMD 645)*Pre Lube Pump*Pump, Pre-Lube"/>
    <x v="63"/>
    <s v="Y"/>
    <n v="1"/>
    <s v="Pump, Pre-Lube"/>
    <s v="Pump, Dredge*Dredge Pump Engine (EMD 645)*Pre Lube Pump*Pump, Pre-Lube"/>
    <n v="0"/>
    <s v="HJ4195"/>
    <s v="VIKING MARINE SOUTH, INC."/>
    <n v="1"/>
  </r>
  <r>
    <s v="0215"/>
    <x v="22"/>
    <n v="13961"/>
    <s v="Gland Seal*Gland Seal Pump (#1) (3196 LTX)*Gland Seal Pump Set (#1), Complete*Coupling (1060T35)*Hub, Motor End"/>
    <x v="67"/>
    <s v="Y"/>
    <n v="1"/>
    <s v="Hub, Motor End"/>
    <s v="Gland Seal*Gland Seal Pump (#1) (3196 LTX)*Gland Seal Pump Set (#1), Complete*Coupling (1060T35)*Hub, Motor End"/>
    <n v="1"/>
    <s v="0713016"/>
    <s v="Motion Industries"/>
    <n v="2"/>
  </r>
  <r>
    <s v="0215"/>
    <x v="22"/>
    <n v="13962"/>
    <s v="Gland Seal*Gland Seal Pump (#1) (3196 LTX)*Gland Seal Pump Set (#1), Complete*Coupling (1060T35)*Hub, Pump End"/>
    <x v="67"/>
    <s v="Y"/>
    <n v="1"/>
    <s v="Hub, Pump End"/>
    <s v="Gland Seal*Gland Seal Pump (#1) (3196 LTX)*Gland Seal Pump Set (#1), Complete*Coupling (1060T35)*Hub, Pump End"/>
    <n v="1"/>
    <s v="1060T35"/>
    <s v="Motion Industries"/>
    <n v="2"/>
  </r>
  <r>
    <s v="0215"/>
    <x v="22"/>
    <n v="13963"/>
    <s v="Gland Seal*Gland Seal Pump (#1) (3196 LTX)*Gland Seal Pump Set (#1), Complete*Coupling (1060T35)*Spacer"/>
    <x v="67"/>
    <s v="Y"/>
    <n v="1"/>
    <s v="Spacer"/>
    <s v="Gland Seal*Gland Seal Pump (#1) (3196 LTX)*Gland Seal Pump Set (#1), Complete*Coupling (1060T35)*Spacer"/>
    <n v="1"/>
    <s v="0765755"/>
    <s v="Motion Industries"/>
    <n v="2"/>
  </r>
  <r>
    <s v="0215"/>
    <x v="22"/>
    <n v="14147"/>
    <s v="Pump, Dredge*Dredge Pump Engine (EMD 645)*Crankcase/Oil Pan/Block*Manifold, Water*Seal, Cyl. Liner To Water Inlet Tube"/>
    <x v="63"/>
    <s v="Y"/>
    <n v="5"/>
    <s v="Seal, Cyl. Liner To Water Inlet Tube"/>
    <s v="Pump, Dredge*Dredge Pump Engine (EMD 645)*Crankcase/Oil Pan/Block*Manifold, Water*Seal, Cyl. Liner To Water Inlet Tube"/>
    <n v="53"/>
    <s v="8305815"/>
    <s v="EMD (MSI)"/>
    <n v="1"/>
  </r>
  <r>
    <s v="0215"/>
    <x v="22"/>
    <n v="14263"/>
    <s v="Pump, Dredge*Dredge Pump Gearbox*Clutch (32VC1000)*Valve, Air Control, 120 VAC"/>
    <x v="63"/>
    <s v="Y"/>
    <n v="1"/>
    <s v="Valve, Air Control, 120 VAC"/>
    <s v="Pump, Dredge*Dredge Pump Gearbox*Clutch (32VC1000)*Valve, Air Control, 120 VAC"/>
    <n v="0"/>
    <s v="8316G064-120/VAC"/>
    <s v="STEINER ELECTRIC"/>
    <n v="1"/>
  </r>
  <r>
    <s v="0215"/>
    <x v="22"/>
    <n v="14515"/>
    <s v="Gland Seal*Gland Seal Pump (#1) (3196 LTX)*Motor, (100 HP)*Motor, 100 HP"/>
    <x v="67"/>
    <s v="Y"/>
    <n v="1"/>
    <s v="Motor, 100 HP"/>
    <s v="Gland Seal*Gland Seal Pump (#1) (3196 LTX)*Motor, (100 HP)*Motor, 100 HP"/>
    <n v="0"/>
    <m/>
    <m/>
    <n v="2"/>
  </r>
  <r>
    <s v="0215"/>
    <x v="22"/>
    <n v="16237"/>
    <s v="Raw Water*Suction Hose (6&quot; x 19')*Hose Suction, 6&quot; X 19'"/>
    <x v="71"/>
    <s v="Y"/>
    <n v="1"/>
    <s v="Hose Suction, 6&quot; X 19'"/>
    <s v="Raw Water*Suction Hose (6&quot; x 19')*Hose Suction, 6&quot; X 19'"/>
    <n v="2"/>
    <s v="6&quot; X 19'"/>
    <s v="TRICO/KELLY"/>
    <n v="1"/>
  </r>
  <r>
    <s v="0215"/>
    <x v="22"/>
    <n v="18875"/>
    <s v="Production/Instrumentation/Monitoring*Rosemout Transducers*Transmitter (-15-250 Psig) Remote Seal"/>
    <x v="114"/>
    <s v="Y"/>
    <n v="1"/>
    <s v="Transmitter (-15-250 Psig) Remote Seal"/>
    <s v="Production/Instrumentation/Monitoring*Rosemout Transducers*Transmitter (-15-250 Psig) Remote Seal"/>
    <n v="0"/>
    <s v="1151GP7E22S1B1"/>
    <s v="ROSEMOUNT"/>
    <n v="1"/>
  </r>
  <r>
    <s v="0215"/>
    <x v="22"/>
    <n v="18877"/>
    <s v="Production/Instrumentation/Monitoring*Rosemout Transducers*Transmitter (0-100 PSIG)"/>
    <x v="114"/>
    <s v="Y"/>
    <n v="1"/>
    <s v="Transmitter (0-100 PSIG)"/>
    <s v="Production/Instrumentation/Monitoring*Rosemout Transducers*Transmitter (0-100 PSIG)"/>
    <n v="1"/>
    <s v="1151GP6E22B3M3DF"/>
    <s v="ROSEMOUNT"/>
    <n v="1"/>
  </r>
  <r>
    <s v="0215"/>
    <x v="22"/>
    <n v="18878"/>
    <s v="Production/Instrumentation/Monitoring*Rosemout Transducers*Transmitter (0-300 PSIG)"/>
    <x v="114"/>
    <s v="Y"/>
    <n v="1"/>
    <s v="Transmitter (0-300 PSIG)"/>
    <s v="Production/Instrumentation/Monitoring*Rosemout Transducers*Transmitter (0-300 PSIG)"/>
    <n v="0"/>
    <s v="1151GP7E22B3M3DF"/>
    <s v="ROSEMOUNT"/>
    <n v="1"/>
  </r>
  <r>
    <s v="0215"/>
    <x v="22"/>
    <n v="18879"/>
    <s v="Production/Instrumentation/Monitoring*Rosemout Transducers*Transmitter (0-400 PSIG)"/>
    <x v="114"/>
    <s v="Y"/>
    <n v="1"/>
    <s v="Transmitter (0-400 PSIG)"/>
    <s v="Production/Instrumentation/Monitoring*Rosemout Transducers*Transmitter (0-400 PSIG)"/>
    <n v="0"/>
    <s v="1151GP8E22B3M3DF"/>
    <s v="ROSEMOUNT"/>
    <n v="1"/>
  </r>
  <r>
    <s v="0215"/>
    <x v="22"/>
    <n v="25123"/>
    <s v="Pump, Dredge*Dredge Pump*Liner, Suction Side (Diverter)"/>
    <x v="63"/>
    <s v="Y"/>
    <n v="1"/>
    <s v="Liner, Suction Side (Diverter)"/>
    <s v="Pump, Dredge*Dredge Pump*Liner, Suction Side (Diverter)"/>
    <n v="1"/>
    <s v="6036C"/>
    <s v="HAGLER SYSTEMS"/>
    <n v="1"/>
  </r>
  <r>
    <s v="0215"/>
    <x v="22"/>
    <n v="25237"/>
    <s v="Pump, Dredge*Shafting*Pump Bearing F-Type Assembly (D/P)*Oil Cooler*Heat Exchanger (Oil)"/>
    <x v="63"/>
    <s v="Y"/>
    <n v="1"/>
    <s v="Heat Exchanger (Oil)"/>
    <s v="Pump, Dredge*Shafting*Pump Bearing F-Type Assembly (D/P)*Oil Cooler*Heat Exchanger (Oil)"/>
    <n v="1"/>
    <s v="BE EAB-1202-B4-SP-CNT-S"/>
    <s v="American Industrial"/>
    <n v="1"/>
  </r>
  <r>
    <s v="0215"/>
    <x v="22"/>
    <n v="30674"/>
    <s v="Pump, Dredge*Dredge Pump Engine (EMD 645)*Governor*PG Actuator"/>
    <x v="63"/>
    <s v="Y"/>
    <n v="1"/>
    <s v="PG Actuator"/>
    <s v="Pump, Dredge*Dredge Pump Engine (EMD 645)*Governor*PG Actuator"/>
    <n v="0"/>
    <s v="8251-425"/>
    <s v="Woodward"/>
    <n v="1"/>
  </r>
  <r>
    <s v="0215"/>
    <x v="22"/>
    <n v="31452"/>
    <s v="Gland Seal*Gland Seal Pump (#1) (3196 LTX)*Gland Seal Pump Set (#1), Complete*Coupling (1060T35)*Grid, 1060T35 Coupling"/>
    <x v="67"/>
    <s v="Y"/>
    <n v="1"/>
    <s v="Grid, 1060T35 Coupling"/>
    <s v="Gland Seal*Gland Seal Pump (#1) (3196 LTX)*Gland Seal Pump Set (#1), Complete*Coupling (1060T35)*Grid, 1060T35 Coupling"/>
    <n v="0"/>
    <s v="1060T35"/>
    <s v="Motion Industries"/>
    <n v="2"/>
  </r>
  <r>
    <s v="0215"/>
    <x v="22"/>
    <n v="32236"/>
    <s v="Pump, Dredge*Dredge Pump Gearbox*Clutch (32VC1000)*Clutch (Complete Assembly)"/>
    <x v="63"/>
    <s v="Y"/>
    <n v="1"/>
    <s v="Clutch (Complete Assembly)"/>
    <s v="Pump, Dredge*Dredge Pump Gearbox*Clutch (32VC1000)*Clutch (Complete Assembly)"/>
    <n v="0"/>
    <s v="988456"/>
    <s v="EATON AIRFLEX"/>
    <n v="1"/>
  </r>
  <r>
    <s v="0215"/>
    <x v="22"/>
    <n v="35207"/>
    <s v="Pump, Dredge*Dredge Pump Gearbox*Lube System*OIL PUMP AND MOTOR ASSEMBLY*Motor, 5 Hp"/>
    <x v="63"/>
    <s v="Y"/>
    <n v="1"/>
    <s v="Motor, 5 Hp"/>
    <s v="Pump, Dredge*Dredge Pump Gearbox*Lube System*OIL PUMP AND MOTOR ASSEMBLY*Motor, 5 Hp"/>
    <n v="1"/>
    <s v="5K254QPA8DA7A"/>
    <s v="General Electric"/>
    <n v="1"/>
  </r>
  <r>
    <s v="0215"/>
    <x v="22"/>
    <n v="49256"/>
    <s v="Pump, Dredge*Dredge Pump*Hardware &amp; Gaskets*Gasket Kit, 13&quot; HUB"/>
    <x v="63"/>
    <s v="Y"/>
    <n v="1"/>
    <s v="Gasket Kit, 13&quot; HUB"/>
    <s v="Pump, Dredge*Dredge Pump*Hardware &amp; Gaskets*Gasket Kit, 13&quot; HUB"/>
    <n v="0"/>
    <s v="639-9748P-34-0000K"/>
    <s v="HAGLER SYSTEMS"/>
    <n v="1"/>
  </r>
  <r>
    <s v="0215"/>
    <x v="22"/>
    <n v="51224"/>
    <s v="Pump, Dredge*Dredge Pump Engine (EMD 645)*Crankcase/Oil Pan/Block*Top Deck Cover, Flame Arrestor*Latch Assembly Cover Hinge"/>
    <x v="63"/>
    <s v="Y"/>
    <n v="4"/>
    <s v="Latch Assembly Cover Hinge"/>
    <s v="Pump, Dredge*Dredge Pump Engine (EMD 645)*Crankcase/Oil Pan/Block*Top Deck Cover, Flame Arrestor*Latch Assembly Cover Hinge"/>
    <n v="0"/>
    <s v="8498895"/>
    <s v="EMD"/>
    <n v="1"/>
  </r>
  <r>
    <s v="0215"/>
    <x v="22"/>
    <n v="51225"/>
    <s v="Pump, Dredge*Dredge Pump Engine (EMD 645)*Crankcase/Oil Pan/Block*Top Deck Cover, Flame Arrestor*Latch Assembly, Cover Clamp"/>
    <x v="63"/>
    <s v="Y"/>
    <n v="4"/>
    <s v="Latch Assembly, Cover Clamp"/>
    <s v="Pump, Dredge*Dredge Pump Engine (EMD 645)*Crankcase/Oil Pan/Block*Top Deck Cover, Flame Arrestor*Latch Assembly, Cover Clamp"/>
    <n v="0"/>
    <s v="8498896"/>
    <s v="EMD"/>
    <n v="1"/>
  </r>
  <r>
    <s v="0215"/>
    <x v="22"/>
    <n v="57014"/>
    <s v="Pump, Dredge*Dredge Pump Engine (EMD 645)*Crankcase/Oil Pan/Block*Magnetic Pickup"/>
    <x v="63"/>
    <s v="Y"/>
    <n v="1"/>
    <s v="Magnetic Pickup"/>
    <s v="Pump, Dredge*Dredge Pump Engine (EMD 645)*Crankcase/Oil Pan/Block*Magnetic Pickup"/>
    <n v="0"/>
    <s v="LMPEC000"/>
    <s v="RED LION MONARCH"/>
    <n v="1"/>
  </r>
  <r>
    <s v="0215"/>
    <x v="22"/>
    <n v="57477"/>
    <s v="Pump, Dredge*Dredge Pump Gearbox*Lube System*Oiler, Sight Feed"/>
    <x v="63"/>
    <s v="Y"/>
    <n v="2"/>
    <s v="Oiler, Sight Feed"/>
    <s v="Pump, Dredge*Dredge Pump Gearbox*Lube System*Oiler, Sight Feed"/>
    <n v="0"/>
    <s v="X-4081-G4"/>
    <s v="HORSBURGH &amp; SCOTT"/>
    <n v="1"/>
  </r>
  <r>
    <s v="0215"/>
    <x v="22"/>
    <n v="11500002902"/>
    <s v="Pump, Dredge*Dredge Pump*Liner, Engine Side"/>
    <x v="63"/>
    <s v="Y"/>
    <n v="1"/>
    <s v="Liner, Engine Side"/>
    <s v="Pump, Dredge*Dredge Pump*Liner, Engine Side"/>
    <n v="0"/>
    <s v="AC-1868"/>
    <s v="MPMW Dwg "/>
    <n v="1"/>
  </r>
  <r>
    <s v="0215"/>
    <x v="22"/>
    <n v="11500002903"/>
    <s v="Pump, Dredge*Dredge Pump*Liner, Throat"/>
    <x v="63"/>
    <s v="Y"/>
    <n v="1"/>
    <s v="Liner, Throat"/>
    <s v="Pump, Dredge*Dredge Pump*Liner, Throat"/>
    <n v="0"/>
    <s v="1C-2082"/>
    <s v="MPMW Dwg "/>
    <n v="1"/>
  </r>
  <r>
    <s v="0215"/>
    <x v="22"/>
    <n v="11500002920"/>
    <s v="Pump, Dredge*Dredge Pump*Liner, Throat*O-Ring, Throat Liner"/>
    <x v="63"/>
    <s v="Y"/>
    <n v="1"/>
    <s v="O-Ring, Throat Liner"/>
    <s v="Pump, Dredge*Dredge Pump*Liner, Throat*O-Ring, Throat Liner"/>
    <n v="0"/>
    <s v="7720P-08"/>
    <s v="GIW"/>
    <n v="1"/>
  </r>
  <r>
    <s v="0215"/>
    <x v="22"/>
    <n v="11500002921"/>
    <s v="Pump, Dredge*Dredge Pump*Hardware &amp; Gaskets*x-O-Ring, Inner Liner, DO NOT IN USE"/>
    <x v="63"/>
    <s v="Y"/>
    <n v="1"/>
    <s v="x-O-Ring, Inner Liner, DO NOT IN USE"/>
    <s v="Pump, Dredge*Dredge Pump*Hardware &amp; Gaskets*x-O-Ring, Inner Liner, DO NOT IN USE"/>
    <n v="0"/>
    <s v="7719P-19"/>
    <s v="MPMW Dwg "/>
    <n v="1"/>
  </r>
  <r>
    <s v="0215"/>
    <x v="22"/>
    <n v="11500002926"/>
    <s v="Pump, Dredge*Dredge Pump*Hardware &amp; Gaskets*O-Ring, Outer Liner O.D."/>
    <x v="63"/>
    <s v="Y"/>
    <n v="1"/>
    <s v="O-Ring, Outer Liner O.D."/>
    <s v="Pump, Dredge*Dredge Pump*Hardware &amp; Gaskets*O-Ring, Outer Liner O.D."/>
    <n v="1"/>
    <s v="7719P-20"/>
    <s v="MPMW Dwg "/>
    <n v="1"/>
  </r>
  <r>
    <s v="0215"/>
    <x v="22"/>
    <n v="11500002927"/>
    <s v="Pump, Dredge*Dredge Pump*Hardware &amp; Gaskets*O-Ring, Back Door O.D."/>
    <x v="63"/>
    <s v="Y"/>
    <n v="1"/>
    <s v="O-Ring, Back Door O.D."/>
    <s v="Pump, Dredge*Dredge Pump*Hardware &amp; Gaskets*O-Ring, Back Door O.D."/>
    <n v="2"/>
    <s v="7739P-03"/>
    <s v="MPMW Dwg "/>
    <n v="1"/>
  </r>
  <r>
    <s v="0215"/>
    <x v="22"/>
    <n v="11500002928"/>
    <s v="Pump, Dredge*Dredge Pump*Hardware &amp; Gaskets*O-Ring, Back Door I.D."/>
    <x v="63"/>
    <s v="Y"/>
    <n v="1"/>
    <s v="O-Ring, Back Door I.D."/>
    <s v="Pump, Dredge*Dredge Pump*Hardware &amp; Gaskets*O-Ring, Back Door I.D."/>
    <n v="2"/>
    <s v="7743P-01"/>
    <s v="MPMW Dwg "/>
    <n v="1"/>
  </r>
  <r>
    <s v="0215"/>
    <x v="22"/>
    <n v="13200002254"/>
    <s v="Gland Seal*Gland Seal Pump (#1) (3196 LTX)*Gland Seal Pump Set (#1), Complete*Shaft, Impeller*Sleeve, Shaft"/>
    <x v="67"/>
    <s v="Y"/>
    <n v="1"/>
    <s v="Sleeve, Shaft"/>
    <s v="Gland Seal*Gland Seal Pump (#1) (3196 LTX)*Gland Seal Pump Set (#1), Complete*Shaft, Impeller*Sleeve, Shaft"/>
    <n v="0"/>
    <s v="73705X-2229"/>
    <s v="Goulds"/>
    <n v="2"/>
  </r>
  <r>
    <s v="0215"/>
    <x v="22"/>
    <n v="13200002629"/>
    <s v="Pump, Dredge*Dredge Pump Gearbox*Clutch (32VC1000)*Tube, Air Connection"/>
    <x v="63"/>
    <s v="Y"/>
    <n v="1"/>
    <s v="Tube, Air Connection"/>
    <s v="Pump, Dredge*Dredge Pump Gearbox*Clutch (32VC1000)*Tube, Air Connection"/>
    <n v="0"/>
    <s v="412178-05"/>
    <s v="BRAKE SUPPLY"/>
    <n v="1"/>
  </r>
  <r>
    <s v="0215"/>
    <x v="22"/>
    <n v="13200002637"/>
    <s v="Pump, Dredge*Dredge Pump Gearbox*Clutch (32VC1000)*Rotary Air Seal, 1&quot;"/>
    <x v="63"/>
    <s v="Y"/>
    <n v="2"/>
    <s v="Rotary Air Seal, 1&quot;"/>
    <s v="Pump, Dredge*Dredge Pump Gearbox*Clutch (32VC1000)*Rotary Air Seal, 1&quot;"/>
    <n v="4"/>
    <s v="145488AB"/>
    <s v="EATON AIRFLEX"/>
    <n v="1"/>
  </r>
  <r>
    <s v="0215"/>
    <x v="22"/>
    <n v="14400000048"/>
    <s v="Pump, Dredge*Dredge Pump Engine (EMD 645)*Crankcase/Oil Pan/Block*Top Deck Cover, Flame Arrestor*Top Deck Cover Support"/>
    <x v="63"/>
    <s v="Y"/>
    <n v="1"/>
    <s v="Top Deck Cover Support"/>
    <s v="Pump, Dredge*Dredge Pump Engine (EMD 645)*Crankcase/Oil Pan/Block*Top Deck Cover, Flame Arrestor*Top Deck Cover Support"/>
    <n v="0"/>
    <s v="40050462"/>
    <s v="EMD (MSI)"/>
    <n v="1"/>
  </r>
  <r>
    <s v="0215"/>
    <x v="22"/>
    <n v="14400000081"/>
    <s v="Pump, Dredge*Dredge Pump Engine (EMD 645)*Starting System*Valve, Air Start, Two Way"/>
    <x v="63"/>
    <s v="Y"/>
    <n v="1"/>
    <s v="Valve, Air Start, Two Way"/>
    <s v="Pump, Dredge*Dredge Pump Engine (EMD 645)*Starting System*Valve, Air Start, Two Way"/>
    <n v="2"/>
    <s v="8393335"/>
    <s v="EMD (MSI)"/>
    <n v="1"/>
  </r>
  <r>
    <s v="0215"/>
    <x v="22"/>
    <n v="14400000092"/>
    <s v="Pump, Dredge*Dredge Pump Engine (EMD 645)*Fuel Pump (FP1)*Fuel Pump"/>
    <x v="63"/>
    <s v="Y"/>
    <n v="1"/>
    <s v="Fuel Pump"/>
    <s v="Pump, Dredge*Dredge Pump Engine (EMD 645)*Fuel Pump (FP1)*Fuel Pump"/>
    <n v="0"/>
    <s v="8080284"/>
    <s v="EMD (MSI)"/>
    <n v="1"/>
  </r>
  <r>
    <s v="0215"/>
    <x v="22"/>
    <n v="14400000223"/>
    <s v="Pump, Dredge*Dredge Pump Engine (EMD 645)*Crankcase/Oil Pan/Block*Manifold, Water*Gasket, Pump To Elbow"/>
    <x v="63"/>
    <s v="Y"/>
    <n v="2"/>
    <s v="Gasket, Pump To Elbow"/>
    <s v="Pump, Dredge*Dredge Pump Engine (EMD 645)*Crankcase/Oil Pan/Block*Manifold, Water*Gasket, Pump To Elbow"/>
    <n v="0"/>
    <s v="40040018"/>
    <s v="EMD (MSI)"/>
    <n v="1"/>
  </r>
  <r>
    <s v="0215"/>
    <x v="22"/>
    <n v="14400000242"/>
    <s v="Pump, Dredge*Dredge Pump Engine (EMD 645)*Crankcase/Oil Pan/Block*Top Deck Cover, Flame Arrestor*Kit, Seal, Valve Cover"/>
    <x v="63"/>
    <s v="Y"/>
    <n v="1"/>
    <s v="Kit, Seal, Valve Cover"/>
    <s v="Pump, Dredge*Dredge Pump Engine (EMD 645)*Crankcase/Oil Pan/Block*Top Deck Cover, Flame Arrestor*Kit, Seal, Valve Cover"/>
    <n v="14"/>
    <s v="9087072"/>
    <s v="EMD (MSI)"/>
    <n v="1"/>
  </r>
  <r>
    <s v="0215"/>
    <x v="22"/>
    <n v="14500000416"/>
    <s v="Pump, Dredge*Dredge Pump Engine (EMD 645)*Lube Oil Pressure Pump (LP2)*Lube Oil Pressure Pump (20-645)*Gasket Kit, Pressure Pump"/>
    <x v="63"/>
    <s v="Y"/>
    <n v="1"/>
    <s v="Gasket Kit, Pressure Pump"/>
    <s v="Pump, Dredge*Dredge Pump Engine (EMD 645)*Lube Oil Pressure Pump (LP2)*Lube Oil Pressure Pump (20-645)*Gasket Kit, Pressure Pump"/>
    <n v="0"/>
    <s v="9580728"/>
    <s v="EMD (MSI)"/>
    <n v="1"/>
  </r>
  <r>
    <s v="0215"/>
    <x v="22"/>
    <n v="14500002209"/>
    <s v="Pump, Dredge*Dredge Pump*Stuffing Box (D/P)*Lantern Ring, Gathane (Split)"/>
    <x v="63"/>
    <s v="Y"/>
    <n v="1"/>
    <s v="Lantern Ring, Gathane (Split)"/>
    <s v="Pump, Dredge*Dredge Pump*Stuffing Box (D/P)*Lantern Ring, Gathane (Split)"/>
    <n v="1"/>
    <s v="618-0365A-00-03GAT"/>
    <s v="GIW"/>
    <n v="1"/>
  </r>
  <r>
    <s v="0215"/>
    <x v="22"/>
    <n v="14500002333"/>
    <s v="Pump, Dredge*Dredge Pump*Stuffing Box (D/P)*Stuffing Box, Complete (11.5&quot;)"/>
    <x v="63"/>
    <s v="Y"/>
    <n v="1"/>
    <s v="Stuffing Box, Complete (11.5&quot;)"/>
    <s v="Pump, Dredge*Dredge Pump*Stuffing Box (D/P)*Stuffing Box, Complete (11.5&quot;)"/>
    <n v="0"/>
    <s v="6560C-00-0P40C"/>
    <s v="GIW"/>
    <n v="1"/>
  </r>
  <r>
    <s v="0215"/>
    <x v="22"/>
    <n v="14500002735"/>
    <s v="Pump, Dredge*Dredge Pump*Stuffing Box (D/P)*Packing Gland"/>
    <x v="63"/>
    <s v="Y"/>
    <n v="1"/>
    <s v="Packing Gland"/>
    <s v="Pump, Dredge*Dredge Pump*Stuffing Box (D/P)*Packing Gland"/>
    <n v="0"/>
    <s v="0865C-04"/>
    <s v="GIW"/>
    <n v="1"/>
  </r>
  <r>
    <s v="0215"/>
    <x v="22"/>
    <n v="14500002739"/>
    <s v="Pump, Dredge*Dredge Pump*Stuffing Box (D/P)*Packing Gland*Stud, Packing Gland, (Stainless Steel)"/>
    <x v="63"/>
    <s v="Y"/>
    <n v="2"/>
    <s v="Stud, Packing Gland, (Stainless Steel)"/>
    <s v="Pump, Dredge*Dredge Pump*Stuffing Box (D/P)*Packing Gland*Stud, Packing Gland, (Stainless Steel)"/>
    <n v="0"/>
    <s v="9760P-26"/>
    <s v="GIW"/>
    <n v="1"/>
  </r>
  <r>
    <s v="0215"/>
    <x v="22"/>
    <n v="23500000062"/>
    <s v="Pump, Dredge*Dredge Pump*Stuffing Box (D/P)*Sleeve, Shaft, D/P 11.5&quot;"/>
    <x v="63"/>
    <s v="Y"/>
    <n v="1"/>
    <s v="Sleeve, Shaft, D/P 11.5&quot;"/>
    <s v="Pump, Dredge*Dredge Pump*Stuffing Box (D/P)*Sleeve, Shaft, D/P 11.5&quot;"/>
    <n v="1"/>
    <s v="8213D"/>
    <s v="GIW"/>
    <n v="1"/>
  </r>
  <r>
    <s v="0215"/>
    <x v="22"/>
    <n v="27900000046"/>
    <s v="Pump, Dredge*Dredge Pump Engine (EMD 645)*Crankcase/Oil Pan/Block*Manifold, Water*Gasket, Elbow To Manifold"/>
    <x v="63"/>
    <s v="Y"/>
    <n v="2"/>
    <s v="Gasket, Elbow To Manifold"/>
    <s v="Pump, Dredge*Dredge Pump Engine (EMD 645)*Crankcase/Oil Pan/Block*Manifold, Water*Gasket, Elbow To Manifold"/>
    <n v="24"/>
    <s v="40040019"/>
    <s v="EMD (MSI)"/>
    <n v="1"/>
  </r>
  <r>
    <s v="0215"/>
    <x v="22"/>
    <n v="27900002276"/>
    <s v="Pump, Dredge*Dredge Pump Engine (EMD 645)*Crankcase/Oil Pan/Block*Switch, Crankcase Pressure"/>
    <x v="63"/>
    <s v="Y"/>
    <n v="1"/>
    <s v="Switch, Crankcase Pressure"/>
    <s v="Pump, Dredge*Dredge Pump Engine (EMD 645)*Crankcase/Oil Pan/Block*Switch, Crankcase Pressure"/>
    <n v="0"/>
    <s v="8362040"/>
    <s v="EMD (MSI)"/>
    <n v="1"/>
  </r>
  <r>
    <s v="0215"/>
    <x v="22"/>
    <n v="32400000078"/>
    <s v="Pump, Dredge*Dredge Pump Engine (EMD 645)*Crankcase/Oil Pan/Block*Manifold, Water*Gasket, Water Jumper"/>
    <x v="63"/>
    <s v="Y"/>
    <n v="2"/>
    <s v="Gasket, Water Jumper"/>
    <s v="Pump, Dredge*Dredge Pump Engine (EMD 645)*Crankcase/Oil Pan/Block*Manifold, Water*Gasket, Water Jumper"/>
    <n v="19"/>
    <s v="8142354"/>
    <s v="EMD"/>
    <n v="1"/>
  </r>
  <r>
    <s v="0215"/>
    <x v="22"/>
    <n v="35400001425"/>
    <s v="Pump, Dredge*Dredge Pump Engine (EMD 645)*Crankcase/Oil Pan/Block*Flywheel, Marine Hd (Boosters)*Magnetic Pickup"/>
    <x v="63"/>
    <s v="Y"/>
    <n v="1"/>
    <s v="Magnetic Pickup"/>
    <s v="Pump, Dredge*Dredge Pump Engine (EMD 645)*Crankcase/Oil Pan/Block*Flywheel, Marine Hd (Boosters)*Magnetic Pickup"/>
    <n v="0"/>
    <s v="8270383"/>
    <s v="EMD (MSI)"/>
    <n v="1"/>
  </r>
  <r>
    <s v="0215"/>
    <x v="22"/>
    <n v="45000005106"/>
    <s v="Pump, Dredge*Dredge Pump Engine (EMD 645)*Cooling System*Switch, Engine Temperature"/>
    <x v="63"/>
    <s v="Y"/>
    <n v="1"/>
    <s v="Switch, Engine Temperature"/>
    <s v="Pump, Dredge*Dredge Pump Engine (EMD 645)*Cooling System*Switch, Engine Temperature"/>
    <n v="0"/>
    <s v="9544837"/>
    <s v="EMD (MSI)"/>
    <n v="1"/>
  </r>
  <r>
    <s v="0215"/>
    <x v="22"/>
    <n v="45000007418"/>
    <s v="Raw Water*Raw Water Pump (#1) (3796)*Pump Set, Raw Water (Complete)*Cover And Grid Assembly"/>
    <x v="71"/>
    <s v="Y"/>
    <n v="1"/>
    <s v="Cover And Grid Assembly"/>
    <s v="Raw Water*Raw Water Pump (#1) (3796)*Pump Set, Raw Water (Complete)*Cover And Grid Assembly"/>
    <n v="0"/>
    <s v="1040T10"/>
    <s v="Motion Industries"/>
    <n v="2"/>
  </r>
  <r>
    <s v="0215"/>
    <x v="22"/>
    <n v="45000007922"/>
    <s v="Pump, Dredge*Dredge Pump Engine (EMD 645)*Crankcase/Oil Pan/Block*Manifold, Water*Sleeve, Water Manifold"/>
    <x v="63"/>
    <s v="Y"/>
    <n v="2"/>
    <s v="Sleeve, Water Manifold"/>
    <s v="Pump, Dredge*Dredge Pump Engine (EMD 645)*Crankcase/Oil Pan/Block*Manifold, Water*Sleeve, Water Manifold"/>
    <n v="0"/>
    <s v="8433263"/>
    <s v="EMD (MSI)"/>
    <n v="1"/>
  </r>
  <r>
    <s v="0215"/>
    <x v="22"/>
    <n v="45000014049"/>
    <s v="Electrical*Automation*PLC (Allen Bradley)*SLC 1746 - NR8, 8 Point RTD Input Card"/>
    <x v="61"/>
    <s v="Y"/>
    <n v="1"/>
    <s v="SLC 1746 - NR8, 8 Point RTD Input Card"/>
    <s v="Electrical*Automation*PLC (Allen Bradley)*SLC 1746 - NR8, 8 Point RTD Input Card"/>
    <n v="1"/>
    <s v="1746-NR8"/>
    <s v="ALLEN-BRADLEY"/>
    <n v="1"/>
  </r>
  <r>
    <s v="0215"/>
    <x v="22"/>
    <n v="45000022160"/>
    <s v="Pump, Dredge*Dredge Pump Gearbox*Lube System*OIL PUMP AND MOTOR ASSEMBLY*Pump, Rotary Vane, 1-1/2&quot; NPT"/>
    <x v="63"/>
    <s v="Y"/>
    <n v="1"/>
    <s v="Pump, Rotary Vane, 1-1/2&quot; NPT"/>
    <s v="Pump, Dredge*Dredge Pump Gearbox*Lube System*OIL PUMP AND MOTOR ASSEMBLY*Pump, Rotary Vane, 1-1/2&quot; NPT"/>
    <n v="0"/>
    <s v="5C1F"/>
    <s v="TUTHILL"/>
    <n v="1"/>
  </r>
  <r>
    <s v="0215"/>
    <x v="22"/>
    <n v="45000022209"/>
    <s v="Vessel Consumables*Packing*Packing, MP Stuffing Box 1&quot; Sq."/>
    <x v="78"/>
    <s v="Y"/>
    <n v="1"/>
    <s v="Packing, MP Stuffing Box 1&quot; Sq."/>
    <s v="Vessel Consumables*Packing*Packing, MP Stuffing Box 1&quot; Sq."/>
    <n v="0"/>
    <s v="ML2225"/>
    <s v="SEPCO"/>
    <n v="1"/>
  </r>
  <r>
    <s v="0215"/>
    <x v="22"/>
    <n v="45000022210"/>
    <s v="Vessel Consumables*Packing*(MP) STF. Box, 1-1/8&quot; Sq."/>
    <x v="78"/>
    <s v="Y"/>
    <n v="1"/>
    <s v="(MP) STF. Box, 1-1/8&quot; Sq."/>
    <s v="Vessel Consumables*Packing*(MP) STF. Box, 1-1/8&quot; Sq."/>
    <n v="0"/>
    <s v="ML2225"/>
    <s v="SEPCO"/>
    <n v="1"/>
  </r>
  <r>
    <s v="0215"/>
    <x v="22"/>
    <n v="45000028180"/>
    <s v="Mooring/Anchor Handling*Anchor Winch (Port)*Anchor Winch Engine (Detroit 4-71)*Alternator"/>
    <x v="106"/>
    <s v="Y"/>
    <n v="1"/>
    <s v="Alternator"/>
    <s v="Mooring/Anchor Handling*Anchor Winch (Port)*Anchor Winch Engine (Detroit 4-71)*Alternator"/>
    <n v="0"/>
    <s v="13-4011SW"/>
    <s v="DETROIT DIESEL"/>
    <n v="1"/>
  </r>
  <r>
    <s v="0215"/>
    <x v="22"/>
    <n v="45000028181"/>
    <s v="Mooring/Anchor Handling*Anchor Winch (Port)*Anchor Winch Engine (Detroit 4-71)*Starter"/>
    <x v="106"/>
    <s v="Y"/>
    <n v="1"/>
    <s v="Starter"/>
    <s v="Mooring/Anchor Handling*Anchor Winch (Port)*Anchor Winch Engine (Detroit 4-71)*Starter"/>
    <n v="0"/>
    <s v="50-108-2"/>
    <s v="DETROIT DIESEL"/>
    <n v="1"/>
  </r>
  <r>
    <s v="0215"/>
    <x v="22"/>
    <n v="45000028529"/>
    <s v="Compressed Air*Air Compressor Set (#1)*Air Compressor (#1)*Air Tank/ Receiver (120 Gallon)*Air Gauge (0-200 PSI)"/>
    <x v="79"/>
    <s v="Y"/>
    <n v="1"/>
    <s v="Air Gauge (0-200 PSI)"/>
    <s v="Compressed Air*Air Compressor Set (#1)*Air Compressor (#1)*Air Tank/ Receiver (120 Gallon)*Air Gauge (0-200 PSI)"/>
    <n v="0"/>
    <s v="3226"/>
    <s v="QUINCY"/>
    <n v="2"/>
  </r>
  <r>
    <s v="0215"/>
    <x v="22"/>
    <n v="45000028530"/>
    <s v="Compressed Air*Air Compressor Set (#1)*Air Compressor (#1)*Air Tank/ Receiver (120 Gallon)*Valve, Safety Relief"/>
    <x v="79"/>
    <s v="Y"/>
    <n v="1"/>
    <s v="Valve, Safety Relief"/>
    <s v="Compressed Air*Air Compressor Set (#1)*Air Compressor (#1)*Air Tank/ Receiver (120 Gallon)*Valve, Safety Relief"/>
    <n v="0"/>
    <s v="3922-200"/>
    <s v="QUINCY"/>
    <n v="2"/>
  </r>
  <r>
    <s v="0215"/>
    <x v="22"/>
    <n v="45000029027"/>
    <s v="Raw Water*Raw Water Pump (#1) (3796)*Pump Set, Raw Water (Complete)*Back Pull Out Unit - 13&quot; Impeller"/>
    <x v="71"/>
    <s v="Y"/>
    <n v="1"/>
    <s v="Back Pull Out Unit - 13&quot; Impeller"/>
    <s v="Raw Water*Raw Water Pump (#1) (3796)*Pump Set, Raw Water (Complete)*Back Pull Out Unit - 13&quot; Impeller"/>
    <n v="0"/>
    <m/>
    <m/>
    <n v="2"/>
  </r>
  <r>
    <s v="0215"/>
    <x v="22"/>
    <n v="45000029148"/>
    <s v="Pump, Dredge*Dredge Pump Engine (EMD 645)*Fuel Injectors (IN6)*Fuel Injector (1042 EB)"/>
    <x v="63"/>
    <s v="Y"/>
    <n v="20"/>
    <s v="Fuel Injector (1042 EB)"/>
    <s v="Pump, Dredge*Dredge Pump Engine (EMD 645)*Fuel Injectors (IN6)*Fuel Injector (1042 EB)"/>
    <n v="5"/>
    <s v="40161957-MP"/>
    <s v="EMD (MSI)"/>
    <n v="1"/>
  </r>
  <r>
    <s v="0215"/>
    <x v="22"/>
    <n v="45000029149"/>
    <s v="Pump, Dredge*Dredge Pump Engine (EMD 645)*Power Packs (PP3)*Fork Rod Pack (1042 UL)"/>
    <x v="63"/>
    <s v="Y"/>
    <n v="1"/>
    <s v="Fork Rod Pack (1042 UL)"/>
    <s v="Pump, Dredge*Dredge Pump Engine (EMD 645)*Power Packs (PP3)*Fork Rod Pack (1042 UL)"/>
    <n v="0"/>
    <s v="40173247-MP"/>
    <s v="EMD"/>
    <n v="1"/>
  </r>
  <r>
    <s v="0215"/>
    <x v="22"/>
    <n v="45000029150"/>
    <s v="Pump, Dredge*Dredge Pump Engine (EMD 645)*Power Packs (PP3)*Blade Rod Pack (1042 UL)"/>
    <x v="63"/>
    <s v="Y"/>
    <n v="1"/>
    <s v="Blade Rod Pack (1042 UL)"/>
    <s v="Pump, Dredge*Dredge Pump Engine (EMD 645)*Power Packs (PP3)*Blade Rod Pack (1042 UL)"/>
    <n v="0"/>
    <s v="40173248-MP"/>
    <s v="EMD"/>
    <n v="1"/>
  </r>
  <r>
    <s v="0215"/>
    <x v="22"/>
    <n v="45000029614"/>
    <s v="Pump, Dredge*Dredge Pump Engine (EMD 645)*Pre Lube Pump*Pump, Pre-Lube*MOTOR, 1-1/2 HP"/>
    <x v="63"/>
    <s v="Y"/>
    <n v="1"/>
    <s v="MOTOR, 1-1/2 HP"/>
    <s v="Pump, Dredge*Dredge Pump Engine (EMD 645)*Pre Lube Pump*Pump, Pre-Lube*MOTOR, 1-1/2 HP"/>
    <n v="0"/>
    <s v="4GPT2"/>
    <s v="Grainger"/>
    <n v="1"/>
  </r>
  <r>
    <s v="0215"/>
    <x v="22"/>
    <n v="45000030554"/>
    <s v="Pump, Dredge*Dredge Pump Gearbox*Clutch (32VC1000)*Valve, Solenoid, 3-Way"/>
    <x v="63"/>
    <s v="Y"/>
    <n v="1"/>
    <s v="Valve, Solenoid, 3-Way"/>
    <s v="Pump, Dredge*Dredge Pump Gearbox*Clutch (32VC1000)*Valve, Solenoid, 3-Way"/>
    <n v="0"/>
    <s v="73312BN52NJ0N0C111P3"/>
    <s v="Parker"/>
    <n v="1"/>
  </r>
  <r>
    <s v="0215"/>
    <x v="22"/>
    <n v="45000031810"/>
    <s v="Electrical*Automation*PLC (Allen Bradley)*SLC 1746 - IN16I Analog Input Module"/>
    <x v="61"/>
    <s v="Y"/>
    <n v="1"/>
    <s v="SLC 1746 - IN16I Analog Input Module"/>
    <s v="Electrical*Automation*PLC (Allen Bradley)*SLC 1746 - IN16I Analog Input Module"/>
    <n v="1"/>
    <s v="1746-IN16"/>
    <s v="ALLEN-BRADLEY"/>
    <n v="1"/>
  </r>
  <r>
    <s v="0215"/>
    <x v="22"/>
    <n v="45000031811"/>
    <s v="Electrical*Automation*PLC (Allen Bradley)*SLC 1746 - NO4I, Analog Module"/>
    <x v="61"/>
    <s v="Y"/>
    <n v="1"/>
    <s v="SLC 1746 - NO4I, Analog Module"/>
    <s v="Electrical*Automation*PLC (Allen Bradley)*SLC 1746 - NO4I, Analog Module"/>
    <n v="2"/>
    <s v="1746-NO4I"/>
    <s v="ALLEN-BRADLEY"/>
    <n v="1"/>
  </r>
  <r>
    <s v="0215"/>
    <x v="22"/>
    <n v="45000031812"/>
    <s v="Electrical*Automation*PLC (Allen Bradley)*SLC 1746-IB16, 16 Pnt Dgtl Input Mod"/>
    <x v="61"/>
    <s v="Y"/>
    <n v="1"/>
    <s v="SLC 1746-IB16, 16 Pnt Dgtl Input Mod"/>
    <s v="Electrical*Automation*PLC (Allen Bradley)*SLC 1746-IB16, 16 Pnt Dgtl Input Mod"/>
    <n v="1"/>
    <s v="1746-IB16"/>
    <s v="ALLEN-BRADLEY"/>
    <n v="1"/>
  </r>
  <r>
    <s v="0215"/>
    <x v="22"/>
    <n v="45000032316"/>
    <s v="Pump, Dredge*Dredge Pump Engine (EMD 645)*Starting System*Valve, Solenoid, Air Start"/>
    <x v="63"/>
    <s v="Y"/>
    <n v="1"/>
    <s v="Valve, Solenoid, Air Start"/>
    <s v="Pump, Dredge*Dredge Pump Engine (EMD 645)*Starting System*Valve, Solenoid, Air Start"/>
    <n v="0"/>
    <s v="9513135"/>
    <s v="EMD (MSI)"/>
    <n v="1"/>
  </r>
  <r>
    <s v="0215"/>
    <x v="22"/>
    <n v="49400000080"/>
    <s v="Pump, Dredge*Dredge Pump Engine (EMD 645)*UNDER REVIEW*m-OH-Pump Asm, Soak Back"/>
    <x v="63"/>
    <s v="Y"/>
    <n v="1"/>
    <s v="m-OH-Pump Asm, Soak Back"/>
    <s v="Pump, Dredge*Dredge Pump Engine (EMD 645)*UNDER REVIEW*m-OH-Pump Asm, Soak Back"/>
    <n v="0"/>
    <s v="8460815"/>
    <s v="EMD (MSI)"/>
    <n v="1"/>
  </r>
  <r>
    <s v="0215"/>
    <x v="22"/>
    <n v="54000000014"/>
    <s v="Pump, Dredge*Dredge Pump*Hardware &amp; Gaskets*O-Ring, Hub to Shell"/>
    <x v="63"/>
    <s v="Y"/>
    <n v="1"/>
    <s v="O-Ring, Hub to Shell"/>
    <s v="Pump, Dredge*Dredge Pump*Hardware &amp; Gaskets*O-Ring, Hub to Shell"/>
    <n v="1"/>
    <s v="7717P-42"/>
    <s v="GIW"/>
    <n v="1"/>
  </r>
  <r>
    <s v="0215"/>
    <x v="22"/>
    <n v="57200002373"/>
    <s v="Pump, Dredge*Dredge Pump Engine (EMD 645)*UNDER REVIEW*m-Relay, Generator Management"/>
    <x v="63"/>
    <s v="Y"/>
    <n v="1"/>
    <s v="m-Relay, Generator Management"/>
    <s v="Pump, Dredge*Dredge Pump Engine (EMD 645)*UNDER REVIEW*m-Relay, Generator Management"/>
    <n v="0"/>
    <s v="489-P5-LO-A20"/>
    <s v="General Electric"/>
    <n v="1"/>
  </r>
  <r>
    <s v="0215"/>
    <x v="22"/>
    <n v="60400000230"/>
    <s v="Compressed Air*Air Compressor Set (#1)*Air Compressor (#1)*Belt, Drive"/>
    <x v="79"/>
    <s v="Y"/>
    <n v="2"/>
    <s v="Belt, Drive"/>
    <s v="Compressed Air*Air Compressor Set (#1)*Air Compressor (#1)*Belt, Drive"/>
    <n v="2"/>
    <s v="110258B083"/>
    <s v="QUINCY"/>
    <n v="2"/>
  </r>
  <r>
    <s v="0215"/>
    <x v="22"/>
    <n v="60400000231"/>
    <s v="Compressed Air*Air Compressor Set (#1)*Air Compressor (#1)*Valve, Safety Relief"/>
    <x v="79"/>
    <s v="Y"/>
    <n v="1"/>
    <s v="Valve, Safety Relief"/>
    <s v="Compressed Air*Air Compressor Set (#1)*Air Compressor (#1)*Valve, Safety Relief"/>
    <n v="0"/>
    <s v="3022-200"/>
    <s v="QUINCY"/>
    <n v="2"/>
  </r>
  <r>
    <s v="0215"/>
    <x v="22"/>
    <n v="60400000232"/>
    <s v="Compressed Air*Air Compressor Set (#1)*Air Compressor (#1)*Switch, Air Pressure"/>
    <x v="79"/>
    <s v="Y"/>
    <n v="1"/>
    <s v="Switch, Air Pressure"/>
    <s v="Compressed Air*Air Compressor Set (#1)*Air Compressor (#1)*Switch, Air Pressure"/>
    <n v="0"/>
    <s v="2298-175"/>
    <s v="QUINCY"/>
    <n v="2"/>
  </r>
  <r>
    <s v="0215"/>
    <x v="22"/>
    <n v="60400000780"/>
    <s v="Piping (Dredge)*Hardware &amp; Gaskets (30&quot;)*Valve, Air Relief, 8&quot;"/>
    <x v="80"/>
    <s v="Y"/>
    <n v="1"/>
    <s v="Valve, Air Relief, 8&quot;"/>
    <s v="Piping (Dredge)*Hardware &amp; Gaskets (30&quot;)*Valve, Air Relief, 8&quot;"/>
    <n v="0"/>
    <s v="147-09-23994"/>
    <s v="Gldd Dwg "/>
    <n v="1"/>
  </r>
  <r>
    <s v="0215"/>
    <x v="22"/>
    <n v="60400002643"/>
    <s v="Pump, Dredge*Dredge Pump Engine (EMD 645)*Engine Accessories*Hand Priming Pump"/>
    <x v="63"/>
    <s v="Y"/>
    <n v="1"/>
    <s v="Hand Priming Pump"/>
    <s v="Pump, Dredge*Dredge Pump Engine (EMD 645)*Engine Accessories*Hand Priming Pump"/>
    <n v="0"/>
    <s v="3317701"/>
    <s v="EMD"/>
    <n v="1"/>
  </r>
  <r>
    <s v="0215"/>
    <x v="22"/>
    <n v="62400002256"/>
    <s v="Compressed Air*Air Compressor Set (#1)*Air Compressor (#1)*Compressor (Quincy D350HP)*Valve, Pilot"/>
    <x v="79"/>
    <s v="Y"/>
    <n v="1"/>
    <s v="Valve, Pilot"/>
    <s v="Compressed Air*Air Compressor Set (#1)*Air Compressor (#1)*Compressor (Quincy D350HP)*Valve, Pilot"/>
    <n v="0"/>
    <s v="110198-999"/>
    <s v="QUINCY"/>
    <n v="2"/>
  </r>
  <r>
    <s v="0215"/>
    <x v="22"/>
    <n v="62400002257"/>
    <s v="Compressed Air*Air Compressor Set (#1)*Air Compressor (#1)*Compressor (Quincy D350HP)*Valve, Pilot"/>
    <x v="79"/>
    <s v="Y"/>
    <n v="1"/>
    <s v="Valve, Pilot"/>
    <s v="Compressed Air*Air Compressor Set (#1)*Air Compressor (#1)*Compressor (Quincy D350HP)*Valve, Pilot"/>
    <n v="0"/>
    <s v="110198-120"/>
    <s v="QUINCY"/>
    <n v="2"/>
  </r>
  <r>
    <s v="0215"/>
    <x v="22"/>
    <n v="62400002259"/>
    <s v="Compressed Air*Air Compressor Set (#1)*Air Compressor (#1)*Compressor (Quincy D350HP)*Gasket, Valve"/>
    <x v="79"/>
    <s v="Y"/>
    <n v="1"/>
    <s v="Gasket, Valve"/>
    <s v="Compressed Air*Air Compressor Set (#1)*Air Compressor (#1)*Compressor (Quincy D350HP)*Gasket, Valve"/>
    <n v="0"/>
    <s v="1556"/>
    <s v="QUINCY"/>
    <n v="2"/>
  </r>
  <r>
    <s v="0215"/>
    <x v="22"/>
    <n v="62400002261"/>
    <s v="Compressed Air*Air Compressor Set (#1)*Air Compressor (#1)*Compressor (Quincy D350HP)*Suction Valve Assembly"/>
    <x v="79"/>
    <s v="Y"/>
    <n v="1"/>
    <s v="Suction Valve Assembly"/>
    <s v="Compressed Air*Air Compressor Set (#1)*Air Compressor (#1)*Compressor (Quincy D350HP)*Suction Valve Assembly"/>
    <n v="0"/>
    <s v="6671X1U"/>
    <s v="QUINCY"/>
    <n v="2"/>
  </r>
  <r>
    <s v="0215"/>
    <x v="22"/>
    <n v="62400002265"/>
    <s v="Compressed Air*Air Compressor Set (#1)*Air Compressor (#1)*Compressor (Quincy D350HP)*Discharge Valve - Assembly"/>
    <x v="79"/>
    <s v="Y"/>
    <n v="1"/>
    <s v="Discharge Valve - Assembly"/>
    <s v="Compressed Air*Air Compressor Set (#1)*Air Compressor (#1)*Compressor (Quincy D350HP)*Discharge Valve - Assembly"/>
    <n v="0"/>
    <s v="6670X1"/>
    <s v="QUINCY"/>
    <n v="2"/>
  </r>
  <r>
    <s v="0215"/>
    <x v="22"/>
    <n v="62400002267"/>
    <s v="Compressed Air*Air Compressor Set (#1)*Air Compressor (#1)*Compressor (Quincy D350HP)*Unloader, Assembly"/>
    <x v="79"/>
    <s v="Y"/>
    <n v="1"/>
    <s v="Unloader, Assembly"/>
    <s v="Compressed Air*Air Compressor Set (#1)*Air Compressor (#1)*Compressor (Quincy D350HP)*Unloader, Assembly"/>
    <n v="0"/>
    <s v="40192"/>
    <s v="QUINCY"/>
    <n v="2"/>
  </r>
  <r>
    <s v="0215"/>
    <x v="22"/>
    <n v="62400002268"/>
    <s v="Compressed Air*Air Compressor Set (#1)*Air Compressor (#1)*Compressor (Quincy D350HP)*Gasket, Valve"/>
    <x v="79"/>
    <s v="Y"/>
    <n v="1"/>
    <s v="Gasket, Valve"/>
    <s v="Compressed Air*Air Compressor Set (#1)*Air Compressor (#1)*Compressor (Quincy D350HP)*Gasket, Valve"/>
    <n v="0"/>
    <s v="2024"/>
    <s v="QUINCY"/>
    <n v="2"/>
  </r>
  <r>
    <s v="0215"/>
    <x v="22"/>
    <n v="62400002269"/>
    <s v="Compressed Air*Air Compressor Set (#1)*Air Compressor (#1)*Compressor (Quincy D350HP)*Unloader Assembly"/>
    <x v="79"/>
    <s v="Y"/>
    <n v="1"/>
    <s v="Unloader Assembly"/>
    <s v="Compressed Air*Air Compressor Set (#1)*Air Compressor (#1)*Compressor (Quincy D350HP)*Unloader Assembly"/>
    <n v="0"/>
    <s v="7483X"/>
    <s v="QUINCY"/>
    <n v="2"/>
  </r>
  <r>
    <s v="0215"/>
    <x v="22"/>
    <n v="62400002270"/>
    <s v="Compressed Air*Air Compressor Set (#1)*Air Compressor (#1)*Compressor (Quincy D350HP)*Gasket, Valve Plate"/>
    <x v="79"/>
    <s v="Y"/>
    <n v="1"/>
    <s v="Gasket, Valve Plate"/>
    <s v="Compressed Air*Air Compressor Set (#1)*Air Compressor (#1)*Compressor (Quincy D350HP)*Gasket, Valve Plate"/>
    <n v="0"/>
    <s v="2025"/>
    <s v="QUINCY"/>
    <n v="2"/>
  </r>
  <r>
    <s v="0215"/>
    <x v="22"/>
    <n v="62400002274"/>
    <s v="Compressed Air*Air Compressor Set (#1)*Air Compressor (#1)*Compressor (Quincy D350HP)*Gasket, Cover Plate"/>
    <x v="79"/>
    <s v="Y"/>
    <n v="1"/>
    <s v="Gasket, Cover Plate"/>
    <s v="Compressed Air*Air Compressor Set (#1)*Air Compressor (#1)*Compressor (Quincy D350HP)*Gasket, Cover Plate"/>
    <n v="0"/>
    <s v="7398"/>
    <s v="QUINCY"/>
    <n v="2"/>
  </r>
  <r>
    <s v="0215"/>
    <x v="22"/>
    <n v="62400003074"/>
    <s v="Compressed Air*Air Compressor Set (#1)*Air Compressor (#1)*Compressor (Quincy D350HP)*Gauge, Oil Pressure"/>
    <x v="79"/>
    <s v="Y"/>
    <n v="1"/>
    <s v="Gauge, Oil Pressure"/>
    <s v="Compressed Air*Air Compressor Set (#1)*Air Compressor (#1)*Compressor (Quincy D350HP)*Gauge, Oil Pressure"/>
    <n v="0"/>
    <s v="110822"/>
    <s v="QUINCY"/>
    <n v="2"/>
  </r>
  <r>
    <s v="0215"/>
    <x v="22"/>
    <n v="62400004463"/>
    <s v="Pump, Dredge*Dredge Pump Engine (EMD 645)*UNDER REVIEW*mrg-?Bridge, Exhaust Vlv, Utex"/>
    <x v="63"/>
    <s v="Y"/>
    <n v="1"/>
    <s v="mrg-?Bridge, Exhaust Vlv, Utex"/>
    <s v="Pump, Dredge*Dredge Pump Engine (EMD 645)*UNDER REVIEW*mrg-?Bridge, Exhaust Vlv, Utex"/>
    <n v="2"/>
    <s v="2-40145929 UX"/>
    <s v="EMD"/>
    <n v="1"/>
  </r>
  <r>
    <s v="0215"/>
    <x v="22"/>
    <n v="62400004492"/>
    <s v="Pump, Dredge*Dredge Pump*Hardware &amp; Gaskets*O-Ring, Throat Liner"/>
    <x v="63"/>
    <s v="Y"/>
    <n v="1"/>
    <s v="O-Ring, Throat Liner"/>
    <s v="Pump, Dredge*Dredge Pump*Hardware &amp; Gaskets*O-Ring, Throat Liner"/>
    <n v="2"/>
    <s v="7720P-08"/>
    <s v="MPMW Dwg "/>
    <n v="1"/>
  </r>
  <r>
    <s v="0215"/>
    <x v="22"/>
    <n v="63600000286"/>
    <s v="Pump, Dredge*Dredge Pump Engine (EMD 645)*Water Pumps (WP1-WP2)*Water Pump, Right Bank (L20-645 Turbo) U"/>
    <x v="63"/>
    <s v="Y"/>
    <n v="1"/>
    <s v="Water Pump, Right Bank (L20-645 Turbo) U"/>
    <s v="Pump, Dredge*Dredge Pump Engine (EMD 645)*Water Pumps (WP1-WP2)*Water Pump, Right Bank (L20-645 Turbo) U"/>
    <n v="0"/>
    <s v="40179631UX"/>
    <s v="EMD"/>
    <n v="1"/>
  </r>
  <r>
    <s v="0215"/>
    <x v="22"/>
    <n v="63600000287"/>
    <s v="Pump, Dredge*Dredge Pump Engine (EMD 645)*Water Pumps (WP1-WP2)*Water Pump, Left Bank (L20-645 Turbo)U"/>
    <x v="63"/>
    <s v="Y"/>
    <n v="1"/>
    <s v="Water Pump, Left Bank (L20-645 Turbo)U"/>
    <s v="Pump, Dredge*Dredge Pump Engine (EMD 645)*Water Pumps (WP1-WP2)*Water Pump, Left Bank (L20-645 Turbo)U"/>
    <n v="0"/>
    <s v="40179630UX"/>
    <s v="EMD"/>
    <n v="1"/>
  </r>
  <r>
    <s v="0215"/>
    <x v="22"/>
    <n v="66200005011"/>
    <s v="Pump, Dredge*Dredge Pump Engine (EMD 645)*Heat Exchanger (JW)*HEAT EXCHANGER J/W*Gasket, Channel Plate"/>
    <x v="63"/>
    <s v="Y"/>
    <n v="2"/>
    <s v="Gasket, Channel Plate"/>
    <s v="Pump, Dredge*Dredge Pump Engine (EMD 645)*Heat Exchanger (JW)*HEAT EXCHANGER J/W*Gasket, Channel Plate"/>
    <n v="72"/>
    <s v="3233015096"/>
    <s v="Alfa Laval"/>
    <n v="1"/>
  </r>
  <r>
    <s v="0216"/>
    <x v="23"/>
    <n v="25344"/>
    <s v="Pump, Dredge (Port)*Dredge Pump (Port)*Stuffing Box (D/P)*Impeller Release Ring Kit (13&quot; Hub)"/>
    <x v="82"/>
    <s v="Y"/>
    <n v="1"/>
    <s v="Impeller Release Ring Kit (13&quot; Hub)"/>
    <s v="Pump, Dredge (Port)*Dredge Pump (Port)*Stuffing Box (D/P)*Impeller Release Ring Kit (13&quot; Hub)"/>
    <n v="0"/>
    <s v="0912X (13&quot; HUB)"/>
    <s v="GIW"/>
    <n v="2"/>
  </r>
  <r>
    <s v="0216"/>
    <x v="23"/>
    <n v="66300000602"/>
    <s v="Vessel Consumables*Brushes (Electric)*Brush , Holder - Single"/>
    <x v="78"/>
    <s v="Y"/>
    <n v="77"/>
    <s v="Brush , Holder - Single"/>
    <s v="Vessel Consumables*Brushes (Electric)*Brush , Holder - Single"/>
    <n v="0"/>
    <s v="10.751225.1.703"/>
    <s v="HELWIG CARBON"/>
    <n v="1"/>
  </r>
  <r>
    <s v="0216"/>
    <x v="23"/>
    <n v="71100000385"/>
    <s v="Vessel Consumables*Brushes (Electric)*Carbon Brush, GE596 DC Machine"/>
    <x v="78"/>
    <s v="Y"/>
    <n v="77"/>
    <s v="Carbon Brush, GE596 DC Machine"/>
    <s v="Vessel Consumables*Brushes (Electric)*Carbon Brush, GE596 DC Machine"/>
    <n v="0"/>
    <s v="10751230778308"/>
    <s v="HELWIG CARBON"/>
    <n v="1"/>
  </r>
  <r>
    <s v="0216"/>
    <x v="23"/>
    <n v="71100000395"/>
    <s v="Electrical*Automation System*Automation*Automation, Allen Bradley 1746 Series*SLC Power Supply"/>
    <x v="61"/>
    <s v="Y"/>
    <n v="1"/>
    <s v="SLC Power Supply"/>
    <s v="Electrical*Automation System*Automation*Automation, Allen Bradley 1746 Series*SLC Power Supply"/>
    <n v="0"/>
    <s v="1746-P4"/>
    <s v="ALLEN-BRADLEY"/>
    <n v="1"/>
  </r>
  <r>
    <s v="0216"/>
    <x v="23"/>
    <n v="71100000399"/>
    <s v="Electrical*Automation System*Automation*Automation, Allen Bradley 1746 Series*SLC Discrete Input"/>
    <x v="61"/>
    <s v="Y"/>
    <n v="1"/>
    <s v="SLC Discrete Input"/>
    <s v="Electrical*Automation System*Automation*Automation, Allen Bradley 1746 Series*SLC Discrete Input"/>
    <n v="0"/>
    <s v="1746-IB32"/>
    <s v="ALLEN-BRADLEY"/>
    <n v="1"/>
  </r>
  <r>
    <s v="0216"/>
    <x v="23"/>
    <n v="71100000402"/>
    <s v="Electrical*Automation System*Automation*Automation, Allen Bradley 1746 Series*SLC Discrete Output"/>
    <x v="61"/>
    <s v="Y"/>
    <n v="1"/>
    <s v="SLC Discrete Output"/>
    <s v="Electrical*Automation System*Automation*Automation, Allen Bradley 1746 Series*SLC Discrete Output"/>
    <n v="0"/>
    <s v="1746-OB32"/>
    <s v="ALLEN-BRADLEY"/>
    <n v="1"/>
  </r>
  <r>
    <s v="0216"/>
    <x v="23"/>
    <n v="71100000403"/>
    <s v="Electrical*Automation System*Automation*Automation, Allen Bradley 1746 Series*SLC Analog Output"/>
    <x v="61"/>
    <s v="Y"/>
    <n v="1"/>
    <s v="SLC Analog Output"/>
    <s v="Electrical*Automation System*Automation*Automation, Allen Bradley 1746 Series*SLC Analog Output"/>
    <n v="0"/>
    <m/>
    <m/>
    <n v="1"/>
  </r>
  <r>
    <s v="0216"/>
    <x v="23"/>
    <n v="71100000494"/>
    <s v="Electrical*Automation System*Automation*SLC Analog Output"/>
    <x v="61"/>
    <s v="Y"/>
    <n v="1"/>
    <s v="SLC Analog Output"/>
    <s v="Electrical*Automation System*Automation*SLC Analog Output"/>
    <n v="0"/>
    <s v="1746-NO4I"/>
    <s v="ALLEN-BRADLEY"/>
    <n v="1"/>
  </r>
  <r>
    <s v="0217"/>
    <x v="24"/>
    <n v="8556"/>
    <s v="Pump, Dredge*Dredge Pump*Stuffing Box (D/P)*Impeller Release Ring Kit (11.5&quot; Hub)"/>
    <x v="63"/>
    <s v="Y"/>
    <n v="1"/>
    <s v="Impeller Release Ring Kit (11.5&quot; Hub)"/>
    <s v="Pump, Dredge*Dredge Pump*Stuffing Box (D/P)*Impeller Release Ring Kit (11.5&quot; Hub)"/>
    <n v="1"/>
    <s v="0919X (11.5&quot; Hub)"/>
    <s v="GIW"/>
    <n v="1"/>
  </r>
  <r>
    <s v="0217"/>
    <x v="24"/>
    <n v="9547"/>
    <s v="Pump, Dredge*Dredge Pump*Hardware &amp; Gaskets*O-Ring, Hub Liner-Plate"/>
    <x v="63"/>
    <s v="Y"/>
    <n v="2"/>
    <s v="O-Ring, Hub Liner-Plate"/>
    <s v="Pump, Dredge*Dredge Pump*Hardware &amp; Gaskets*O-Ring, Hub Liner-Plate"/>
    <n v="2"/>
    <s v="7718P-11"/>
    <s v="GIW"/>
    <n v="1"/>
  </r>
  <r>
    <s v="0217"/>
    <x v="24"/>
    <n v="9548"/>
    <s v="Pump, Dredge*Dredge Pump*Hardware &amp; Gaskets*O-Ring, Shaft Sleeve"/>
    <x v="63"/>
    <s v="Y"/>
    <n v="2"/>
    <s v="O-Ring, Shaft Sleeve"/>
    <s v="Pump, Dredge*Dredge Pump*Hardware &amp; Gaskets*O-Ring, Shaft Sleeve"/>
    <n v="1"/>
    <s v="7710P-47"/>
    <s v="GIW"/>
    <n v="1"/>
  </r>
  <r>
    <s v="0217"/>
    <x v="24"/>
    <n v="9584"/>
    <s v="Pump, Dredge*Dredge Pump*Hardware &amp; Gaskets*Washer, Flat 1 3/8&quot;"/>
    <x v="63"/>
    <s v="Y"/>
    <n v="6"/>
    <s v="Washer, Flat 1 3/8&quot;"/>
    <s v="Pump, Dredge*Dredge Pump*Hardware &amp; Gaskets*Washer, Flat 1 3/8&quot;"/>
    <n v="6"/>
    <s v="9707P-08"/>
    <s v="GIW"/>
    <n v="1"/>
  </r>
  <r>
    <s v="0217"/>
    <x v="24"/>
    <n v="10855"/>
    <s v="Pump, Dredge*Dredge Pump*Hardware &amp; Gaskets*Shim, Vibracon"/>
    <x v="63"/>
    <s v="Y"/>
    <n v="1"/>
    <s v="Shim, Vibracon"/>
    <s v="Pump, Dredge*Dredge Pump*Hardware &amp; Gaskets*Shim, Vibracon"/>
    <n v="0"/>
    <s v="SM48SS-ID60"/>
    <s v="VIBRACON"/>
    <n v="1"/>
  </r>
  <r>
    <s v="0217"/>
    <x v="24"/>
    <n v="11395"/>
    <s v="Electrical*Automation*Sensors*Thermocouple"/>
    <x v="61"/>
    <s v="Y"/>
    <n v="1"/>
    <s v="Thermocouple"/>
    <s v="Electrical*Automation*Sensors*Thermocouple"/>
    <n v="6"/>
    <s v="J49V-S4C04090-601-31"/>
    <s v="LESMAN INSTRUMENTS"/>
    <n v="1"/>
  </r>
  <r>
    <s v="0217"/>
    <x v="24"/>
    <n v="14879"/>
    <s v="Pump, Dredge*Dredge Pump Engine (Stbd) (EMD 645)*CYLINDER PWR ASSEMBLY*Fork Rod Pack"/>
    <x v="63"/>
    <s v="Y"/>
    <n v="1"/>
    <s v="Fork Rod Pack"/>
    <s v="Pump, Dredge*Dredge Pump Engine (Stbd) (EMD 645)*CYLINDER PWR ASSEMBLY*Fork Rod Pack"/>
    <n v="0"/>
    <s v="40122774-MP"/>
    <s v="EMD/MSI"/>
    <n v="2"/>
  </r>
  <r>
    <s v="0217"/>
    <x v="24"/>
    <n v="14880"/>
    <s v="Pump, Dredge*Dredge Pump Engine (Stbd) (EMD 645)*CYLINDER PWR ASSEMBLY*Blade Rod Pack"/>
    <x v="63"/>
    <s v="Y"/>
    <n v="1"/>
    <s v="Blade Rod Pack"/>
    <s v="Pump, Dredge*Dredge Pump Engine (Stbd) (EMD 645)*CYLINDER PWR ASSEMBLY*Blade Rod Pack"/>
    <n v="0"/>
    <s v="40122775-MP"/>
    <s v="EMD/MSI"/>
    <n v="2"/>
  </r>
  <r>
    <s v="0217"/>
    <x v="24"/>
    <n v="14899"/>
    <s v="Pump, Dredge*Dredge Pump Engine (Stbd) (EMD 645)*CYLINDER PWR ASSEMBLY*Washer, Injector Crab"/>
    <x v="63"/>
    <s v="Y"/>
    <n v="4"/>
    <s v="Washer, Injector Crab"/>
    <s v="Pump, Dredge*Dredge Pump Engine (Stbd) (EMD 645)*CYLINDER PWR ASSEMBLY*Washer, Injector Crab"/>
    <n v="0"/>
    <s v="8044832"/>
    <s v="EMD/MSI"/>
    <n v="2"/>
  </r>
  <r>
    <s v="0217"/>
    <x v="24"/>
    <n v="14903"/>
    <s v="Pump, Dredge*Dredge Pump Engine (Stbd) (EMD 645)*CYLINDER PWR ASSEMBLY*Retainer, Injector Link"/>
    <x v="63"/>
    <s v="Y"/>
    <n v="2"/>
    <s v="Retainer, Injector Link"/>
    <s v="Pump, Dredge*Dredge Pump Engine (Stbd) (EMD 645)*CYLINDER PWR ASSEMBLY*Retainer, Injector Link"/>
    <n v="0"/>
    <s v="148147"/>
    <s v="EMD/MSI"/>
    <n v="2"/>
  </r>
  <r>
    <s v="0217"/>
    <x v="24"/>
    <n v="14911"/>
    <s v="Pump, Dredge*Dredge Pump Engine (Stbd) (EMD 645)*CYLINDER PWR ASSEMBLY*Rocker Arm Set"/>
    <x v="63"/>
    <s v="Y"/>
    <n v="1"/>
    <s v="Rocker Arm Set"/>
    <s v="Pump, Dredge*Dredge Pump Engine (Stbd) (EMD 645)*CYLINDER PWR ASSEMBLY*Rocker Arm Set"/>
    <n v="0"/>
    <s v="099125HD-MP"/>
    <s v="EMD/MSI"/>
    <n v="2"/>
  </r>
  <r>
    <s v="0217"/>
    <x v="24"/>
    <n v="14912"/>
    <s v="Pump, Dredge*Dredge Pump Engine (Port) (EMD 645)*Fuel Injectors (IN12)*Fuel Injector (IN12)"/>
    <x v="63"/>
    <s v="Y"/>
    <n v="16"/>
    <s v="Fuel Injector (IN12)"/>
    <s v="Pump, Dredge*Dredge Pump Engine (Port) (EMD 645)*Fuel Injectors (IN12)*Fuel Injector (IN12)"/>
    <n v="6"/>
    <s v="40078993-MP"/>
    <s v="EMD/MSI"/>
    <n v="2"/>
  </r>
  <r>
    <s v="0217"/>
    <x v="24"/>
    <n v="14913"/>
    <s v="Pump, Dredge*Dredge Pump Engine (Stbd) (EMD 645)*CYLINDER PWR ASSEMBLY*Piston Cooling Pipe"/>
    <x v="63"/>
    <s v="Y"/>
    <n v="2"/>
    <s v="Piston Cooling Pipe"/>
    <s v="Pump, Dredge*Dredge Pump Engine (Stbd) (EMD 645)*CYLINDER PWR ASSEMBLY*Piston Cooling Pipe"/>
    <n v="0"/>
    <s v="9549578"/>
    <s v="EMD/MSI"/>
    <n v="2"/>
  </r>
  <r>
    <s v="0217"/>
    <x v="24"/>
    <n v="15008"/>
    <s v="Pump, Dredge*Dredge Pump Engine (Stbd) (EMD 645)*Gasket"/>
    <x v="63"/>
    <s v="Y"/>
    <n v="2"/>
    <s v="Gasket"/>
    <s v="Pump, Dredge*Dredge Pump Engine (Stbd) (EMD 645)*Gasket"/>
    <n v="6"/>
    <s v="9570679"/>
    <s v="EMD/MSI"/>
    <n v="2"/>
  </r>
  <r>
    <s v="0217"/>
    <x v="24"/>
    <n v="15022"/>
    <s v="Pump, Dredge*Dredge Pump Engine (Stbd) (EMD 645)*STARTING SYSTEM*Valve, Air Start (2-Way)"/>
    <x v="63"/>
    <s v="Y"/>
    <n v="1"/>
    <s v="Valve, Air Start (2-Way)"/>
    <s v="Pump, Dredge*Dredge Pump Engine (Stbd) (EMD 645)*STARTING SYSTEM*Valve, Air Start (2-Way)"/>
    <n v="0"/>
    <s v="8393335"/>
    <s v="EMD/MSI"/>
    <n v="2"/>
  </r>
  <r>
    <s v="0217"/>
    <x v="24"/>
    <n v="15030"/>
    <s v="Pump, Dredge*Dredge Pump Engine (Port) (EMD 645)*Water Pumps (WP5-WP6)*Water Pump, Right Bank (L645 Blower)"/>
    <x v="63"/>
    <s v="Y"/>
    <n v="1"/>
    <s v="Water Pump, Right Bank (L645 Blower)"/>
    <s v="Pump, Dredge*Dredge Pump Engine (Port) (EMD 645)*Water Pumps (WP5-WP6)*Water Pump, Right Bank (L645 Blower)"/>
    <n v="0"/>
    <s v="8058625-MP"/>
    <s v="EMD/MSI"/>
    <n v="2"/>
  </r>
  <r>
    <s v="0217"/>
    <x v="24"/>
    <n v="15031"/>
    <s v="Pump, Dredge*Dredge Pump Engine (Stbd) (EMD 645)*FRONT END/ACCESSORY DRV*Water Pump, L/H, LB"/>
    <x v="63"/>
    <s v="Y"/>
    <n v="1"/>
    <s v="Water Pump, L/H, LB"/>
    <s v="Pump, Dredge*Dredge Pump Engine (Stbd) (EMD 645)*FRONT END/ACCESSORY DRV*Water Pump, L/H, LB"/>
    <n v="0"/>
    <s v="8058624"/>
    <s v="EMD/MSI"/>
    <n v="2"/>
  </r>
  <r>
    <s v="0217"/>
    <x v="24"/>
    <n v="15036"/>
    <s v="Pump, Dredge*Dredge Pump Engine (Port) (EMD 645)*Water Pumps (WP5-WP6)*FRONT END/ACCESSORY DRV*Water Pump, Right Bank (L645 Blower)*Gasket Kit"/>
    <x v="63"/>
    <s v="Y"/>
    <n v="1"/>
    <s v="Gasket Kit"/>
    <s v="Pump, Dredge*Dredge Pump Engine (Port) (EMD 645)*Water Pumps (WP5-WP6)*FRONT END/ACCESSORY DRV*Water Pump, Right Bank (L645 Blower)*Gasket Kit"/>
    <n v="0"/>
    <s v="9580777"/>
    <s v="EMD/MSI"/>
    <n v="2"/>
  </r>
  <r>
    <s v="0217"/>
    <x v="24"/>
    <n v="15454"/>
    <s v="Gland Seal*Gland Seal Pump Set (#1)*Gland Seal Pump Set (#1), Complete*Back Pullout Unit, 3196 LTX"/>
    <x v="67"/>
    <s v="Y"/>
    <n v="1"/>
    <s v="Back Pullout Unit, 3196 LTX"/>
    <s v="Gland Seal*Gland Seal Pump Set (#1)*Gland Seal Pump Set (#1), Complete*Back Pullout Unit, 3196 LTX"/>
    <n v="1"/>
    <s v="769F266BKPO"/>
    <s v="Goulds"/>
    <n v="2"/>
  </r>
  <r>
    <s v="0217"/>
    <x v="24"/>
    <n v="15588"/>
    <s v="Pump, Dredge*Dredge Pump Engine (Stbd) (EMD 645)*STARTING SYSTEM*Valve, Air Start (2-Way)*Valve, Magnet"/>
    <x v="63"/>
    <s v="Y"/>
    <n v="1"/>
    <s v="Valve, Magnet"/>
    <s v="Pump, Dredge*Dredge Pump Engine (Stbd) (EMD 645)*STARTING SYSTEM*Valve, Air Start (2-Way)*Valve, Magnet"/>
    <n v="0"/>
    <s v="9513135"/>
    <s v="EMD/MSI"/>
    <n v="2"/>
  </r>
  <r>
    <s v="0217"/>
    <x v="24"/>
    <n v="16238"/>
    <s v="Pump, Dredge*Shafting*Thrust Bearing (LG-25)*Seal, Oil -  Housing Seal"/>
    <x v="63"/>
    <s v="Y"/>
    <n v="1"/>
    <s v="Seal, Oil -  Housing Seal"/>
    <s v="Pump, Dredge*Shafting*Thrust Bearing (LG-25)*Seal, Oil -  Housing Seal"/>
    <n v="1"/>
    <s v="25003-5825"/>
    <s v="Garlock"/>
    <n v="1"/>
  </r>
  <r>
    <s v="0217"/>
    <x v="24"/>
    <n v="18875"/>
    <s v="Production/Instrumentation/Monitoring*Rosemount Transmitter*Transmitter (-15-250 Psig) Remote Seal"/>
    <x v="114"/>
    <s v="Y"/>
    <n v="1"/>
    <s v="Transmitter (-15-250 Psig) Remote Seal"/>
    <s v="Production/Instrumentation/Monitoring*Rosemount Transmitter*Transmitter (-15-250 Psig) Remote Seal"/>
    <n v="1"/>
    <s v="1151GP7E22S1B1"/>
    <s v="ROSEMOUNT"/>
    <n v="1"/>
  </r>
  <r>
    <s v="0217"/>
    <x v="24"/>
    <n v="18876"/>
    <s v="Production/Instrumentation/Monitoring*Rosemount Transmitter*Transmitter (0-400 PSIG) Remote Seal"/>
    <x v="114"/>
    <s v="Y"/>
    <n v="1"/>
    <s v="Transmitter (0-400 PSIG) Remote Seal"/>
    <s v="Production/Instrumentation/Monitoring*Rosemount Transmitter*Transmitter (0-400 PSIG) Remote Seal"/>
    <n v="1"/>
    <s v="1151GP8E22S1B1"/>
    <s v="ROSEMOUNT"/>
    <n v="1"/>
  </r>
  <r>
    <s v="0217"/>
    <x v="24"/>
    <n v="19050"/>
    <s v="Pump, Dredge*Dredge Pump*Hardware &amp; Gaskets*Stud/Tie Bolt, 49&quot;, GIW TBC-84 Pump"/>
    <x v="63"/>
    <s v="Y"/>
    <n v="2"/>
    <s v="Stud/Tie Bolt, 49&quot;, GIW TBC-84 Pump"/>
    <s v="Pump, Dredge*Dredge Pump*Hardware &amp; Gaskets*Stud/Tie Bolt, 49&quot;, GIW TBC-84 Pump"/>
    <n v="2"/>
    <s v="902.01"/>
    <s v="GIW"/>
    <n v="1"/>
  </r>
  <r>
    <s v="0217"/>
    <x v="24"/>
    <n v="20106"/>
    <s v="Pump, Dredge*Dredge Pump*Hardware &amp; Gaskets*Stud, Liner/Door (Hp), 2&quot; X 11-1/2&quot;"/>
    <x v="63"/>
    <s v="Y"/>
    <n v="2"/>
    <s v="Stud, Liner/Door (Hp), 2&quot; X 11-1/2&quot;"/>
    <s v="Pump, Dredge*Dredge Pump*Hardware &amp; Gaskets*Stud, Liner/Door (Hp), 2&quot; X 11-1/2&quot;"/>
    <n v="1"/>
    <s v="9760P-53"/>
    <s v="GIW"/>
    <n v="1"/>
  </r>
  <r>
    <s v="0217"/>
    <x v="24"/>
    <n v="23295"/>
    <s v="Pump, Dredge*Shafting*Thrust Bearing (LG-25)*Shoe, Thrust (AK,IL)"/>
    <x v="63"/>
    <s v="Y"/>
    <n v="1"/>
    <s v="Shoe, Thrust (AK,IL)"/>
    <s v="Pump, Dredge*Shafting*Thrust Bearing (LG-25)*Shoe, Thrust (AK,IL)"/>
    <n v="7"/>
    <m/>
    <m/>
    <n v="1"/>
  </r>
  <r>
    <s v="0217"/>
    <x v="24"/>
    <n v="24857"/>
    <s v="Pump, Dredge*Dredge Pump Engine (Port) (EMD 645)*Pre-Lube Pump*PRELUBE PUMP &quot; ASSY&quot;*Pump, Pre-Lube"/>
    <x v="63"/>
    <s v="Y"/>
    <n v="1"/>
    <s v="Pump, Pre-Lube"/>
    <s v="Pump, Dredge*Dredge Pump Engine (Port) (EMD 645)*Pre-Lube Pump*PRELUBE PUMP &quot; ASSY&quot;*Pump, Pre-Lube"/>
    <n v="1"/>
    <s v="GG-4195"/>
    <s v="VIKING MARINE SOUTH, INC."/>
    <n v="1"/>
  </r>
  <r>
    <s v="0217"/>
    <x v="24"/>
    <n v="24858"/>
    <s v="Pump, Dredge*Dredge Pump Engine (Port) (EMD 645)*Pre-Lube Pump*PRELUBE PUMP &quot; ASSY&quot;*Motor, 1.5 HP"/>
    <x v="63"/>
    <s v="Y"/>
    <n v="1"/>
    <s v="Motor, 1.5 HP"/>
    <s v="Pump, Dredge*Dredge Pump Engine (Port) (EMD 645)*Pre-Lube Pump*PRELUBE PUMP &quot; ASSY&quot;*Motor, 1.5 HP"/>
    <n v="0"/>
    <m/>
    <m/>
    <n v="1"/>
  </r>
  <r>
    <s v="0217"/>
    <x v="24"/>
    <n v="24891"/>
    <s v="Pump, Dredge*Dredge Pump Gearbox*Coupling (FALK 1210T10)*Grid, Falk 1210T10 Coupling,"/>
    <x v="63"/>
    <s v="Y"/>
    <n v="1"/>
    <s v="Grid, Falk 1210T10 Coupling,"/>
    <s v="Pump, Dredge*Dredge Pump Gearbox*Coupling (FALK 1210T10)*Grid, Falk 1210T10 Coupling,"/>
    <n v="0"/>
    <s v="1210T10"/>
    <s v="Falk"/>
    <n v="1"/>
  </r>
  <r>
    <s v="0217"/>
    <x v="24"/>
    <n v="25101"/>
    <s v="Pump, Dredge*Dredge Pump*Stuffing Box (D/P)*Sleeve, Shaft, D/P 11.5&quot;*Gasket"/>
    <x v="63"/>
    <s v="Y"/>
    <n v="2"/>
    <s v="Gasket"/>
    <s v="Pump, Dredge*Dredge Pump*Stuffing Box (D/P)*Sleeve, Shaft, D/P 11.5&quot;*Gasket"/>
    <n v="2"/>
    <s v="621-0479P-25-03M1P"/>
    <s v="GIW"/>
    <n v="1"/>
  </r>
  <r>
    <s v="0217"/>
    <x v="24"/>
    <n v="29849"/>
    <s v="Piping (Dredge)*Victaulic Coupling, (36&quot;)*Gasket, Victaulic Coupling"/>
    <x v="80"/>
    <s v="Y"/>
    <n v="1"/>
    <s v="Gasket, Victaulic Coupling"/>
    <s v="Piping (Dredge)*Victaulic Coupling, (36&quot;)*Gasket, Victaulic Coupling"/>
    <n v="1"/>
    <s v="SF22662"/>
    <s v="TOWNLEY"/>
    <n v="1"/>
  </r>
  <r>
    <s v="0217"/>
    <x v="24"/>
    <n v="30493"/>
    <s v="Rawwater*Rawwater Pump Set*Motor, 50 HP"/>
    <x v="115"/>
    <s v="Y"/>
    <n v="1"/>
    <s v="Motor, 50 HP"/>
    <s v="Rawwater*Rawwater Pump Set*Motor, 50 HP"/>
    <n v="1"/>
    <m/>
    <m/>
    <n v="2"/>
  </r>
  <r>
    <s v="0217"/>
    <x v="24"/>
    <n v="30511"/>
    <s v="Electrical*Automation*PLC (Allen Bradley)*SLC 1746 - IB32, 32 Pnt Dgtl Input Modul"/>
    <x v="61"/>
    <s v="Y"/>
    <n v="1"/>
    <s v="SLC 1746 - IB32, 32 Pnt Dgtl Input Modul"/>
    <s v="Electrical*Automation*PLC (Allen Bradley)*SLC 1746 - IB32, 32 Pnt Dgtl Input Modul"/>
    <n v="0"/>
    <s v="1746-IB32"/>
    <s v="Allen-Bradley"/>
    <n v="1"/>
  </r>
  <r>
    <s v="0217"/>
    <x v="24"/>
    <n v="30512"/>
    <s v="Electrical*Automation*PLC (Allen Bradley)*SLC 1746 - OB16, 16 Pnt Dgtl Output Mod"/>
    <x v="61"/>
    <s v="Y"/>
    <n v="1"/>
    <s v="SLC 1746 - OB16, 16 Pnt Dgtl Output Mod"/>
    <s v="Electrical*Automation*PLC (Allen Bradley)*SLC 1746 - OB16, 16 Pnt Dgtl Output Mod"/>
    <n v="0"/>
    <s v="1746-OB16"/>
    <s v="Allen-Bradley"/>
    <n v="1"/>
  </r>
  <r>
    <s v="0217"/>
    <x v="24"/>
    <n v="30513"/>
    <s v="Electrical*Automation*PLC (Allen Bradley)*SLC 1746 - NI8, 8 Point Analog Input Mod"/>
    <x v="61"/>
    <s v="Y"/>
    <n v="1"/>
    <s v="SLC 1746 - NI8, 8 Point Analog Input Mod"/>
    <s v="Electrical*Automation*PLC (Allen Bradley)*SLC 1746 - NI8, 8 Point Analog Input Mod"/>
    <n v="0"/>
    <s v="1746-NI8"/>
    <s v="Allen-Bradley"/>
    <n v="1"/>
  </r>
  <r>
    <s v="0217"/>
    <x v="24"/>
    <n v="30794"/>
    <s v="Electrical*Automation*PLC (Allen Bradley)*SLC 1746 - OX8 Isolated Relay Output"/>
    <x v="61"/>
    <s v="Y"/>
    <n v="1"/>
    <s v="SLC 1746 - OX8 Isolated Relay Output"/>
    <s v="Electrical*Automation*PLC (Allen Bradley)*SLC 1746 - OX8 Isolated Relay Output"/>
    <n v="1"/>
    <s v="1746-OX8"/>
    <s v="Allen-Bradley"/>
    <n v="1"/>
  </r>
  <r>
    <s v="0217"/>
    <x v="24"/>
    <n v="31504"/>
    <s v="Pump, Dredge*Shafting*Thrust Bearing (LG-25)*Ring, Oil Seal"/>
    <x v="63"/>
    <s v="Y"/>
    <n v="1"/>
    <s v="Ring, Oil Seal"/>
    <s v="Pump, Dredge*Shafting*Thrust Bearing (LG-25)*Ring, Oil Seal"/>
    <n v="0"/>
    <s v="163671-001-REF"/>
    <s v="KINGSBURY"/>
    <n v="1"/>
  </r>
  <r>
    <s v="0217"/>
    <x v="24"/>
    <n v="44523"/>
    <s v="Pump, Dredge*Shafting*Spring Bearing (L-25)*Seal, Felt"/>
    <x v="63"/>
    <s v="Y"/>
    <n v="1"/>
    <s v="Seal, Felt"/>
    <s v="Pump, Dredge*Shafting*Spring Bearing (L-25)*Seal, Felt"/>
    <n v="1"/>
    <m/>
    <m/>
    <n v="1"/>
  </r>
  <r>
    <s v="0217"/>
    <x v="24"/>
    <n v="49708"/>
    <s v="Electrical*Automation*Speed Control*Module, Speed Control"/>
    <x v="61"/>
    <s v="Y"/>
    <n v="1"/>
    <s v="Module, Speed Control"/>
    <s v="Electrical*Automation*Speed Control*Module, Speed Control"/>
    <n v="0"/>
    <s v="8273-140"/>
    <s v="Woodward"/>
    <n v="1"/>
  </r>
  <r>
    <s v="0217"/>
    <x v="24"/>
    <n v="49709"/>
    <s v="Electrical*Automation*Speed Control*Connector"/>
    <x v="61"/>
    <s v="Y"/>
    <n v="1"/>
    <s v="Connector"/>
    <s v="Electrical*Automation*Speed Control*Connector"/>
    <n v="1"/>
    <s v="MS3106F-14S-7S"/>
    <s v="Woodward"/>
    <n v="1"/>
  </r>
  <r>
    <s v="0217"/>
    <x v="24"/>
    <n v="49710"/>
    <s v="Electrical*Automation*Speed Control*Magnetic Pick Up"/>
    <x v="61"/>
    <s v="Y"/>
    <n v="2"/>
    <s v="Magnetic Pick Up"/>
    <s v="Electrical*Automation*Speed Control*Magnetic Pick Up"/>
    <n v="0"/>
    <s v="5430-933"/>
    <s v="Woodward"/>
    <n v="1"/>
  </r>
  <r>
    <s v="0217"/>
    <x v="24"/>
    <n v="52483"/>
    <s v="Pump, Dredge*Dredge Pump Gearbox*Clutch (Port) (26CM475)*Roto Seal, 1/2&quot; NPT"/>
    <x v="63"/>
    <s v="Y"/>
    <n v="1"/>
    <s v="Roto Seal, 1/2&quot; NPT"/>
    <s v="Pump, Dredge*Dredge Pump Gearbox*Clutch (Port) (26CM475)*Roto Seal, 1/2&quot; NPT"/>
    <n v="3"/>
    <s v="2200-000-097 LH"/>
    <s v="DEUBLIN COMPANY"/>
    <n v="2"/>
  </r>
  <r>
    <s v="0217"/>
    <x v="24"/>
    <n v="52484"/>
    <s v="Pump, Dredge*Dredge Pump Gearbox*Clutch (Port) (26CM475)*Seal, Roto, 1/2&quot; NPT"/>
    <x v="63"/>
    <s v="Y"/>
    <n v="1"/>
    <s v="Seal, Roto, 1/2&quot; NPT"/>
    <s v="Pump, Dredge*Dredge Pump Gearbox*Clutch (Port) (26CM475)*Seal, Roto, 1/2&quot; NPT"/>
    <n v="1"/>
    <s v="1205-000-003"/>
    <s v="DEUBLIN COMPANY"/>
    <n v="2"/>
  </r>
  <r>
    <s v="0217"/>
    <x v="24"/>
    <n v="53577"/>
    <s v="Production/Instrumentation/Monitoring*Rosemount Transmitter*Installation Hardware*Ball Valve, 2&quot; (SS)"/>
    <x v="114"/>
    <s v="Y"/>
    <n v="1"/>
    <s v="Ball Valve, 2&quot; (SS)"/>
    <s v="Production/Instrumentation/Monitoring*Rosemount Transmitter*Installation Hardware*Ball Valve, 2&quot; (SS)"/>
    <n v="1"/>
    <s v="389207.400"/>
    <s v="W &amp; O Supply"/>
    <n v="1"/>
  </r>
  <r>
    <s v="0217"/>
    <x v="24"/>
    <n v="53581"/>
    <s v="Production/Instrumentation/Monitoring*Rosemount Transmitter*Installation Hardware*Ball Valve, 1/4&quot; (SS)"/>
    <x v="114"/>
    <s v="Y"/>
    <n v="1"/>
    <s v="Ball Valve, 1/4&quot; (SS)"/>
    <s v="Production/Instrumentation/Monitoring*Rosemount Transmitter*Installation Hardware*Ball Valve, 1/4&quot; (SS)"/>
    <n v="1"/>
    <s v="377207.040"/>
    <s v="W &amp; O Supply"/>
    <n v="1"/>
  </r>
  <r>
    <s v="0217"/>
    <x v="24"/>
    <n v="54089"/>
    <s v="Pump, Dredge*Dredge Pump Engine (Stbd) (EMD 645)*STARTING SYSTEM*Starter, Air, RH, Dual"/>
    <x v="63"/>
    <s v="Y"/>
    <n v="2"/>
    <s v="Starter, Air, RH, Dual"/>
    <s v="Pump, Dredge*Dredge Pump Engine (Stbd) (EMD 645)*STARTING SYSTEM*Starter, Air, RH, Dual"/>
    <n v="0"/>
    <s v="40047507"/>
    <s v="EMD"/>
    <n v="2"/>
  </r>
  <r>
    <s v="0217"/>
    <x v="24"/>
    <n v="54090"/>
    <s v="Pump, Dredge*Dredge Pump Engine (Stbd) (EMD 645)*STARTING SYSTEM*Bracket, Starter"/>
    <x v="63"/>
    <s v="Y"/>
    <n v="1"/>
    <s v="Bracket, Starter"/>
    <s v="Pump, Dredge*Dredge Pump Engine (Stbd) (EMD 645)*STARTING SYSTEM*Bracket, Starter"/>
    <n v="0"/>
    <s v="8358874"/>
    <s v="EMD"/>
    <n v="2"/>
  </r>
  <r>
    <s v="0217"/>
    <x v="24"/>
    <n v="55293"/>
    <s v="Electrical*Transducers/ Gauges*Gear Box Rosemount"/>
    <x v="61"/>
    <s v="Y"/>
    <n v="1"/>
    <s v="Gear Box Rosemount"/>
    <s v="Electrical*Transducers/ Gauges*Gear Box Rosemount"/>
    <n v="1"/>
    <s v="3051TG2A2B21AB4M6"/>
    <s v="ROSEMOUNT"/>
    <n v="1"/>
  </r>
  <r>
    <s v="0217"/>
    <x v="24"/>
    <n v="55294"/>
    <s v="Electrical*Transducers/ Gauges*Engine Oil Rosemount"/>
    <x v="61"/>
    <s v="Y"/>
    <n v="1"/>
    <s v="Engine Oil Rosemount"/>
    <s v="Electrical*Transducers/ Gauges*Engine Oil Rosemount"/>
    <n v="1"/>
    <s v="3051TG2A2B21AB4M6"/>
    <s v="ROSEMOUNT"/>
    <n v="1"/>
  </r>
  <r>
    <s v="0217"/>
    <x v="24"/>
    <n v="57651"/>
    <s v="Generators*Main Genset*Main Generator Engine (CAT 3406)*Alternator, 24 Volt, 45 Amp"/>
    <x v="4"/>
    <s v="Y"/>
    <n v="1"/>
    <s v="Alternator, 24 Volt, 45 Amp"/>
    <s v="Generators*Main Genset*Main Generator Engine (CAT 3406)*Alternator, 24 Volt, 45 Amp"/>
    <n v="0"/>
    <s v="OR-2698"/>
    <s v="Caterpillar"/>
    <n v="1"/>
  </r>
  <r>
    <s v="0217"/>
    <x v="24"/>
    <n v="11500002899"/>
    <s v="Pump, Dredge*Dredge Pump*Pumpshell (HP) (TBC-84)"/>
    <x v="63"/>
    <s v="Y"/>
    <n v="1"/>
    <s v="Pumpshell (HP) (TBC-84)"/>
    <s v="Pump, Dredge*Dredge Pump*Pumpshell (HP) (TBC-84)"/>
    <n v="0"/>
    <s v="6392C"/>
    <s v="GIW"/>
    <n v="1"/>
  </r>
  <r>
    <s v="0217"/>
    <x v="24"/>
    <n v="11500002920"/>
    <s v="Pump, Dredge*Dredge Pump*Liner, Throat*O-Ring, Throat Liner"/>
    <x v="63"/>
    <s v="Y"/>
    <n v="2"/>
    <s v="O-Ring, Throat Liner"/>
    <s v="Pump, Dredge*Dredge Pump*Liner, Throat*O-Ring, Throat Liner"/>
    <n v="0"/>
    <s v="7720P-08"/>
    <s v="GIW"/>
    <n v="1"/>
  </r>
  <r>
    <s v="0217"/>
    <x v="24"/>
    <n v="11500002926"/>
    <s v="Pump, Dredge*Dredge Pump*Hardware &amp; Gaskets*O-Ring, Outer Liner O.D."/>
    <x v="63"/>
    <s v="Y"/>
    <n v="2"/>
    <s v="O-Ring, Outer Liner O.D."/>
    <s v="Pump, Dredge*Dredge Pump*Hardware &amp; Gaskets*O-Ring, Outer Liner O.D."/>
    <n v="3"/>
    <s v="7719P-20"/>
    <s v="MPMW Dwg "/>
    <n v="1"/>
  </r>
  <r>
    <s v="0217"/>
    <x v="24"/>
    <n v="11500002927"/>
    <s v="Pump, Dredge*Dredge Pump*Hardware &amp; Gaskets*O-Ring, Back Door O.D."/>
    <x v="63"/>
    <s v="Y"/>
    <n v="2"/>
    <s v="O-Ring, Back Door O.D."/>
    <s v="Pump, Dredge*Dredge Pump*Hardware &amp; Gaskets*O-Ring, Back Door O.D."/>
    <n v="1"/>
    <s v="7739P-03"/>
    <s v="MPMW Dwg "/>
    <n v="1"/>
  </r>
  <r>
    <s v="0217"/>
    <x v="24"/>
    <n v="11500002928"/>
    <s v="Pump, Dredge*Dredge Pump*Hardware &amp; Gaskets*O-Ring, Back Door I.D."/>
    <x v="63"/>
    <s v="Y"/>
    <n v="2"/>
    <s v="O-Ring, Back Door I.D."/>
    <s v="Pump, Dredge*Dredge Pump*Hardware &amp; Gaskets*O-Ring, Back Door I.D."/>
    <n v="0"/>
    <s v="7743P-01"/>
    <s v="MPMW Dwg "/>
    <n v="1"/>
  </r>
  <r>
    <s v="0217"/>
    <x v="24"/>
    <n v="11500002941"/>
    <s v="Pump, Dredge*Dredge Pump*Hardware &amp; Gaskets*Stud, Pump Casing, 1-3/8&quot; x 13-1/2&quot;"/>
    <x v="63"/>
    <s v="Y"/>
    <n v="2"/>
    <s v="Stud, Pump Casing, 1-3/8&quot; x 13-1/2&quot;"/>
    <s v="Pump, Dredge*Dredge Pump*Hardware &amp; Gaskets*Stud, Pump Casing, 1-3/8&quot; x 13-1/2&quot;"/>
    <n v="18"/>
    <s v="9700P-65"/>
    <s v="GIW"/>
    <n v="1"/>
  </r>
  <r>
    <s v="0217"/>
    <x v="24"/>
    <n v="11500002943"/>
    <s v="Pump, Dredge*Dredge Pump*Hardware &amp; Gaskets*Washer, Spring (BV)"/>
    <x v="63"/>
    <s v="Y"/>
    <n v="10"/>
    <s v="Washer, Spring (BV)"/>
    <s v="Pump, Dredge*Dredge Pump*Hardware &amp; Gaskets*Washer, Spring (BV)"/>
    <n v="80"/>
    <s v="9705P-14"/>
    <s v="GIW"/>
    <n v="1"/>
  </r>
  <r>
    <s v="0217"/>
    <x v="24"/>
    <n v="11500002944"/>
    <s v="Pump, Dredge*Dredge Pump*Hardware &amp; Gaskets*Nut, Casing Stud"/>
    <x v="63"/>
    <s v="Y"/>
    <n v="4"/>
    <s v="Nut, Casing Stud"/>
    <s v="Pump, Dredge*Dredge Pump*Hardware &amp; Gaskets*Nut, Casing Stud"/>
    <n v="20"/>
    <s v="9706P-08"/>
    <s v="GIW"/>
    <n v="1"/>
  </r>
  <r>
    <s v="0217"/>
    <x v="24"/>
    <n v="11500002946"/>
    <s v="Pump, Dredge*Dredge Pump*Hardware &amp; Gaskets*Washer, Tie Bolt, 2-3/4&quot;"/>
    <x v="63"/>
    <s v="Y"/>
    <n v="10"/>
    <s v="Washer, Tie Bolt, 2-3/4&quot;"/>
    <s v="Pump, Dredge*Dredge Pump*Hardware &amp; Gaskets*Washer, Tie Bolt, 2-3/4&quot;"/>
    <n v="10"/>
    <s v="9707P-22"/>
    <s v="GIW"/>
    <n v="1"/>
  </r>
  <r>
    <s v="0217"/>
    <x v="24"/>
    <n v="11500002947"/>
    <s v="Pump, Dredge*Dredge Pump*Hardware &amp; Gaskets*Nut, Tie Bolt, 2-3/4&quot;"/>
    <x v="63"/>
    <s v="Y"/>
    <n v="6"/>
    <s v="Nut, Tie Bolt, 2-3/4&quot;"/>
    <s v="Pump, Dredge*Dredge Pump*Hardware &amp; Gaskets*Nut, Tie Bolt, 2-3/4&quot;"/>
    <n v="6"/>
    <s v="9706P-13"/>
    <s v="GIW"/>
    <n v="1"/>
  </r>
  <r>
    <s v="0217"/>
    <x v="24"/>
    <n v="14500002209"/>
    <s v="Pump, Dredge*Dredge Pump*Stuffing Box (D/P)*Lantern Ring, Gathane (Split)"/>
    <x v="63"/>
    <s v="Y"/>
    <n v="1"/>
    <s v="Lantern Ring, Gathane (Split)"/>
    <s v="Pump, Dredge*Dredge Pump*Stuffing Box (D/P)*Lantern Ring, Gathane (Split)"/>
    <n v="3"/>
    <s v="618-0365A-00-03GAT"/>
    <s v="GIW"/>
    <n v="1"/>
  </r>
  <r>
    <s v="0217"/>
    <x v="24"/>
    <n v="14500002739"/>
    <s v="Pump, Dredge*Dredge Pump*Stuffing Box (D/P)*Packing Gland*Stud, Packing Gland, (Stainless Steel)"/>
    <x v="63"/>
    <s v="Y"/>
    <n v="4"/>
    <s v="Stud, Packing Gland, (Stainless Steel)"/>
    <s v="Pump, Dredge*Dredge Pump*Stuffing Box (D/P)*Packing Gland*Stud, Packing Gland, (Stainless Steel)"/>
    <n v="1"/>
    <s v="9760P-26"/>
    <s v="GIW"/>
    <n v="1"/>
  </r>
  <r>
    <s v="0217"/>
    <x v="24"/>
    <n v="23500000062"/>
    <s v="Pump, Dredge*Dredge Pump*Stuffing Box (D/P)*Sleeve, Shaft, D/P 11.5&quot;"/>
    <x v="63"/>
    <s v="Y"/>
    <n v="1"/>
    <s v="Sleeve, Shaft, D/P 11.5&quot;"/>
    <s v="Pump, Dredge*Dredge Pump*Stuffing Box (D/P)*Sleeve, Shaft, D/P 11.5&quot;"/>
    <n v="2"/>
    <s v="8213D"/>
    <s v="GIW"/>
    <n v="1"/>
  </r>
  <r>
    <s v="0217"/>
    <x v="24"/>
    <n v="32400000353"/>
    <s v="Pump, Dredge*Dredge Pump Gearbox*Oil Circulating Pump*Motor, 5 HP"/>
    <x v="63"/>
    <s v="Y"/>
    <n v="1"/>
    <s v="Motor, 5 HP"/>
    <s v="Pump, Dredge*Dredge Pump Gearbox*Oil Circulating Pump*Motor, 5 HP"/>
    <n v="0"/>
    <s v="00549363"/>
    <s v="US Motors"/>
    <n v="1"/>
  </r>
  <r>
    <s v="0217"/>
    <x v="24"/>
    <n v="32400000354"/>
    <s v="Pump, Dredge*Dredge Pump Engine (Stbd) (EMD 645)*Manometer, U-Tube"/>
    <x v="63"/>
    <s v="Y"/>
    <n v="2"/>
    <s v="Manometer, U-Tube"/>
    <s v="Pump, Dredge*Dredge Pump Engine (Stbd) (EMD 645)*Manometer, U-Tube"/>
    <n v="0"/>
    <s v="4044K32"/>
    <s v="MCMASTER CARR"/>
    <n v="2"/>
  </r>
  <r>
    <s v="0217"/>
    <x v="24"/>
    <n v="45000001287"/>
    <s v="Generators*Main Genset*Main Generator Engine (CAT 3406)*Belt Set, Fan, Radiator (3-Belts)"/>
    <x v="4"/>
    <s v="Y"/>
    <n v="1"/>
    <s v="Belt Set, Fan, Radiator (3-Belts)"/>
    <s v="Generators*Main Genset*Main Generator Engine (CAT 3406)*Belt Set, Fan, Radiator (3-Belts)"/>
    <n v="1"/>
    <s v="6N6656"/>
    <s v="Caterpillar"/>
    <n v="1"/>
  </r>
  <r>
    <s v="0217"/>
    <x v="24"/>
    <n v="45000004139"/>
    <s v="Electrical*Automation*Sensors*RTD, 100 OHM Platinum"/>
    <x v="61"/>
    <s v="Y"/>
    <n v="2"/>
    <s v="RTD, 100 OHM Platinum"/>
    <s v="Electrical*Automation*Sensors*RTD, 100 OHM Platinum"/>
    <n v="2"/>
    <s v="R1T185L3-S4C04090-SL-8HN31"/>
    <s v="PYROMATION"/>
    <n v="1"/>
  </r>
  <r>
    <s v="0217"/>
    <x v="24"/>
    <n v="45000005768"/>
    <s v="Pump, Dredge*Dredge Pump*Hardware &amp; Gaskets*x-Washer, Tie Bolt, 2-3/4&quot;** (Use Above)"/>
    <x v="63"/>
    <s v="Y"/>
    <n v="8"/>
    <s v="x-Washer, Tie Bolt, 2-3/4&quot;** (Use Above)"/>
    <s v="Pump, Dredge*Dredge Pump*Hardware &amp; Gaskets*x-Washer, Tie Bolt, 2-3/4&quot;** (Use Above)"/>
    <n v="8"/>
    <s v="9707P.22"/>
    <s v="GIW"/>
    <n v="1"/>
  </r>
  <r>
    <s v="0217"/>
    <x v="24"/>
    <n v="45000009196"/>
    <s v="Electrical*Automation*PLC (Allen Bradley)*SLC 1747 - L552 Processor"/>
    <x v="61"/>
    <s v="Y"/>
    <n v="1"/>
    <s v="SLC 1747 - L552 Processor"/>
    <s v="Electrical*Automation*PLC (Allen Bradley)*SLC 1747 - L552 Processor"/>
    <n v="0"/>
    <s v="1747-L552"/>
    <s v="ALLEN-BRADLEY"/>
    <n v="1"/>
  </r>
  <r>
    <s v="0217"/>
    <x v="24"/>
    <n v="45000009742"/>
    <s v="Electrical*Transducers/ Gauges*Clutch Rosemount"/>
    <x v="61"/>
    <s v="Y"/>
    <n v="1"/>
    <s v="Clutch Rosemount"/>
    <s v="Electrical*Transducers/ Gauges*Clutch Rosemount"/>
    <n v="1"/>
    <s v="1151GP7E22B1M7"/>
    <s v="ROSEMOUNT"/>
    <n v="1"/>
  </r>
  <r>
    <s v="0217"/>
    <x v="24"/>
    <n v="45000009914"/>
    <s v="Pump, Dredge*Dredge Pump Gearbox*Clutch (Port) (26CM475)*Regulator, Rex Roth"/>
    <x v="63"/>
    <s v="Y"/>
    <n v="1"/>
    <s v="Regulator, Rex Roth"/>
    <s v="Pump, Dredge*Dredge Pump Gearbox*Clutch (Port) (26CM475)*Regulator, Rex Roth"/>
    <n v="0"/>
    <s v="P-055101-00000"/>
    <s v="REX-ROTH"/>
    <n v="2"/>
  </r>
  <r>
    <s v="0217"/>
    <x v="24"/>
    <n v="45000011778"/>
    <s v="Pump, Dredge*Shafting*Heat Exchanger*Heat Exchanger"/>
    <x v="63"/>
    <s v="Y"/>
    <n v="1"/>
    <s v="Heat Exchanger"/>
    <s v="Pump, Dredge*Shafting*Heat Exchanger*Heat Exchanger"/>
    <n v="1"/>
    <s v="AB-1202-B6-TP-CNT-BZ-0905"/>
    <s v="American Industrial"/>
    <n v="1"/>
  </r>
  <r>
    <s v="0217"/>
    <x v="24"/>
    <n v="45000013453"/>
    <s v="Pump, Dredge*Dredge Pump*Pump Patch Epoxy"/>
    <x v="63"/>
    <s v="Y"/>
    <n v="1"/>
    <s v="Pump Patch Epoxy"/>
    <s v="Pump, Dredge*Dredge Pump*Pump Patch Epoxy"/>
    <n v="0"/>
    <s v="HS10154"/>
    <s v="ALANX"/>
    <n v="1"/>
  </r>
  <r>
    <s v="0217"/>
    <x v="24"/>
    <n v="45000014049"/>
    <s v="Electrical*Automation*PLC (Allen Bradley)*SLC 1746 - NR8, 8 Point RTD Input Card"/>
    <x v="61"/>
    <s v="Y"/>
    <n v="1"/>
    <s v="SLC 1746 - NR8, 8 Point RTD Input Card"/>
    <s v="Electrical*Automation*PLC (Allen Bradley)*SLC 1746 - NR8, 8 Point RTD Input Card"/>
    <n v="1"/>
    <s v="1746-NR8"/>
    <s v="ALLEN-BRADLEY"/>
    <n v="1"/>
  </r>
  <r>
    <s v="0217"/>
    <x v="24"/>
    <n v="45000018260"/>
    <s v="Gland Seal*Gland Seal Pump Set (#1)*Motor, (100 HP)*Motor, 100 HP"/>
    <x v="67"/>
    <s v="Y"/>
    <n v="1"/>
    <s v="Motor, 100 HP"/>
    <s v="Gland Seal*Gland Seal Pump Set (#1)*Motor, (100 HP)*Motor, 100 HP"/>
    <n v="0"/>
    <s v="WWE-100-36-405TS"/>
    <s v="ELECTRICAL SOURCE"/>
    <n v="1"/>
  </r>
  <r>
    <s v="0217"/>
    <x v="24"/>
    <n v="45000019171"/>
    <s v="Gland Seal*Seals, Cartridge (Goulds Pumps)*Seal, Cartridge (Mechanical Type) (LTX)"/>
    <x v="67"/>
    <s v="Y"/>
    <n v="1"/>
    <s v="Seal, Cartridge (Mechanical Type) (LTX)"/>
    <s v="Gland Seal*Seals, Cartridge (Goulds Pumps)*Seal, Cartridge (Mechanical Type) (LTX)"/>
    <n v="1"/>
    <s v="80299"/>
    <s v="SCHUR &amp; COMPANY INC."/>
    <n v="1"/>
  </r>
  <r>
    <s v="0217"/>
    <x v="24"/>
    <n v="45000022533"/>
    <s v="Rawwater*Rawwater Pump Set*Hose, Suction, 6&quot; X 19'"/>
    <x v="115"/>
    <s v="Y"/>
    <n v="1"/>
    <s v="Hose, Suction, 6&quot; X 19'"/>
    <s v="Rawwater*Rawwater Pump Set*Hose, Suction, 6&quot; X 19'"/>
    <n v="0"/>
    <s v="6&quot; X 19'"/>
    <s v="TRICO/KELLY"/>
    <n v="2"/>
  </r>
  <r>
    <s v="0217"/>
    <x v="24"/>
    <n v="45000023191"/>
    <s v="Pump, Dredge*Dredge Pump Engine (Port) (EMD 645)*Pre-Lube Pump*Pump Motor, Pre-Lube"/>
    <x v="63"/>
    <s v="Y"/>
    <n v="1"/>
    <s v="Pump Motor, Pre-Lube"/>
    <s v="Pump, Dredge*Dredge Pump Engine (Port) (EMD 645)*Pre-Lube Pump*Pump Motor, Pre-Lube"/>
    <n v="0"/>
    <s v="WWE-1-18-143T"/>
    <s v="WORLDWIDE"/>
    <n v="1"/>
  </r>
  <r>
    <s v="0217"/>
    <x v="24"/>
    <n v="45000023419"/>
    <s v="Electrical*Automation*Sensors*RTD, High-Temp, 4&quot;"/>
    <x v="61"/>
    <s v="Y"/>
    <n v="1"/>
    <s v="RTD, High-Temp, 4&quot;"/>
    <s v="Electrical*Automation*Sensors*RTD, High-Temp, 4&quot;"/>
    <n v="0"/>
    <s v="R1T185H483-004(1/2&quot;)-SL-8HN31"/>
    <s v="LESMAN INSTRUMENT CO."/>
    <n v="1"/>
  </r>
  <r>
    <s v="0217"/>
    <x v="24"/>
    <n v="45000025383"/>
    <s v="Compressed Air*Air Compressor (Aft)*Motor*Motor, 5 Hp"/>
    <x v="79"/>
    <s v="Y"/>
    <n v="1"/>
    <s v="Motor, 5 Hp"/>
    <s v="Compressed Air*Air Compressor (Aft)*Motor*Motor, 5 Hp"/>
    <n v="0"/>
    <s v="9-391327-63"/>
    <s v="MAGNETEK"/>
    <n v="1"/>
  </r>
  <r>
    <s v="0217"/>
    <x v="24"/>
    <n v="45000028203"/>
    <s v="Pump, Dredge*Shafting*Thrust Bearing (LG-25)*RTD Element (Single)"/>
    <x v="63"/>
    <s v="Y"/>
    <n v="1"/>
    <s v="RTD Element (Single)"/>
    <s v="Pump, Dredge*Shafting*Thrust Bearing (LG-25)*RTD Element (Single)"/>
    <n v="0"/>
    <s v="RBF1853AA2-F3A048-0"/>
    <s v="PYROMATION INC."/>
    <n v="1"/>
  </r>
  <r>
    <s v="0217"/>
    <x v="24"/>
    <n v="45000029112"/>
    <s v="Gland Seal*Gland Seal Pump Set (#1)*Gland Seal Pump Set (#1), Complete*Sleeve, Shaft"/>
    <x v="67"/>
    <s v="Y"/>
    <n v="1"/>
    <s v="Sleeve, Shaft"/>
    <s v="Gland Seal*Gland Seal Pump Set (#1)*Gland Seal Pump Set (#1), Complete*Sleeve, Shaft"/>
    <n v="1"/>
    <s v="92593-6956"/>
    <s v="Goulds"/>
    <n v="2"/>
  </r>
  <r>
    <s v="0217"/>
    <x v="24"/>
    <n v="45000031810"/>
    <s v="Electrical*Automation*PLC (Allen Bradley)*SLC 1746 - IN16I Analog Input Module"/>
    <x v="61"/>
    <s v="Y"/>
    <n v="1"/>
    <s v="SLC 1746 - IN16I Analog Input Module"/>
    <s v="Electrical*Automation*PLC (Allen Bradley)*SLC 1746 - IN16I Analog Input Module"/>
    <n v="2"/>
    <s v="1746-IN16"/>
    <s v="ALLEN-BRADLEY"/>
    <n v="1"/>
  </r>
  <r>
    <s v="0217"/>
    <x v="24"/>
    <n v="45000031811"/>
    <s v="Electrical*Automation*PLC (Allen Bradley)*SLC 1746 - NO4I, Analog Module"/>
    <x v="61"/>
    <s v="Y"/>
    <n v="1"/>
    <s v="SLC 1746 - NO4I, Analog Module"/>
    <s v="Electrical*Automation*PLC (Allen Bradley)*SLC 1746 - NO4I, Analog Module"/>
    <n v="1"/>
    <s v="1746-NO4I"/>
    <s v="ALLEN-BRADLEY"/>
    <n v="1"/>
  </r>
  <r>
    <s v="0217"/>
    <x v="24"/>
    <n v="45000031812"/>
    <s v="Electrical*Automation*PLC (Allen Bradley)*SLC 1746-IB16, 16 Pnt Dgtl Input Mod"/>
    <x v="61"/>
    <s v="Y"/>
    <n v="1"/>
    <s v="SLC 1746-IB16, 16 Pnt Dgtl Input Mod"/>
    <s v="Electrical*Automation*PLC (Allen Bradley)*SLC 1746-IB16, 16 Pnt Dgtl Input Mod"/>
    <n v="2"/>
    <s v="1746-IB16"/>
    <s v="ALLEN-BRADLEY"/>
    <n v="1"/>
  </r>
  <r>
    <s v="0217"/>
    <x v="24"/>
    <n v="45000031913"/>
    <s v="Electrical*Automation*PLC (Allen Bradley)*SLC 1746 - P2 - PS"/>
    <x v="61"/>
    <s v="Y"/>
    <n v="1"/>
    <s v="SLC 1746 - P2 - PS"/>
    <s v="Electrical*Automation*PLC (Allen Bradley)*SLC 1746 - P2 - PS"/>
    <n v="0"/>
    <s v="1746-P2"/>
    <s v="Allen-Bradley"/>
    <n v="1"/>
  </r>
  <r>
    <s v="0217"/>
    <x v="24"/>
    <n v="45000034629"/>
    <s v="Pump, Dredge*Shafting*Thrust Bearing (LG-25)*Thermocouple, 80&quot; Lead"/>
    <x v="63"/>
    <s v="Y"/>
    <n v="1"/>
    <s v="Thermocouple, 80&quot; Lead"/>
    <s v="Pump, Dredge*Shafting*Thrust Bearing (LG-25)*Thermocouple, 80&quot; Lead"/>
    <n v="0"/>
    <s v="HSTC-TT-J-24S-72"/>
    <s v="OMEGA"/>
    <n v="1"/>
  </r>
  <r>
    <s v="0217"/>
    <x v="24"/>
    <n v="49000000043"/>
    <s v="Pump, Dredge*Dredge Pump Engine (Stbd) (EMD 645)*CYLINDER PWR ASSEMBLY*Test Valve, Cylinder"/>
    <x v="63"/>
    <s v="Y"/>
    <n v="4"/>
    <s v="Test Valve, Cylinder"/>
    <s v="Pump, Dredge*Dredge Pump Engine (Stbd) (EMD 645)*CYLINDER PWR ASSEMBLY*Test Valve, Cylinder"/>
    <n v="0"/>
    <s v="40054495"/>
    <s v="EMD/MSI"/>
    <n v="2"/>
  </r>
  <r>
    <s v="0217"/>
    <x v="24"/>
    <n v="49400000391"/>
    <s v="Piping (Dredge)*Victaulic Coupling, (36&quot;)*Bolt, Victaulic Coupling 1-1/2&quot; X 5-3/4&quot;"/>
    <x v="80"/>
    <s v="Y"/>
    <n v="2"/>
    <s v="Bolt, Victaulic Coupling 1-1/2&quot; X 5-3/4&quot;"/>
    <s v="Piping (Dredge)*Victaulic Coupling, (36&quot;)*Bolt, Victaulic Coupling 1-1/2&quot; X 5-3/4&quot;"/>
    <n v="0"/>
    <m/>
    <m/>
    <n v="1"/>
  </r>
  <r>
    <s v="0217"/>
    <x v="24"/>
    <n v="54000000014"/>
    <s v="Pump, Dredge*Dredge Pump*Hardware &amp; Gaskets*O-Ring, Hub to Shell"/>
    <x v="63"/>
    <s v="Y"/>
    <n v="2"/>
    <s v="O-Ring, Hub to Shell"/>
    <s v="Pump, Dredge*Dredge Pump*Hardware &amp; Gaskets*O-Ring, Hub to Shell"/>
    <n v="2"/>
    <s v="7717P-42"/>
    <s v="GIW"/>
    <n v="1"/>
  </r>
  <r>
    <s v="0217"/>
    <x v="24"/>
    <n v="60400000941"/>
    <s v="Pump, Dredge*Dredge Pump Gearbox*Clutch (Port) (26CM475)*Air Control Valve, 24DC"/>
    <x v="63"/>
    <s v="Y"/>
    <n v="1"/>
    <s v="Air Control Valve, 24DC"/>
    <s v="Pump, Dredge*Dredge Pump Gearbox*Clutch (Port) (26CM475)*Air Control Valve, 24DC"/>
    <n v="1"/>
    <s v="8316G064-24/VDC"/>
    <s v="STEINER ELECTRIC"/>
    <n v="2"/>
  </r>
  <r>
    <s v="0217"/>
    <x v="24"/>
    <n v="60400001308"/>
    <s v="Electrical*Transducers/ Gauges*Rosemount Assembly 0 To 800 PSI"/>
    <x v="61"/>
    <s v="Y"/>
    <n v="1"/>
    <s v="Rosemount Assembly 0 To 800 PSI"/>
    <s v="Electrical*Transducers/ Gauges*Rosemount Assembly 0 To 800 PSI"/>
    <n v="2"/>
    <s v="2088G3A22A1"/>
    <s v="TRANSMITTER SHOP"/>
    <n v="1"/>
  </r>
  <r>
    <s v="0217"/>
    <x v="24"/>
    <n v="62400001589"/>
    <s v="Electrical*Automation*Sensors*Sensor/ Potentiometer, Rack Position"/>
    <x v="61"/>
    <s v="Y"/>
    <n v="1"/>
    <s v="Sensor/ Potentiometer, Rack Position"/>
    <s v="Electrical*Automation*Sensors*Sensor/ Potentiometer, Rack Position"/>
    <n v="1"/>
    <s v="LWX075-002-1"/>
    <s v="NOVOTECKNIC"/>
    <n v="1"/>
  </r>
  <r>
    <s v="0217"/>
    <x v="24"/>
    <n v="62400004438"/>
    <s v="Generators*Main Genset*Main Generator Engine (CAT 3406)*Radiator fan - obsolete"/>
    <x v="4"/>
    <s v="Y"/>
    <n v="1"/>
    <s v="Radiator fan - obsolete"/>
    <s v="Generators*Main Genset*Main Generator Engine (CAT 3406)*Radiator fan - obsolete"/>
    <n v="0"/>
    <s v="4N-3093"/>
    <s v="Caterpillar"/>
    <n v="1"/>
  </r>
  <r>
    <s v="0217"/>
    <x v="24"/>
    <n v="62400004492"/>
    <s v="Pump, Dredge*Dredge Pump*Hardware &amp; Gaskets*O-Ring, Throat Liner"/>
    <x v="63"/>
    <s v="Y"/>
    <n v="2"/>
    <s v="O-Ring, Throat Liner"/>
    <s v="Pump, Dredge*Dredge Pump*Hardware &amp; Gaskets*O-Ring, Throat Liner"/>
    <n v="0"/>
    <s v="7720P-08"/>
    <s v="MPMW Dwg "/>
    <n v="1"/>
  </r>
  <r>
    <s v="0217"/>
    <x v="24"/>
    <n v="62400007313"/>
    <s v="Pump, Dredge*Dredge Pump Gearbox*Oil Circulating Pump*Coupling*Spider,  L/AL099/100 SOX"/>
    <x v="63"/>
    <s v="Y"/>
    <n v="1"/>
    <s v="Spider,  L/AL099/100 SOX"/>
    <s v="Pump, Dredge*Dredge Pump Gearbox*Oil Circulating Pump*Coupling*Spider,  L/AL099/100 SOX"/>
    <n v="1"/>
    <s v="00516355"/>
    <s v="Motion Industries"/>
    <n v="1"/>
  </r>
  <r>
    <s v="0217"/>
    <x v="24"/>
    <n v="62400007315"/>
    <s v="Pump, Dredge*Dredge Pump Gearbox*Oil Circulating Pump*Pump, Oil Circulation"/>
    <x v="63"/>
    <s v="Y"/>
    <n v="1"/>
    <s v="Pump, Oil Circulation"/>
    <s v="Pump, Dredge*Dredge Pump Gearbox*Oil Circulating Pump*Pump, Oil Circulation"/>
    <n v="0"/>
    <s v="99999999"/>
    <s v="Motion Industries"/>
    <n v="1"/>
  </r>
  <r>
    <s v="0217"/>
    <x v="24"/>
    <n v="62400008111"/>
    <s v="Compressed Air*Air Compressor (Aft)*Compressor*Valve, Pilot"/>
    <x v="79"/>
    <s v="Y"/>
    <n v="2"/>
    <s v="Valve, Pilot"/>
    <s v="Compressed Air*Air Compressor (Aft)*Compressor*Valve, Pilot"/>
    <n v="0"/>
    <s v="110827-001"/>
    <s v="QUINCY"/>
    <n v="1"/>
  </r>
  <r>
    <s v="0217"/>
    <x v="24"/>
    <n v="62400008170"/>
    <s v="Compressed Air*Air Compressor (Aft)*Compressor*Relief valve"/>
    <x v="79"/>
    <s v="Y"/>
    <n v="2"/>
    <s v="Relief valve"/>
    <s v="Compressed Air*Air Compressor (Aft)*Compressor*Relief valve"/>
    <n v="0"/>
    <s v="6010EDM01-KM"/>
    <s v="Pentair"/>
    <n v="1"/>
  </r>
  <r>
    <s v="0217"/>
    <x v="24"/>
    <n v="62400008340"/>
    <s v="Pump, Dredge*Dredge Pump*Hardware &amp; Gaskets*Shim Set, (TX JR Only)*Shim, 1/2&quot;, Impeller adjusting"/>
    <x v="63"/>
    <s v="Y"/>
    <n v="2"/>
    <s v="Shim, 1/2&quot;, Impeller adjusting"/>
    <s v="Pump, Dredge*Dredge Pump*Hardware &amp; Gaskets*Shim Set, (TX JR Only)*Shim, 1/2&quot;, Impeller adjusting"/>
    <n v="0"/>
    <m/>
    <m/>
    <n v="1"/>
  </r>
  <r>
    <s v="0217"/>
    <x v="24"/>
    <n v="62400008341"/>
    <s v="Pump, Dredge*Dredge Pump*Hardware &amp; Gaskets*Shim Set, (TX JR Only)*Shim, 3/8&quot;, Impeller adjusting"/>
    <x v="63"/>
    <s v="Y"/>
    <n v="2"/>
    <s v="Shim, 3/8&quot;, Impeller adjusting"/>
    <s v="Pump, Dredge*Dredge Pump*Hardware &amp; Gaskets*Shim Set, (TX JR Only)*Shim, 3/8&quot;, Impeller adjusting"/>
    <n v="0"/>
    <m/>
    <m/>
    <n v="1"/>
  </r>
  <r>
    <s v="0217"/>
    <x v="24"/>
    <n v="62400008342"/>
    <s v="Pump, Dredge*Dredge Pump*Hardware &amp; Gaskets*Shim Set, (TX JR Only)*Shim, 1/4&quot;, Impeller adjusting"/>
    <x v="63"/>
    <s v="Y"/>
    <n v="2"/>
    <s v="Shim, 1/4&quot;, Impeller adjusting"/>
    <s v="Pump, Dredge*Dredge Pump*Hardware &amp; Gaskets*Shim Set, (TX JR Only)*Shim, 1/4&quot;, Impeller adjusting"/>
    <n v="0"/>
    <m/>
    <m/>
    <n v="1"/>
  </r>
  <r>
    <s v="0217"/>
    <x v="24"/>
    <n v="62400008343"/>
    <s v="Pump, Dredge*Dredge Pump*Hardware &amp; Gaskets*Shim Set, (TX JR Only)*Shim, 1/8&quot;, Impeller adjusting"/>
    <x v="63"/>
    <s v="Y"/>
    <n v="2"/>
    <s v="Shim, 1/8&quot;, Impeller adjusting"/>
    <s v="Pump, Dredge*Dredge Pump*Hardware &amp; Gaskets*Shim Set, (TX JR Only)*Shim, 1/8&quot;, Impeller adjusting"/>
    <n v="0"/>
    <m/>
    <m/>
    <n v="1"/>
  </r>
  <r>
    <s v="0217"/>
    <x v="24"/>
    <n v="62400008344"/>
    <s v="Pump, Dredge*Dredge Pump*Hardware &amp; Gaskets*Shim Set, (TX JR Only)*Shim, 18 GA, Impeller adjusting"/>
    <x v="63"/>
    <s v="Y"/>
    <n v="2"/>
    <s v="Shim, 18 GA, Impeller adjusting"/>
    <s v="Pump, Dredge*Dredge Pump*Hardware &amp; Gaskets*Shim Set, (TX JR Only)*Shim, 18 GA, Impeller adjusting"/>
    <n v="0"/>
    <m/>
    <m/>
    <n v="1"/>
  </r>
  <r>
    <s v="0217"/>
    <x v="24"/>
    <n v="62400008345"/>
    <s v="Pump, Dredge*Dredge Pump*Hardware &amp; Gaskets*Shim Set, (TX JR Only)*Shim, 16 GA, Impeller adjusting"/>
    <x v="63"/>
    <s v="Y"/>
    <n v="2"/>
    <s v="Shim, 16 GA, Impeller adjusting"/>
    <s v="Pump, Dredge*Dredge Pump*Hardware &amp; Gaskets*Shim Set, (TX JR Only)*Shim, 16 GA, Impeller adjusting"/>
    <n v="0"/>
    <m/>
    <m/>
    <n v="1"/>
  </r>
  <r>
    <s v="0217"/>
    <x v="24"/>
    <n v="62400008346"/>
    <s v="Pump, Dredge*Dredge Pump*Hardware &amp; Gaskets*Shim Set, (TX JR Only)*Shim, 0.010"/>
    <x v="63"/>
    <s v="Y"/>
    <n v="2"/>
    <s v="Shim, 0.010"/>
    <s v="Pump, Dredge*Dredge Pump*Hardware &amp; Gaskets*Shim Set, (TX JR Only)*Shim, 0.010"/>
    <n v="0"/>
    <m/>
    <m/>
    <n v="1"/>
  </r>
  <r>
    <s v="0217"/>
    <x v="24"/>
    <n v="62400008347"/>
    <s v="Pump, Dredge*Dredge Pump*Hardware &amp; Gaskets*Shim Set, (TX JR Only)*Shim, 0.020&quot;, Impeller adjusting"/>
    <x v="63"/>
    <s v="Y"/>
    <n v="2"/>
    <s v="Shim, 0.020&quot;, Impeller adjusting"/>
    <s v="Pump, Dredge*Dredge Pump*Hardware &amp; Gaskets*Shim Set, (TX JR Only)*Shim, 0.020&quot;, Impeller adjusting"/>
    <n v="0"/>
    <m/>
    <m/>
    <n v="1"/>
  </r>
  <r>
    <s v="0217"/>
    <x v="24"/>
    <n v="62400008348"/>
    <s v="Pump, Dredge*Dredge Pump*Hardware &amp; Gaskets*Shim Set, (TX JR Only)*Shim, 0.030&quot; , Impeller adjusting"/>
    <x v="63"/>
    <s v="Y"/>
    <n v="2"/>
    <s v="Shim, 0.030&quot; , Impeller adjusting"/>
    <s v="Pump, Dredge*Dredge Pump*Hardware &amp; Gaskets*Shim Set, (TX JR Only)*Shim, 0.030&quot; , Impeller adjusting"/>
    <n v="0"/>
    <m/>
    <m/>
    <n v="1"/>
  </r>
  <r>
    <s v="0217"/>
    <x v="24"/>
    <n v="62400008428"/>
    <s v="Electrical*Transducers/ Gauges*Analog Converter-Shimpo Meter"/>
    <x v="61"/>
    <s v="Y"/>
    <n v="1"/>
    <s v="Analog Converter-Shimpo Meter"/>
    <s v="Electrical*Transducers/ Gauges*Analog Converter-Shimpo Meter"/>
    <n v="1"/>
    <s v="DOP-FVTR"/>
    <s v="SHIMPO"/>
    <n v="1"/>
  </r>
  <r>
    <s v="0217"/>
    <x v="24"/>
    <n v="66200001425"/>
    <s v="Rawwater*Rawwater Pump Set*Spacer, Coupling"/>
    <x v="115"/>
    <s v="Y"/>
    <n v="1"/>
    <s v="Spacer, Coupling"/>
    <s v="Rawwater*Rawwater Pump Set*Spacer, Coupling"/>
    <n v="1"/>
    <s v="0359585"/>
    <s v="Falk"/>
    <n v="2"/>
  </r>
  <r>
    <s v="0217"/>
    <x v="24"/>
    <n v="66200001831"/>
    <s v="Electrical*RTD/ Thermocouples*RTD, High-Temp, 12&quot;"/>
    <x v="61"/>
    <s v="Y"/>
    <n v="1"/>
    <s v="RTD, High-Temp, 12&quot;"/>
    <s v="Electrical*RTD/ Thermocouples*RTD, High-Temp, 12&quot;"/>
    <n v="2"/>
    <s v="R1T185H483-012(1/2&quot;)-SL-8HN31"/>
    <s v="INDUSTRIAL INSTRUMENT"/>
    <n v="1"/>
  </r>
  <r>
    <s v="0217"/>
    <x v="24"/>
    <n v="66200001832"/>
    <s v="Electrical*RTD/ Thermocouples*Thermowell, 12&quot;"/>
    <x v="61"/>
    <s v="Y"/>
    <n v="1"/>
    <s v="Thermowell, 12&quot;"/>
    <s v="Electrical*RTD/ Thermocouples*Thermowell, 12&quot;"/>
    <n v="0"/>
    <s v="185-U10.5-316"/>
    <s v="LESMAN INSTRUMENT CO"/>
    <n v="1"/>
  </r>
  <r>
    <s v="0217"/>
    <x v="24"/>
    <n v="66200006015"/>
    <s v="Piping (Dredge)*Cleanout (MP)*Bolt, Swing"/>
    <x v="80"/>
    <s v="Y"/>
    <n v="2"/>
    <s v="Bolt, Swing"/>
    <s v="Piping (Dredge)*Cleanout (MP)*Bolt, Swing"/>
    <n v="2"/>
    <s v="110-05-1115r5"/>
    <s v="Gldd Dwg "/>
    <n v="1"/>
  </r>
  <r>
    <s v="0217"/>
    <x v="24"/>
    <n v="66200008985"/>
    <s v="Hydraulic System*HPU (Bypass Valve) (2-Valve)*Housing, Filter"/>
    <x v="87"/>
    <s v="Y"/>
    <n v="1"/>
    <s v="Housing, Filter"/>
    <s v="Hydraulic System*HPU (Bypass Valve) (2-Valve)*Housing, Filter"/>
    <n v="1"/>
    <s v="TEF 426 10VG S P FS 7"/>
    <s v="Eaton"/>
    <n v="1"/>
  </r>
  <r>
    <s v="0217"/>
    <x v="24"/>
    <n v="66200009104"/>
    <s v="Gland Seal*Gland Seal Pump Set (#1)*Valve, Swing Check, 2&quot;"/>
    <x v="67"/>
    <s v="Y"/>
    <n v="1"/>
    <s v="Valve, Swing Check, 2&quot;"/>
    <s v="Gland Seal*Gland Seal Pump Set (#1)*Valve, Swing Check, 2&quot;"/>
    <n v="2"/>
    <s v="072507.400"/>
    <s v="W &amp; O Supply"/>
    <n v="2"/>
  </r>
  <r>
    <s v="0217"/>
    <x v="24"/>
    <n v="66200009489"/>
    <s v="Pump, Dredge*Dredge Pump Gearbox*Seal, Input Shaft"/>
    <x v="63"/>
    <s v="Y"/>
    <n v="2"/>
    <s v="Seal, Input Shaft"/>
    <s v="Pump, Dredge*Dredge Pump Gearbox*Seal, Input Shaft"/>
    <n v="1"/>
    <m/>
    <m/>
    <n v="1"/>
  </r>
  <r>
    <s v="0217"/>
    <x v="24"/>
    <n v="66200011440"/>
    <s v="Pump, Dredge*Dredge Pump Engine (Port) (EMD 645)*Pre-Lube Pump*Switch, Oil Pressure"/>
    <x v="63"/>
    <s v="Y"/>
    <n v="1"/>
    <s v="Switch, Oil Pressure"/>
    <s v="Pump, Dredge*Dredge Pump Engine (Port) (EMD 645)*Pre-Lube Pump*Switch, Oil Pressure"/>
    <n v="0"/>
    <s v="E1H-H90-F2"/>
    <s v="Barksdale Control Products"/>
    <n v="1"/>
  </r>
  <r>
    <s v="0217"/>
    <x v="24"/>
    <n v="66200012123"/>
    <s v="Pump, Dredge*Dredge Pump Engine (Port) (EMD 645)*Pre-Lube Pump*Contact Relay, Phonix"/>
    <x v="63"/>
    <s v="Y"/>
    <n v="1"/>
    <s v="Contact Relay, Phonix"/>
    <s v="Pump, Dredge*Dredge Pump Engine (Port) (EMD 645)*Pre-Lube Pump*Contact Relay, Phonix"/>
    <n v="0"/>
    <m/>
    <m/>
    <n v="1"/>
  </r>
  <r>
    <s v="0217"/>
    <x v="24"/>
    <n v="66200012124"/>
    <s v="Pump, Dredge*Dredge Pump Engine (Port) (EMD 645)*Pre-Lube Pump*PC Relay Module 4P 24V"/>
    <x v="63"/>
    <s v="Y"/>
    <n v="1"/>
    <s v="PC Relay Module 4P 24V"/>
    <s v="Pump, Dredge*Dredge Pump Engine (Port) (EMD 645)*Pre-Lube Pump*PC Relay Module 4P 24V"/>
    <n v="0"/>
    <m/>
    <m/>
    <n v="1"/>
  </r>
  <r>
    <s v="0217"/>
    <x v="24"/>
    <n v="66200013716"/>
    <s v="Rawwater*Rawwater Pump Set*Pump, Goulds 3796 LTX*Coupling*Falk Coupling 1060T35 Motor Hub"/>
    <x v="115"/>
    <s v="Y"/>
    <n v="1"/>
    <s v="Falk Coupling 1060T35 Motor Hub"/>
    <s v="Rawwater*Rawwater Pump Set*Pump, Goulds 3796 LTX*Coupling*Falk Coupling 1060T35 Motor Hub"/>
    <n v="1"/>
    <m/>
    <m/>
    <n v="1"/>
  </r>
  <r>
    <s v="0217"/>
    <x v="24"/>
    <n v="66200013717"/>
    <s v="Rawwater*Rawwater Pump Set*Pump, Goulds 3796 LTX*Coupling*Falk Half Spacer 1060T35 Clearance 3.5"/>
    <x v="115"/>
    <s v="Y"/>
    <n v="1"/>
    <s v="Falk Half Spacer 1060T35 Clearance 3.5"/>
    <s v="Rawwater*Rawwater Pump Set*Pump, Goulds 3796 LTX*Coupling*Falk Half Spacer 1060T35 Clearance 3.5"/>
    <n v="4"/>
    <m/>
    <m/>
    <n v="1"/>
  </r>
  <r>
    <s v="0217"/>
    <x v="24"/>
    <n v="66200013719"/>
    <s v="Rawwater*Rawwater Pump Set*Pump, Goulds 3796 LTX*Coupling*Falk 1060T10 Coupling Bore 1.875"/>
    <x v="115"/>
    <s v="Y"/>
    <n v="1"/>
    <s v="Falk 1060T10 Coupling Bore 1.875"/>
    <s v="Rawwater*Rawwater Pump Set*Pump, Goulds 3796 LTX*Coupling*Falk 1060T10 Coupling Bore 1.875"/>
    <n v="1"/>
    <m/>
    <m/>
    <n v="1"/>
  </r>
  <r>
    <s v="0217"/>
    <x v="24"/>
    <n v="66200014160"/>
    <s v="Generators*Main Genset*Main Generator*Regulator, Cat VR6"/>
    <x v="4"/>
    <s v="Y"/>
    <n v="1"/>
    <s v="Regulator, Cat VR6"/>
    <s v="Generators*Main Genset*Main Generator*Regulator, Cat VR6"/>
    <n v="1"/>
    <s v="365-2076"/>
    <s v="Caterpillar"/>
    <n v="1"/>
  </r>
  <r>
    <s v="0218"/>
    <x v="25"/>
    <n v="8556"/>
    <s v="Pump, Dredge*Dredge Pump*Stuffing Box (D/P)*Impeller Release Ring Kit (11.5&quot; Hub)"/>
    <x v="63"/>
    <s v="Y"/>
    <n v="1"/>
    <s v="Impeller Release Ring Kit (11.5&quot; Hub)"/>
    <s v="Pump, Dredge*Dredge Pump*Stuffing Box (D/P)*Impeller Release Ring Kit (11.5&quot; Hub)"/>
    <n v="1"/>
    <s v="0919X (11.5&quot; Hub)"/>
    <s v="GIW"/>
    <n v="1"/>
  </r>
  <r>
    <s v="0218"/>
    <x v="25"/>
    <n v="9410"/>
    <s v="Pump, Dredge*Dredge Pump Gearbox*Shaft, Input (2nd Shaft)*Seal, Oil (Split) (Garlock)"/>
    <x v="63"/>
    <s v="Y"/>
    <n v="1"/>
    <s v="Seal, Oil (Split) (Garlock)"/>
    <s v="Pump, Dredge*Dredge Pump Gearbox*Shaft, Input (2nd Shaft)*Seal, Oil (Split) (Garlock)"/>
    <n v="1"/>
    <s v="23X3949"/>
    <s v="Garlock"/>
    <n v="1"/>
  </r>
  <r>
    <s v="0218"/>
    <x v="25"/>
    <n v="9547"/>
    <s v="Pump, Dredge*Dredge Pump*Hardware &amp; Gaskets*O-Ring, Hub Liner-Plate"/>
    <x v="63"/>
    <s v="Y"/>
    <n v="1"/>
    <s v="O-Ring, Hub Liner-Plate"/>
    <s v="Pump, Dredge*Dredge Pump*Hardware &amp; Gaskets*O-Ring, Hub Liner-Plate"/>
    <n v="1"/>
    <s v="7718P-11"/>
    <s v="GIW"/>
    <n v="1"/>
  </r>
  <r>
    <s v="0218"/>
    <x v="25"/>
    <n v="9548"/>
    <s v="Pump, Dredge*Dredge Pump*Hardware &amp; Gaskets*O-Ring, Shaft Sleeve"/>
    <x v="63"/>
    <s v="Y"/>
    <n v="1"/>
    <s v="O-Ring, Shaft Sleeve"/>
    <s v="Pump, Dredge*Dredge Pump*Hardware &amp; Gaskets*O-Ring, Shaft Sleeve"/>
    <n v="1"/>
    <s v="7710P-47"/>
    <s v="GIW"/>
    <n v="1"/>
  </r>
  <r>
    <s v="0218"/>
    <x v="25"/>
    <n v="9676"/>
    <s v="Gland Seal*Gland Seal Pump (#1)*Motor, (100 HP)*Motor, 100 HP"/>
    <x v="67"/>
    <s v="Y"/>
    <n v="1"/>
    <s v="Motor, 100 HP"/>
    <s v="Gland Seal*Gland Seal Pump (#1)*Motor, (100 HP)*Motor, 100 HP"/>
    <n v="1"/>
    <m/>
    <m/>
    <n v="2"/>
  </r>
  <r>
    <s v="0218"/>
    <x v="25"/>
    <n v="12256"/>
    <s v="Pump, Dredge*Shafting*Pump Bearing Assembly (D/P)*Seal, Oil, Pump End (Item 21)"/>
    <x v="63"/>
    <s v="Y"/>
    <n v="1"/>
    <s v="Seal, Oil, Pump End (Item 21)"/>
    <s v="Pump, Dredge*Shafting*Pump Bearing Assembly (D/P)*Seal, Oil, Pump End (Item 21)"/>
    <n v="5"/>
    <s v="23X4178"/>
    <s v="MOTION IND."/>
    <n v="1"/>
  </r>
  <r>
    <s v="0218"/>
    <x v="25"/>
    <n v="12257"/>
    <s v="Pump, Dredge*Shafting*Pump Bearing Assembly (D/P)*Seal, Oil, Engine End (Item 30)"/>
    <x v="63"/>
    <s v="Y"/>
    <n v="1"/>
    <s v="Seal, Oil, Engine End (Item 30)"/>
    <s v="Pump, Dredge*Shafting*Pump Bearing Assembly (D/P)*Seal, Oil, Engine End (Item 30)"/>
    <n v="2"/>
    <s v="23 X 4080"/>
    <s v="Garlock"/>
    <n v="1"/>
  </r>
  <r>
    <s v="0218"/>
    <x v="25"/>
    <n v="13961"/>
    <s v="Gland Seal*Gland Seal Pump (#1)*Gland Seal Pump Set (#1), Complete*Coupling (1060T35)*Hub, Motor End"/>
    <x v="67"/>
    <s v="Y"/>
    <n v="1"/>
    <s v="Hub, Motor End"/>
    <s v="Gland Seal*Gland Seal Pump (#1)*Gland Seal Pump Set (#1), Complete*Coupling (1060T35)*Hub, Motor End"/>
    <n v="3"/>
    <s v="0713016"/>
    <s v="Motion Industries"/>
    <n v="2"/>
  </r>
  <r>
    <s v="0218"/>
    <x v="25"/>
    <n v="13962"/>
    <s v="Gland Seal*Gland Seal Pump (#1)*Gland Seal Pump Set (#1), Complete*Coupling (1060T35)*Hub, Pump End"/>
    <x v="67"/>
    <s v="Y"/>
    <n v="1"/>
    <s v="Hub, Pump End"/>
    <s v="Gland Seal*Gland Seal Pump (#1)*Gland Seal Pump Set (#1), Complete*Coupling (1060T35)*Hub, Pump End"/>
    <n v="1"/>
    <s v="1060T35"/>
    <s v="Motion Industries"/>
    <n v="2"/>
  </r>
  <r>
    <s v="0218"/>
    <x v="25"/>
    <n v="13963"/>
    <s v="Gland Seal*Gland Seal Pump (#1)*Gland Seal Pump Set (#1), Complete*Coupling (1060T35)*Spacer"/>
    <x v="67"/>
    <s v="Y"/>
    <n v="1"/>
    <s v="Spacer"/>
    <s v="Gland Seal*Gland Seal Pump (#1)*Gland Seal Pump Set (#1), Complete*Coupling (1060T35)*Spacer"/>
    <n v="3"/>
    <s v="0765755"/>
    <s v="Motion Industries"/>
    <n v="2"/>
  </r>
  <r>
    <s v="0218"/>
    <x v="25"/>
    <n v="14147"/>
    <s v="Pump, Dredge*Dredge Pump Engine (EMD 645)*Crankcase/Oil Pan/Block*Manifold, Water*Seal, Cyl. Liner To Water Inlet Tube"/>
    <x v="63"/>
    <s v="Y"/>
    <n v="5"/>
    <s v="Seal, Cyl. Liner To Water Inlet Tube"/>
    <s v="Pump, Dredge*Dredge Pump Engine (EMD 645)*Crankcase/Oil Pan/Block*Manifold, Water*Seal, Cyl. Liner To Water Inlet Tube"/>
    <n v="5"/>
    <s v="8305815"/>
    <s v="EMD (MSI)"/>
    <n v="1"/>
  </r>
  <r>
    <s v="0218"/>
    <x v="25"/>
    <n v="14263"/>
    <s v="Pump, Dredge*Dredge Pump Gearbox*Clutch (32VC1000)*Valve, Air Control, 120 VAC"/>
    <x v="63"/>
    <s v="Y"/>
    <n v="1"/>
    <s v="Valve, Air Control, 120 VAC"/>
    <s v="Pump, Dredge*Dredge Pump Gearbox*Clutch (32VC1000)*Valve, Air Control, 120 VAC"/>
    <n v="1"/>
    <s v="8316G064-120/VAC"/>
    <s v="STEINER ELECTRIC"/>
    <n v="1"/>
  </r>
  <r>
    <s v="0218"/>
    <x v="25"/>
    <n v="18825"/>
    <s v="Pump, Dredge*Dredge Pump Engine (EMD 645)*Governor (UG Accuator)*Governor (Ug Accuator)"/>
    <x v="63"/>
    <s v="Y"/>
    <n v="1"/>
    <s v="Governor (Ug Accuator)"/>
    <s v="Pump, Dredge*Dredge Pump Engine (EMD 645)*Governor (UG Accuator)*Governor (Ug Accuator)"/>
    <n v="1"/>
    <s v="A8251-724"/>
    <s v="Woodward"/>
    <n v="1"/>
  </r>
  <r>
    <s v="0218"/>
    <x v="25"/>
    <n v="18877"/>
    <s v="Production Instrumentation/Monitoring*Rosemount Transducers*Transmitter (0-100 PSIG)"/>
    <x v="75"/>
    <s v="Y"/>
    <n v="1"/>
    <s v="Transmitter (0-100 PSIG)"/>
    <s v="Production Instrumentation/Monitoring*Rosemount Transducers*Transmitter (0-100 PSIG)"/>
    <n v="1"/>
    <s v="1151GP6E22B3M3DF"/>
    <s v="ROSEMOUNT"/>
    <n v="1"/>
  </r>
  <r>
    <s v="0218"/>
    <x v="25"/>
    <n v="18878"/>
    <s v="Production Instrumentation/Monitoring*Rosemount Transducers*Transmitter (0-300 PSIG)"/>
    <x v="75"/>
    <s v="Y"/>
    <n v="1"/>
    <s v="Transmitter (0-300 PSIG)"/>
    <s v="Production Instrumentation/Monitoring*Rosemount Transducers*Transmitter (0-300 PSIG)"/>
    <n v="1"/>
    <s v="1151GP7E22B3M3DF"/>
    <s v="ROSEMOUNT"/>
    <n v="1"/>
  </r>
  <r>
    <s v="0218"/>
    <x v="25"/>
    <n v="18879"/>
    <s v="Production Instrumentation/Monitoring*Rosemount Transducers*Transmitter (0-400 PSIG)"/>
    <x v="75"/>
    <s v="Y"/>
    <n v="1"/>
    <s v="Transmitter (0-400 PSIG)"/>
    <s v="Production Instrumentation/Monitoring*Rosemount Transducers*Transmitter (0-400 PSIG)"/>
    <n v="1"/>
    <s v="1151GP8E22B3M3DF"/>
    <s v="ROSEMOUNT"/>
    <n v="1"/>
  </r>
  <r>
    <s v="0218"/>
    <x v="25"/>
    <n v="19095"/>
    <s v="Lube Oil Transfer*Pre Lube Pump*Pre Lube Pump"/>
    <x v="86"/>
    <s v="Y"/>
    <n v="1"/>
    <s v="Pre Lube Pump"/>
    <s v="Lube Oil Transfer*Pre Lube Pump*Pre Lube Pump"/>
    <n v="1"/>
    <s v="9322399"/>
    <s v="EMD"/>
    <n v="1"/>
  </r>
  <r>
    <s v="0218"/>
    <x v="25"/>
    <n v="19096"/>
    <s v="Lube Oil Transfer*Pre Lube Pump*Pre Lube Pump*Motor, 1 HP"/>
    <x v="86"/>
    <s v="Y"/>
    <n v="1"/>
    <s v="Motor, 1 HP"/>
    <s v="Lube Oil Transfer*Pre Lube Pump*Pre Lube Pump*Motor, 1 HP"/>
    <n v="1"/>
    <s v="9331765"/>
    <s v="EMD"/>
    <n v="1"/>
  </r>
  <r>
    <s v="0218"/>
    <x v="25"/>
    <n v="25123"/>
    <s v="Pump, Dredge*Dredge Pump*Liner, Suction Side (Diverter)"/>
    <x v="63"/>
    <s v="Y"/>
    <n v="1"/>
    <s v="Liner, Suction Side (Diverter)"/>
    <s v="Pump, Dredge*Dredge Pump*Liner, Suction Side (Diverter)"/>
    <n v="0"/>
    <s v="6036C"/>
    <s v="HAGLER SYSTEMS"/>
    <n v="1"/>
  </r>
  <r>
    <s v="0218"/>
    <x v="25"/>
    <n v="25237"/>
    <s v="Pump, Dredge*Shafting*Pump Bearing Assembly (D/P)*Oil Cooler*Heat Exchanger (Oil)"/>
    <x v="63"/>
    <s v="Y"/>
    <n v="1"/>
    <s v="Heat Exchanger (Oil)"/>
    <s v="Pump, Dredge*Shafting*Pump Bearing Assembly (D/P)*Oil Cooler*Heat Exchanger (Oil)"/>
    <n v="1"/>
    <s v="BE EAB-1202-B4-SP-CNT-S"/>
    <s v="American Industrial"/>
    <n v="1"/>
  </r>
  <r>
    <s v="0218"/>
    <x v="25"/>
    <n v="29846"/>
    <s v="Piping (Dredge)*Victaulic Coupling, (36&quot;)*Victaulic Coupling, 36&quot;, Style 44"/>
    <x v="80"/>
    <s v="Y"/>
    <n v="1"/>
    <s v="Victaulic Coupling, 36&quot;, Style 44"/>
    <s v="Piping (Dredge)*Victaulic Coupling, (36&quot;)*Victaulic Coupling, 36&quot;, Style 44"/>
    <n v="0"/>
    <s v="STYLE 44 (36&quot; )"/>
    <s v="VITAULIC"/>
    <n v="1"/>
  </r>
  <r>
    <s v="0218"/>
    <x v="25"/>
    <n v="29849"/>
    <s v="Piping (Dredge)*Victaulic Coupling, (36&quot;)*Gasket, Victaulic Coupling"/>
    <x v="80"/>
    <s v="Y"/>
    <n v="1"/>
    <s v="Gasket, Victaulic Coupling"/>
    <s v="Piping (Dredge)*Victaulic Coupling, (36&quot;)*Gasket, Victaulic Coupling"/>
    <n v="1"/>
    <s v="SF22662"/>
    <s v="TOWNLEY"/>
    <n v="1"/>
  </r>
  <r>
    <s v="0218"/>
    <x v="25"/>
    <n v="30493"/>
    <s v="Rawwater*Rawwater Pump (#1)*Motor, 50 HP"/>
    <x v="115"/>
    <s v="Y"/>
    <n v="1"/>
    <s v="Motor, 50 HP"/>
    <s v="Rawwater*Rawwater Pump (#1)*Motor, 50 HP"/>
    <n v="1"/>
    <m/>
    <m/>
    <n v="2"/>
  </r>
  <r>
    <s v="0218"/>
    <x v="25"/>
    <n v="30512"/>
    <s v="Electrical*Automation*PLC (Allen Bradley)*SLC 1746 - OB16, 16 Pnt Dgtl Output Mod"/>
    <x v="61"/>
    <s v="Y"/>
    <n v="1"/>
    <s v="SLC 1746 - OB16, 16 Pnt Dgtl Output Mod"/>
    <s v="Electrical*Automation*PLC (Allen Bradley)*SLC 1746 - OB16, 16 Pnt Dgtl Output Mod"/>
    <n v="0"/>
    <s v="1746-OB16"/>
    <s v="Allen-Bradley"/>
    <n v="1"/>
  </r>
  <r>
    <s v="0218"/>
    <x v="25"/>
    <n v="30794"/>
    <s v="Electrical*Automation*PLC (Allen Bradley)*SLC 1746 - OX8 Isolated Relay Output"/>
    <x v="61"/>
    <s v="Y"/>
    <n v="1"/>
    <s v="SLC 1746 - OX8 Isolated Relay Output"/>
    <s v="Electrical*Automation*PLC (Allen Bradley)*SLC 1746 - OX8 Isolated Relay Output"/>
    <n v="2"/>
    <s v="1746-OX8"/>
    <s v="Allen-Bradley"/>
    <n v="1"/>
  </r>
  <r>
    <s v="0218"/>
    <x v="25"/>
    <n v="31451"/>
    <s v="Gland Seal*Gland Seal Pump (#1)*Gland Seal Pump Set (#1), Complete*Coupling (1060T35)*Cover, 1060T35 Coupling"/>
    <x v="67"/>
    <s v="Y"/>
    <n v="1"/>
    <s v="Cover, 1060T35 Coupling"/>
    <s v="Gland Seal*Gland Seal Pump (#1)*Gland Seal Pump Set (#1), Complete*Coupling (1060T35)*Cover, 1060T35 Coupling"/>
    <n v="1"/>
    <s v="1060T35"/>
    <s v="Motion Industries"/>
    <n v="2"/>
  </r>
  <r>
    <s v="0218"/>
    <x v="25"/>
    <n v="32236"/>
    <s v="Pump, Dredge*Dredge Pump Gearbox*Clutch (32VC1000)*Clutch (Complete Assembly)"/>
    <x v="63"/>
    <s v="Y"/>
    <n v="1"/>
    <s v="Clutch (Complete Assembly)"/>
    <s v="Pump, Dredge*Dredge Pump Gearbox*Clutch (32VC1000)*Clutch (Complete Assembly)"/>
    <n v="0"/>
    <s v="988456"/>
    <s v="EATON AIRFLEX"/>
    <n v="1"/>
  </r>
  <r>
    <s v="0218"/>
    <x v="25"/>
    <n v="35208"/>
    <s v="Pump, Dredge*Shafting*Pump Bearing Assembly (D/P)*Oil Circulating Pump*Pump, Oil Circulating"/>
    <x v="63"/>
    <s v="Y"/>
    <n v="1"/>
    <s v="Pump, Oil Circulating"/>
    <s v="Pump, Dredge*Shafting*Pump Bearing Assembly (D/P)*Oil Circulating Pump*Pump, Oil Circulating"/>
    <n v="0"/>
    <s v="G4125"/>
    <s v="VIKING MARINE SOUTH, INC."/>
    <n v="1"/>
  </r>
  <r>
    <s v="0218"/>
    <x v="25"/>
    <n v="35209"/>
    <s v="Pump, Dredge*Shafting*Pump Bearing Assembly (D/P)*Oil Circulating Pump*Pump, Oil Circulating*Motor, 2 Hp"/>
    <x v="63"/>
    <s v="Y"/>
    <n v="1"/>
    <s v="Motor, 2 Hp"/>
    <s v="Pump, Dredge*Shafting*Pump Bearing Assembly (D/P)*Oil Circulating Pump*Pump, Oil Circulating*Motor, 2 Hp"/>
    <n v="0"/>
    <m/>
    <m/>
    <n v="1"/>
  </r>
  <r>
    <s v="0218"/>
    <x v="25"/>
    <n v="35211"/>
    <s v="Lube Oil Transfer*L/O Transfer Pump*PUMP, L/O TANSFER*Motor, 3 HP"/>
    <x v="86"/>
    <s v="Y"/>
    <n v="1"/>
    <s v="Motor, 3 HP"/>
    <s v="Lube Oil Transfer*L/O Transfer Pump*PUMP, L/O TANSFER*Motor, 3 HP"/>
    <n v="0"/>
    <m/>
    <m/>
    <n v="1"/>
  </r>
  <r>
    <s v="0218"/>
    <x v="25"/>
    <n v="35969"/>
    <s v="Generators*Main Genset (#1) (Remove)*Generator (#1)*Control Panel*Voltage Regulator"/>
    <x v="4"/>
    <s v="Y"/>
    <n v="1"/>
    <s v="Voltage Regulator"/>
    <s v="Generators*Main Genset (#1) (Remove)*Generator (#1)*Control Panel*Voltage Regulator"/>
    <n v="2"/>
    <s v="E000-23410"/>
    <s v="NEWAGE INTENATIONAL"/>
    <n v="2"/>
  </r>
  <r>
    <s v="0218"/>
    <x v="25"/>
    <n v="50048"/>
    <s v="Generators*Main Genset (#1) (Remove)*Generator Engine (#1) (Cummins KTA 19G4)*Engine Accessories*Belt, V Fan # 1 Only"/>
    <x v="4"/>
    <s v="Y"/>
    <n v="1"/>
    <s v="Belt, V Fan # 1 Only"/>
    <s v="Generators*Main Genset (#1) (Remove)*Generator Engine (#1) (Cummins KTA 19G4)*Engine Accessories*Belt, V Fan # 1 Only"/>
    <n v="3"/>
    <s v="3002203"/>
    <s v="Cummins"/>
    <n v="1"/>
  </r>
  <r>
    <s v="0218"/>
    <x v="25"/>
    <n v="50052"/>
    <s v="Generators*Main Genset (#1) (Remove)*Generator Engine (#1) (Cummins KTA 19G4)*Engine Accessories*Alternator"/>
    <x v="4"/>
    <s v="Y"/>
    <n v="1"/>
    <s v="Alternator"/>
    <s v="Generators*Main Genset (#1) (Remove)*Generator Engine (#1) (Cummins KTA 19G4)*Engine Accessories*Alternator"/>
    <n v="1"/>
    <s v="3016627"/>
    <s v="Cummins"/>
    <n v="1"/>
  </r>
  <r>
    <s v="0218"/>
    <x v="25"/>
    <n v="51224"/>
    <s v="Pump, Dredge*Dredge Pump Engine (EMD 645)*Crankcase/Oil Pan/Block*Top Deck Cover, Flame Arrestor*Latch Assembly Cover Hinge"/>
    <x v="63"/>
    <s v="Y"/>
    <n v="4"/>
    <s v="Latch Assembly Cover Hinge"/>
    <s v="Pump, Dredge*Dredge Pump Engine (EMD 645)*Crankcase/Oil Pan/Block*Top Deck Cover, Flame Arrestor*Latch Assembly Cover Hinge"/>
    <n v="4"/>
    <s v="8498895"/>
    <s v="EMD"/>
    <n v="1"/>
  </r>
  <r>
    <s v="0218"/>
    <x v="25"/>
    <n v="51225"/>
    <s v="Pump, Dredge*Dredge Pump Engine (EMD 645)*Crankcase/Oil Pan/Block*Top Deck Cover, Flame Arrestor*Latch Assembly, Cover Clamp"/>
    <x v="63"/>
    <s v="Y"/>
    <n v="4"/>
    <s v="Latch Assembly, Cover Clamp"/>
    <s v="Pump, Dredge*Dredge Pump Engine (EMD 645)*Crankcase/Oil Pan/Block*Top Deck Cover, Flame Arrestor*Latch Assembly, Cover Clamp"/>
    <n v="4"/>
    <s v="8498896"/>
    <s v="EMD"/>
    <n v="1"/>
  </r>
  <r>
    <s v="0218"/>
    <x v="25"/>
    <n v="57014"/>
    <s v="Pump, Dredge*Dredge Pump Engine (EMD 645)*Crankcase/Oil Pan/Block*Magnetic Pickup"/>
    <x v="63"/>
    <s v="Y"/>
    <n v="1"/>
    <s v="Magnetic Pickup"/>
    <s v="Pump, Dredge*Dredge Pump Engine (EMD 645)*Crankcase/Oil Pan/Block*Magnetic Pickup"/>
    <n v="0"/>
    <s v="LMPEC000"/>
    <s v="RED LION MONARCH"/>
    <n v="1"/>
  </r>
  <r>
    <s v="0218"/>
    <x v="25"/>
    <n v="11500002902"/>
    <s v="Pump, Dredge*Dredge Pump*Liner, Engine Side"/>
    <x v="63"/>
    <s v="Y"/>
    <n v="1"/>
    <s v="Liner, Engine Side"/>
    <s v="Pump, Dredge*Dredge Pump*Liner, Engine Side"/>
    <n v="0"/>
    <s v="AC-1868"/>
    <s v="MPMW Dwg "/>
    <n v="1"/>
  </r>
  <r>
    <s v="0218"/>
    <x v="25"/>
    <n v="11500002903"/>
    <s v="Pump, Dredge*Dredge Pump*Liner, Throat"/>
    <x v="63"/>
    <s v="Y"/>
    <n v="1"/>
    <s v="Liner, Throat"/>
    <s v="Pump, Dredge*Dredge Pump*Liner, Throat"/>
    <n v="0"/>
    <s v="1C-2082"/>
    <s v="MPMW Dwg "/>
    <n v="1"/>
  </r>
  <r>
    <s v="0218"/>
    <x v="25"/>
    <n v="11500002920"/>
    <s v="Pump, Dredge*Dredge Pump*Liner, Throat*O-Ring, Throat Liner"/>
    <x v="63"/>
    <s v="Y"/>
    <n v="1"/>
    <s v="O-Ring, Throat Liner"/>
    <s v="Pump, Dredge*Dredge Pump*Liner, Throat*O-Ring, Throat Liner"/>
    <n v="1"/>
    <s v="7720P-08"/>
    <s v="GIW"/>
    <n v="1"/>
  </r>
  <r>
    <s v="0218"/>
    <x v="25"/>
    <n v="11500002921"/>
    <s v="Pump, Dredge*Dredge Pump*Hardware &amp; Gaskets*x-O-Ring, Inner Liner, DO NOT IN USE"/>
    <x v="63"/>
    <s v="Y"/>
    <n v="1"/>
    <s v="x-O-Ring, Inner Liner, DO NOT IN USE"/>
    <s v="Pump, Dredge*Dredge Pump*Hardware &amp; Gaskets*x-O-Ring, Inner Liner, DO NOT IN USE"/>
    <n v="1"/>
    <s v="7719P-19"/>
    <s v="MPMW Dwg "/>
    <n v="1"/>
  </r>
  <r>
    <s v="0218"/>
    <x v="25"/>
    <n v="11500002926"/>
    <s v="Pump, Dredge*Dredge Pump*Hardware &amp; Gaskets*O-Ring, Outer Liner O.D."/>
    <x v="63"/>
    <s v="Y"/>
    <n v="1"/>
    <s v="O-Ring, Outer Liner O.D."/>
    <s v="Pump, Dredge*Dredge Pump*Hardware &amp; Gaskets*O-Ring, Outer Liner O.D."/>
    <n v="2"/>
    <s v="7719P-20"/>
    <s v="MPMW Dwg "/>
    <n v="1"/>
  </r>
  <r>
    <s v="0218"/>
    <x v="25"/>
    <n v="11500002927"/>
    <s v="Pump, Dredge*Dredge Pump*Hardware &amp; Gaskets*O-Ring, Back Door O.D."/>
    <x v="63"/>
    <s v="Y"/>
    <n v="1"/>
    <s v="O-Ring, Back Door O.D."/>
    <s v="Pump, Dredge*Dredge Pump*Hardware &amp; Gaskets*O-Ring, Back Door O.D."/>
    <n v="2"/>
    <s v="7739P-03"/>
    <s v="MPMW Dwg "/>
    <n v="1"/>
  </r>
  <r>
    <s v="0218"/>
    <x v="25"/>
    <n v="11500002928"/>
    <s v="Pump, Dredge*Dredge Pump*Hardware &amp; Gaskets*O-Ring, Back Door I.D."/>
    <x v="63"/>
    <s v="Y"/>
    <n v="1"/>
    <s v="O-Ring, Back Door I.D."/>
    <s v="Pump, Dredge*Dredge Pump*Hardware &amp; Gaskets*O-Ring, Back Door I.D."/>
    <n v="1"/>
    <s v="7743P-01"/>
    <s v="MPMW Dwg "/>
    <n v="1"/>
  </r>
  <r>
    <s v="0218"/>
    <x v="25"/>
    <n v="13200001003"/>
    <s v="Pump, Dredge*Dredge Pump Engine (EMD 645)*Starting System*Air Starter, Left Hand Engine"/>
    <x v="63"/>
    <s v="Y"/>
    <n v="1"/>
    <s v="Air Starter, Left Hand Engine"/>
    <s v="Pump, Dredge*Dredge Pump Engine (EMD 645)*Starting System*Air Starter, Left Hand Engine"/>
    <n v="0"/>
    <s v="IR 150BMPD88R54-020-MP"/>
    <s v="DIESEL PARTS SALES &amp; SERVICE, INC."/>
    <n v="1"/>
  </r>
  <r>
    <s v="0218"/>
    <x v="25"/>
    <n v="13200002254"/>
    <s v="Gland Seal*Gland Seal Pump (#1)*Gland Seal Pump Set (#1), Complete*Shaft, Impeller*Sleeve, Shaft"/>
    <x v="67"/>
    <s v="Y"/>
    <n v="1"/>
    <s v="Sleeve, Shaft"/>
    <s v="Gland Seal*Gland Seal Pump (#1)*Gland Seal Pump Set (#1), Complete*Shaft, Impeller*Sleeve, Shaft"/>
    <n v="1"/>
    <s v="73705X-2229"/>
    <s v="Goulds"/>
    <n v="2"/>
  </r>
  <r>
    <s v="0218"/>
    <x v="25"/>
    <n v="13200002629"/>
    <s v="Pump, Dredge*Dredge Pump Gearbox*Clutch (32VC1000)*Tube, Air Connection"/>
    <x v="63"/>
    <s v="Y"/>
    <n v="2"/>
    <s v="Tube, Air Connection"/>
    <s v="Pump, Dredge*Dredge Pump Gearbox*Clutch (32VC1000)*Tube, Air Connection"/>
    <n v="0"/>
    <s v="412178-05"/>
    <s v="BRAKE SUPPLY"/>
    <n v="1"/>
  </r>
  <r>
    <s v="0218"/>
    <x v="25"/>
    <n v="13200002630"/>
    <s v="Pump, Dredge*Dredge Pump Gearbox*Clutch (32VC1000)*Gasket, Air Connection, Clutch"/>
    <x v="63"/>
    <s v="Y"/>
    <n v="2"/>
    <s v="Gasket, Air Connection, Clutch"/>
    <s v="Pump, Dredge*Dredge Pump Gearbox*Clutch (32VC1000)*Gasket, Air Connection, Clutch"/>
    <n v="8"/>
    <s v="412324-03"/>
    <s v="EATON AIRFLEX"/>
    <n v="1"/>
  </r>
  <r>
    <s v="0218"/>
    <x v="25"/>
    <n v="14400000048"/>
    <s v="Pump, Dredge*Dredge Pump Engine (EMD 645)*Crankcase/Oil Pan/Block*Top Deck Cover, Flame Arrestor*Top Deck Cover Support"/>
    <x v="63"/>
    <s v="Y"/>
    <n v="1"/>
    <s v="Top Deck Cover Support"/>
    <s v="Pump, Dredge*Dredge Pump Engine (EMD 645)*Crankcase/Oil Pan/Block*Top Deck Cover, Flame Arrestor*Top Deck Cover Support"/>
    <n v="1"/>
    <s v="40050462"/>
    <s v="EMD (MSI)"/>
    <n v="1"/>
  </r>
  <r>
    <s v="0218"/>
    <x v="25"/>
    <n v="14400000081"/>
    <s v="Pump, Dredge*Dredge Pump Engine (EMD 645)*Starting System*Valve, Air Start, Two Way"/>
    <x v="63"/>
    <s v="Y"/>
    <n v="1"/>
    <s v="Valve, Air Start, Two Way"/>
    <s v="Pump, Dredge*Dredge Pump Engine (EMD 645)*Starting System*Valve, Air Start, Two Way"/>
    <n v="0"/>
    <s v="8393335"/>
    <s v="EMD (MSI)"/>
    <n v="1"/>
  </r>
  <r>
    <s v="0218"/>
    <x v="25"/>
    <n v="14400000099"/>
    <s v="Pump, Dredge*Dredge Pump Engine (EMD 645)*Lube Oil Scavenging Pump (SP2)*Lube Oil Scavenging Pump (20-645)*Fuel Kit"/>
    <x v="63"/>
    <s v="Y"/>
    <n v="1"/>
    <s v="Fuel Kit"/>
    <s v="Pump, Dredge*Dredge Pump Engine (EMD 645)*Lube Oil Scavenging Pump (SP2)*Lube Oil Scavenging Pump (20-645)*Fuel Kit"/>
    <n v="0"/>
    <s v="3278364"/>
    <s v="EMD (MSI)"/>
    <n v="1"/>
  </r>
  <r>
    <s v="0218"/>
    <x v="25"/>
    <n v="14400000223"/>
    <s v="Pump, Dredge*Dredge Pump Engine (EMD 645)*Crankcase/Oil Pan/Block*Manifold, Water*Gasket, Pump To Elbow"/>
    <x v="63"/>
    <s v="Y"/>
    <n v="2"/>
    <s v="Gasket, Pump To Elbow"/>
    <s v="Pump, Dredge*Dredge Pump Engine (EMD 645)*Crankcase/Oil Pan/Block*Manifold, Water*Gasket, Pump To Elbow"/>
    <n v="2"/>
    <s v="40040018"/>
    <s v="EMD (MSI)"/>
    <n v="1"/>
  </r>
  <r>
    <s v="0218"/>
    <x v="25"/>
    <n v="14400000242"/>
    <s v="Pump, Dredge*Dredge Pump Engine (EMD 645)*Crankcase/Oil Pan/Block*Top Deck Cover, Flame Arrestor*Kit, Seal, Valve Cover"/>
    <x v="63"/>
    <s v="Y"/>
    <n v="1"/>
    <s v="Kit, Seal, Valve Cover"/>
    <s v="Pump, Dredge*Dredge Pump Engine (EMD 645)*Crankcase/Oil Pan/Block*Top Deck Cover, Flame Arrestor*Kit, Seal, Valve Cover"/>
    <n v="1"/>
    <s v="9087072"/>
    <s v="EMD (MSI)"/>
    <n v="1"/>
  </r>
  <r>
    <s v="0218"/>
    <x v="25"/>
    <n v="14500002209"/>
    <s v="Pump, Dredge*Dredge Pump*Stuffing Box (D/P)*Lantern Ring, Gathane (Split)"/>
    <x v="63"/>
    <s v="Y"/>
    <n v="1"/>
    <s v="Lantern Ring, Gathane (Split)"/>
    <s v="Pump, Dredge*Dredge Pump*Stuffing Box (D/P)*Lantern Ring, Gathane (Split)"/>
    <n v="2"/>
    <s v="618-0365A-00-03GAT"/>
    <s v="GIW"/>
    <n v="1"/>
  </r>
  <r>
    <s v="0218"/>
    <x v="25"/>
    <n v="14500002735"/>
    <s v="Pump, Dredge*Dredge Pump*Stuffing Box (D/P)*Packing Gland"/>
    <x v="63"/>
    <s v="Y"/>
    <n v="1"/>
    <s v="Packing Gland"/>
    <s v="Pump, Dredge*Dredge Pump*Stuffing Box (D/P)*Packing Gland"/>
    <n v="1"/>
    <s v="0865C-04"/>
    <s v="GIW"/>
    <n v="1"/>
  </r>
  <r>
    <s v="0218"/>
    <x v="25"/>
    <n v="14500002737"/>
    <s v="Pump, Dredge*Dredge Pump*Stuffing Box (D/P)*Packing Gland*Bolt, Packing Gland, 1&quot; x 5-1/2&quot;*Nut, Gland"/>
    <x v="63"/>
    <s v="Y"/>
    <n v="4"/>
    <s v="Nut, Gland"/>
    <s v="Pump, Dredge*Dredge Pump*Stuffing Box (D/P)*Packing Gland*Bolt, Packing Gland, 1&quot; x 5-1/2&quot;*Nut, Gland"/>
    <n v="4"/>
    <s v="9706P-05"/>
    <s v="GIW"/>
    <n v="1"/>
  </r>
  <r>
    <s v="0218"/>
    <x v="25"/>
    <n v="14500002739"/>
    <s v="Pump, Dredge*Dredge Pump*Stuffing Box (D/P)*Packing Gland*Stud, Packing Gland, (Stainless Steel)"/>
    <x v="63"/>
    <s v="Y"/>
    <n v="4"/>
    <s v="Stud, Packing Gland, (Stainless Steel)"/>
    <s v="Pump, Dredge*Dredge Pump*Stuffing Box (D/P)*Packing Gland*Stud, Packing Gland, (Stainless Steel)"/>
    <n v="4"/>
    <s v="9760P-26"/>
    <s v="GIW"/>
    <n v="1"/>
  </r>
  <r>
    <s v="0218"/>
    <x v="25"/>
    <n v="23500000062"/>
    <s v="Pump, Dredge*Dredge Pump*Stuffing Box (D/P)*Sleeve, Shaft, D/P 11.5&quot;"/>
    <x v="63"/>
    <s v="Y"/>
    <n v="1"/>
    <s v="Sleeve, Shaft, D/P 11.5&quot;"/>
    <s v="Pump, Dredge*Dredge Pump*Stuffing Box (D/P)*Sleeve, Shaft, D/P 11.5&quot;"/>
    <n v="2"/>
    <s v="8213D"/>
    <s v="GIW"/>
    <n v="1"/>
  </r>
  <r>
    <s v="0218"/>
    <x v="25"/>
    <n v="27900000046"/>
    <s v="Pump, Dredge*Dredge Pump Engine (EMD 645)*Crankcase/Oil Pan/Block*Manifold, Water*Gasket, Elbow To Manifold"/>
    <x v="63"/>
    <s v="Y"/>
    <n v="2"/>
    <s v="Gasket, Elbow To Manifold"/>
    <s v="Pump, Dredge*Dredge Pump Engine (EMD 645)*Crankcase/Oil Pan/Block*Manifold, Water*Gasket, Elbow To Manifold"/>
    <n v="2"/>
    <s v="40040019"/>
    <s v="EMD (MSI)"/>
    <n v="1"/>
  </r>
  <r>
    <s v="0218"/>
    <x v="25"/>
    <n v="27900002276"/>
    <s v="Pump, Dredge*Dredge Pump Engine (EMD 645)*Crankcase/Oil Pan/Block*Switch, Crankcase Pressure"/>
    <x v="63"/>
    <s v="Y"/>
    <n v="1"/>
    <s v="Switch, Crankcase Pressure"/>
    <s v="Pump, Dredge*Dredge Pump Engine (EMD 645)*Crankcase/Oil Pan/Block*Switch, Crankcase Pressure"/>
    <n v="1"/>
    <s v="8362040"/>
    <s v="EMD (MSI)"/>
    <n v="1"/>
  </r>
  <r>
    <s v="0218"/>
    <x v="25"/>
    <n v="32400000078"/>
    <s v="Pump, Dredge*Dredge Pump Engine (EMD 645)*Crankcase/Oil Pan/Block*Manifold, Water*Gasket, Water Jumper"/>
    <x v="63"/>
    <s v="Y"/>
    <n v="2"/>
    <s v="Gasket, Water Jumper"/>
    <s v="Pump, Dredge*Dredge Pump Engine (EMD 645)*Crankcase/Oil Pan/Block*Manifold, Water*Gasket, Water Jumper"/>
    <n v="2"/>
    <s v="8142354"/>
    <s v="EMD"/>
    <n v="1"/>
  </r>
  <r>
    <s v="0218"/>
    <x v="25"/>
    <n v="35400001425"/>
    <s v="Pump, Dredge*Dredge Pump Engine (EMD 645)*Crankcase/Oil Pan/Block*Flywheel, Marine Hd (Boosters)*Magnetic Pickup"/>
    <x v="63"/>
    <s v="Y"/>
    <n v="1"/>
    <s v="Magnetic Pickup"/>
    <s v="Pump, Dredge*Dredge Pump Engine (EMD 645)*Crankcase/Oil Pan/Block*Flywheel, Marine Hd (Boosters)*Magnetic Pickup"/>
    <n v="4"/>
    <s v="8270383"/>
    <s v="EMD (MSI)"/>
    <n v="1"/>
  </r>
  <r>
    <s v="0218"/>
    <x v="25"/>
    <n v="45000003074"/>
    <s v="Pump, Dredge*Dredge Pump Engine (EMD 645)*Exhaust/Air Intake*Gasket Kit, Aftercooler"/>
    <x v="63"/>
    <s v="Y"/>
    <n v="1"/>
    <s v="Gasket Kit, Aftercooler"/>
    <s v="Pump, Dredge*Dredge Pump Engine (EMD 645)*Exhaust/Air Intake*Gasket Kit, Aftercooler"/>
    <n v="2"/>
    <s v="9580722"/>
    <s v="EMD (MSI)"/>
    <n v="1"/>
  </r>
  <r>
    <s v="0218"/>
    <x v="25"/>
    <n v="45000005106"/>
    <s v="Pump, Dredge*Dredge Pump Engine (EMD 645)*Cooling System*Switch, Engine Temperature"/>
    <x v="63"/>
    <s v="Y"/>
    <n v="1"/>
    <s v="Switch, Engine Temperature"/>
    <s v="Pump, Dredge*Dredge Pump Engine (EMD 645)*Cooling System*Switch, Engine Temperature"/>
    <n v="0"/>
    <s v="9544837"/>
    <s v="EMD (MSI)"/>
    <n v="1"/>
  </r>
  <r>
    <s v="0218"/>
    <x v="25"/>
    <n v="45000007922"/>
    <s v="Pump, Dredge*Dredge Pump Engine (EMD 645)*Crankcase/Oil Pan/Block*Manifold, Water*Sleeve, Water Manifold"/>
    <x v="63"/>
    <s v="Y"/>
    <n v="2"/>
    <s v="Sleeve, Water Manifold"/>
    <s v="Pump, Dredge*Dredge Pump Engine (EMD 645)*Crankcase/Oil Pan/Block*Manifold, Water*Sleeve, Water Manifold"/>
    <n v="2"/>
    <s v="8433263"/>
    <s v="EMD (MSI)"/>
    <n v="1"/>
  </r>
  <r>
    <s v="0218"/>
    <x v="25"/>
    <n v="45000009196"/>
    <s v="Electrical*Automation*PLC (Allen Bradley)*SLC 1747 - L552 Processor"/>
    <x v="61"/>
    <s v="Y"/>
    <n v="1"/>
    <s v="SLC 1747 - L552 Processor"/>
    <s v="Electrical*Automation*PLC (Allen Bradley)*SLC 1747 - L552 Processor"/>
    <n v="1"/>
    <s v="1747-L552"/>
    <s v="ALLEN-BRADLEY"/>
    <n v="1"/>
  </r>
  <r>
    <s v="0218"/>
    <x v="25"/>
    <n v="45000014049"/>
    <s v="Electrical*Automation*PLC (Allen Bradley)*SLC 1746 - NR8, 8 Point RTD Input Card"/>
    <x v="61"/>
    <s v="Y"/>
    <n v="1"/>
    <s v="SLC 1746 - NR8, 8 Point RTD Input Card"/>
    <s v="Electrical*Automation*PLC (Allen Bradley)*SLC 1746 - NR8, 8 Point RTD Input Card"/>
    <n v="1"/>
    <s v="1746-NR8"/>
    <s v="ALLEN-BRADLEY"/>
    <n v="1"/>
  </r>
  <r>
    <s v="0218"/>
    <x v="25"/>
    <n v="45000019171"/>
    <s v="Gland Seal*Seals, Cartridge (Goulds Pumps)*Seal, Cartridge (Mechanical Type) (LTX)"/>
    <x v="67"/>
    <s v="Y"/>
    <n v="1"/>
    <s v="Seal, Cartridge (Mechanical Type) (LTX)"/>
    <s v="Gland Seal*Seals, Cartridge (Goulds Pumps)*Seal, Cartridge (Mechanical Type) (LTX)"/>
    <n v="2"/>
    <s v="80299"/>
    <s v="SCHUR &amp; COMPANY INC."/>
    <n v="1"/>
  </r>
  <r>
    <s v="0218"/>
    <x v="25"/>
    <n v="45000022533"/>
    <s v="Rawwater*Rawwater Pump (#1)*Hose, Suction, 6&quot; X 19'"/>
    <x v="115"/>
    <s v="Y"/>
    <n v="1"/>
    <s v="Hose, Suction, 6&quot; X 19'"/>
    <s v="Rawwater*Rawwater Pump (#1)*Hose, Suction, 6&quot; X 19'"/>
    <n v="1"/>
    <s v="6&quot; X 19'"/>
    <s v="TRICO/KELLY"/>
    <n v="2"/>
  </r>
  <r>
    <s v="0218"/>
    <x v="25"/>
    <n v="45000027114"/>
    <s v="Generators*Main Genset (#1) (Remove)*Generator Engine (#1) (Cummins KTA 19G4)*Switch, Temperature"/>
    <x v="4"/>
    <s v="Y"/>
    <n v="1"/>
    <s v="Switch, Temperature"/>
    <s v="Generators*Main Genset (#1) (Remove)*Generator Engine (#1) (Cummins KTA 19G4)*Switch, Temperature"/>
    <n v="1"/>
    <s v="3408627"/>
    <s v="Cummins Diesel"/>
    <n v="1"/>
  </r>
  <r>
    <s v="0218"/>
    <x v="25"/>
    <n v="45000029112"/>
    <s v="Gland Seal*Gland Seal Pump (#1)*Gland Seal Pump Set (#1), Complete*Sleeve, Shaft"/>
    <x v="67"/>
    <s v="Y"/>
    <n v="1"/>
    <s v="Sleeve, Shaft"/>
    <s v="Gland Seal*Gland Seal Pump (#1)*Gland Seal Pump Set (#1), Complete*Sleeve, Shaft"/>
    <n v="1"/>
    <s v="92593-6956"/>
    <s v="Goulds"/>
    <n v="2"/>
  </r>
  <r>
    <s v="0218"/>
    <x v="25"/>
    <n v="45000031810"/>
    <s v="Electrical*Automation*PLC (Allen Bradley)*SLC 1746 - IN16I Analog Input Module"/>
    <x v="61"/>
    <s v="Y"/>
    <n v="1"/>
    <s v="SLC 1746 - IN16I Analog Input Module"/>
    <s v="Electrical*Automation*PLC (Allen Bradley)*SLC 1746 - IN16I Analog Input Module"/>
    <n v="1"/>
    <s v="1746-IN16"/>
    <s v="ALLEN-BRADLEY"/>
    <n v="1"/>
  </r>
  <r>
    <s v="0218"/>
    <x v="25"/>
    <n v="45000031811"/>
    <s v="Electrical*Automation*PLC (Allen Bradley)*SLC 1746 - NO4I, Analog Module"/>
    <x v="61"/>
    <s v="Y"/>
    <n v="1"/>
    <s v="SLC 1746 - NO4I, Analog Module"/>
    <s v="Electrical*Automation*PLC (Allen Bradley)*SLC 1746 - NO4I, Analog Module"/>
    <n v="1"/>
    <s v="1746-NO4I"/>
    <s v="ALLEN-BRADLEY"/>
    <n v="1"/>
  </r>
  <r>
    <s v="0218"/>
    <x v="25"/>
    <n v="45000031812"/>
    <s v="Electrical*Automation*PLC (Allen Bradley)*SLC 1746-IB16, 16 Pnt Dgtl Input Mod"/>
    <x v="61"/>
    <s v="Y"/>
    <n v="1"/>
    <s v="SLC 1746-IB16, 16 Pnt Dgtl Input Mod"/>
    <s v="Electrical*Automation*PLC (Allen Bradley)*SLC 1746-IB16, 16 Pnt Dgtl Input Mod"/>
    <n v="1"/>
    <s v="1746-IB16"/>
    <s v="ALLEN-BRADLEY"/>
    <n v="1"/>
  </r>
  <r>
    <s v="0218"/>
    <x v="25"/>
    <n v="45000031913"/>
    <s v="Electrical*Automation*PLC (Allen Bradley)*SLC 1746 - P2 - PS"/>
    <x v="61"/>
    <s v="Y"/>
    <n v="1"/>
    <s v="SLC 1746 - P2 - PS"/>
    <s v="Electrical*Automation*PLC (Allen Bradley)*SLC 1746 - P2 - PS"/>
    <n v="1"/>
    <s v="1746-P2"/>
    <s v="Allen-Bradley"/>
    <n v="1"/>
  </r>
  <r>
    <s v="0218"/>
    <x v="25"/>
    <n v="45000032316"/>
    <s v="Pump, Dredge*Dredge Pump Engine (EMD 645)*Starting System*Valve, Solenoid, Air Start"/>
    <x v="63"/>
    <s v="Y"/>
    <n v="1"/>
    <s v="Valve, Solenoid, Air Start"/>
    <s v="Pump, Dredge*Dredge Pump Engine (EMD 645)*Starting System*Valve, Solenoid, Air Start"/>
    <n v="1"/>
    <s v="9513135"/>
    <s v="EMD (MSI)"/>
    <n v="1"/>
  </r>
  <r>
    <s v="0218"/>
    <x v="25"/>
    <n v="45000032345"/>
    <s v="Compressed Air*Air Compressor (#2)*Motor, 15 Hp"/>
    <x v="79"/>
    <s v="Y"/>
    <n v="1"/>
    <s v="Motor, 15 Hp"/>
    <s v="Compressed Air*Air Compressor (#2)*Motor, 15 Hp"/>
    <n v="1"/>
    <m/>
    <m/>
    <n v="1"/>
  </r>
  <r>
    <s v="0218"/>
    <x v="25"/>
    <n v="45000032346"/>
    <s v="Compressed Air*Air Compressor (#2)*Air Tank/Receiver (120 Gallon)*Air Gauge (0-200 PSI)"/>
    <x v="79"/>
    <s v="Y"/>
    <n v="1"/>
    <s v="Air Gauge (0-200 PSI)"/>
    <s v="Compressed Air*Air Compressor (#2)*Air Tank/Receiver (120 Gallon)*Air Gauge (0-200 PSI)"/>
    <n v="1"/>
    <s v="3226"/>
    <s v="QUINCY"/>
    <n v="1"/>
  </r>
  <r>
    <s v="0218"/>
    <x v="25"/>
    <n v="45000032347"/>
    <s v="Compressed Air*Air Compressor (#2)*Air Tank/Receiver (120 Gallon)*Safety Relief Valve"/>
    <x v="79"/>
    <s v="Y"/>
    <n v="1"/>
    <s v="Safety Relief Valve"/>
    <s v="Compressed Air*Air Compressor (#2)*Air Tank/Receiver (120 Gallon)*Safety Relief Valve"/>
    <n v="1"/>
    <s v="3022-200"/>
    <s v="QUINCY"/>
    <n v="1"/>
  </r>
  <r>
    <s v="0218"/>
    <x v="25"/>
    <n v="54000000014"/>
    <s v="Pump, Dredge*Dredge Pump*Hardware &amp; Gaskets*O-Ring, Hub to Shell"/>
    <x v="63"/>
    <s v="Y"/>
    <n v="1"/>
    <s v="O-Ring, Hub to Shell"/>
    <s v="Pump, Dredge*Dredge Pump*Hardware &amp; Gaskets*O-Ring, Hub to Shell"/>
    <n v="2"/>
    <s v="7717P-42"/>
    <s v="GIW"/>
    <n v="1"/>
  </r>
  <r>
    <s v="0218"/>
    <x v="25"/>
    <n v="60400002437"/>
    <s v="Pump, Dredge*Dredge Pump Engine (EMD 645)*Crankcase/Oil Pan/Block*Cover Assembly, Handhole (Safety)"/>
    <x v="63"/>
    <s v="Y"/>
    <n v="1"/>
    <s v="Cover Assembly, Handhole (Safety)"/>
    <s v="Pump, Dredge*Dredge Pump Engine (EMD 645)*Crankcase/Oil Pan/Block*Cover Assembly, Handhole (Safety)"/>
    <n v="1"/>
    <s v="8499419"/>
    <s v="EMD (MSI)"/>
    <n v="1"/>
  </r>
  <r>
    <s v="0218"/>
    <x v="25"/>
    <n v="60400002899"/>
    <s v="Pump, Dredge*Dredge Pump Engine (EMD 645)*Engine Accessories*Hand Priming Pump"/>
    <x v="63"/>
    <s v="Y"/>
    <n v="1"/>
    <s v="Hand Priming Pump"/>
    <s v="Pump, Dredge*Dredge Pump Engine (EMD 645)*Engine Accessories*Hand Priming Pump"/>
    <n v="1"/>
    <s v="3317701"/>
    <s v="EMD"/>
    <n v="1"/>
  </r>
  <r>
    <s v="0218"/>
    <x v="25"/>
    <n v="60400003401"/>
    <s v="Pump, Dredge*Dredge Pump Engine (EMD 645)*Cylinder Power Assembly Parts*Ring, Head Seat (Viton)"/>
    <x v="63"/>
    <s v="Y"/>
    <n v="1"/>
    <s v="Ring, Head Seat (Viton)"/>
    <s v="Pump, Dredge*Dredge Pump Engine (EMD 645)*Cylinder Power Assembly Parts*Ring, Head Seat (Viton)"/>
    <n v="1"/>
    <s v="8419438"/>
    <s v="EMD"/>
    <n v="1"/>
  </r>
  <r>
    <s v="0218"/>
    <x v="25"/>
    <n v="62400001077"/>
    <s v="Electrical*Automation*Sensors*RTD, High-Temp, 4&quot;"/>
    <x v="61"/>
    <s v="Y"/>
    <n v="1"/>
    <s v="RTD, High-Temp, 4&quot;"/>
    <s v="Electrical*Automation*Sensors*RTD, High-Temp, 4&quot;"/>
    <n v="3"/>
    <s v="R1T185H483-004(1/2&quot;)-SL-8HN31"/>
    <s v="LESMAN INSTRUMENT CO."/>
    <n v="1"/>
  </r>
  <r>
    <s v="0218"/>
    <x v="25"/>
    <n v="62400002141"/>
    <s v="Piping (Dredge)*Hardware &amp; Gaskets (30&quot;)*Gasket, Drop In 3/8&quot; X 35&quot; OD"/>
    <x v="80"/>
    <s v="Y"/>
    <n v="1"/>
    <s v="Gasket, Drop In 3/8&quot; X 35&quot; OD"/>
    <s v="Piping (Dredge)*Hardware &amp; Gaskets (30&quot;)*Gasket, Drop In 3/8&quot; X 35&quot; OD"/>
    <n v="1"/>
    <s v="PGD31-0372"/>
    <s v="TOWNLEY"/>
    <n v="1"/>
  </r>
  <r>
    <s v="0218"/>
    <x v="25"/>
    <n v="62400003833"/>
    <s v="Pump, Dredge*Dredge Pump Engine (EMD 645)*Governor (UG Accuator)*Governor (Ug Accuator)*Plug, 3 Contacts"/>
    <x v="63"/>
    <s v="Y"/>
    <n v="1"/>
    <s v="Plug, 3 Contacts"/>
    <s v="Pump, Dredge*Dredge Pump Engine (EMD 645)*Governor (UG Accuator)*Governor (Ug Accuator)*Plug, 3 Contacts"/>
    <n v="1"/>
    <s v="203911"/>
    <s v="EMD (MSI)"/>
    <n v="1"/>
  </r>
  <r>
    <s v="0218"/>
    <x v="25"/>
    <n v="62400003855"/>
    <s v="Gland Seal*Gland Seal Pump (#1)*Gland Seal Pump Set (#1), Complete*O-Ring, Impeller"/>
    <x v="67"/>
    <s v="Y"/>
    <n v="1"/>
    <s v="O-Ring, Impeller"/>
    <s v="Gland Seal*Gland Seal Pump (#1)*Gland Seal Pump Set (#1), Complete*O-Ring, Impeller"/>
    <n v="1"/>
    <s v="Item "/>
    <s v="Goulds"/>
    <n v="2"/>
  </r>
  <r>
    <s v="0218"/>
    <x v="25"/>
    <n v="62400004463"/>
    <s v="Pump, Dredge*Dredge Pump Engine (EMD 645)*UNDER REVIEW*mrg-?Bridge, Exhaust Vlv, Utex"/>
    <x v="63"/>
    <s v="Y"/>
    <n v="1"/>
    <s v="mrg-?Bridge, Exhaust Vlv, Utex"/>
    <s v="Pump, Dredge*Dredge Pump Engine (EMD 645)*UNDER REVIEW*mrg-?Bridge, Exhaust Vlv, Utex"/>
    <n v="2"/>
    <s v="2-40145929 UX"/>
    <s v="EMD"/>
    <n v="1"/>
  </r>
  <r>
    <s v="0218"/>
    <x v="25"/>
    <n v="62400004492"/>
    <s v="Pump, Dredge*Dredge Pump*Hardware &amp; Gaskets*O-Ring, Throat Liner"/>
    <x v="63"/>
    <s v="Y"/>
    <n v="1"/>
    <s v="O-Ring, Throat Liner"/>
    <s v="Pump, Dredge*Dredge Pump*Hardware &amp; Gaskets*O-Ring, Throat Liner"/>
    <n v="3"/>
    <s v="7720P-08"/>
    <s v="MPMW Dwg "/>
    <n v="1"/>
  </r>
  <r>
    <s v="0218"/>
    <x v="25"/>
    <n v="62400008882"/>
    <s v="Mooring/Anchor Handling*Anchor/Spud Winch (Port)*Rotorseal"/>
    <x v="106"/>
    <s v="Y"/>
    <n v="1"/>
    <s v="Rotorseal"/>
    <s v="Mooring/Anchor Handling*Anchor/Spud Winch (Port)*Rotorseal"/>
    <n v="1"/>
    <s v="145106BQ"/>
    <s v="Eaton"/>
    <n v="2"/>
  </r>
  <r>
    <s v="0218"/>
    <x v="25"/>
    <n v="63600000101"/>
    <s v="Electrical*Automation*Speed Control*Control Module, Auto Start"/>
    <x v="61"/>
    <s v="Y"/>
    <n v="1"/>
    <s v="Control Module, Auto Start"/>
    <s v="Electrical*Automation*Speed Control*Control Module, Auto Start"/>
    <n v="3"/>
    <s v="7310-005-32 MKII"/>
    <s v="Deep Sea Electronics"/>
    <n v="1"/>
  </r>
  <r>
    <s v="0218"/>
    <x v="25"/>
    <n v="63600000286"/>
    <s v="Pump, Dredge*Dredge Pump Engine (EMD 645)*Water Pumps (WP1-WP2)*Water Pump, Right Bank (L20-645 Turbo) U"/>
    <x v="63"/>
    <s v="Y"/>
    <n v="1"/>
    <s v="Water Pump, Right Bank (L20-645 Turbo) U"/>
    <s v="Pump, Dredge*Dredge Pump Engine (EMD 645)*Water Pumps (WP1-WP2)*Water Pump, Right Bank (L20-645 Turbo) U"/>
    <n v="0"/>
    <s v="40179631UX"/>
    <s v="EMD"/>
    <n v="1"/>
  </r>
  <r>
    <s v="0218"/>
    <x v="25"/>
    <n v="63600000287"/>
    <s v="Pump, Dredge*Dredge Pump Engine (EMD 645)*Water Pumps (WP1-WP2)*Water Pump, Left Bank (L20-645 Turbo)U"/>
    <x v="63"/>
    <s v="Y"/>
    <n v="1"/>
    <s v="Water Pump, Left Bank (L20-645 Turbo)U"/>
    <s v="Pump, Dredge*Dredge Pump Engine (EMD 645)*Water Pumps (WP1-WP2)*Water Pump, Left Bank (L20-645 Turbo)U"/>
    <n v="0"/>
    <s v="40179630UX"/>
    <s v="EMD"/>
    <n v="1"/>
  </r>
  <r>
    <s v="0218"/>
    <x v="25"/>
    <n v="66200005174"/>
    <s v="Generators*Main Genset (# 2)*Generator Engine (#2) (Cummins KTA19G2)*Control, Governor"/>
    <x v="4"/>
    <s v="Y"/>
    <n v="1"/>
    <s v="Control, Governor"/>
    <s v="Generators*Main Genset (# 2)*Generator Engine (#2) (Cummins KTA19G2)*Control, Governor"/>
    <n v="2"/>
    <s v="3044196"/>
    <s v="Cummins"/>
    <n v="1"/>
  </r>
  <r>
    <s v="0218"/>
    <x v="25"/>
    <n v="66200005277"/>
    <s v="Generators*Main Genset (# 2)*Generator Engine (#2) (Cummins KTA19G2)*Oil Sending Unit"/>
    <x v="4"/>
    <s v="Y"/>
    <n v="1"/>
    <s v="Oil Sending Unit"/>
    <s v="Generators*Main Genset (# 2)*Generator Engine (#2) (Cummins KTA19G2)*Oil Sending Unit"/>
    <n v="1"/>
    <s v="701-2375"/>
    <s v="VDO"/>
    <n v="1"/>
  </r>
  <r>
    <s v="0218"/>
    <x v="25"/>
    <n v="66200005635"/>
    <s v="Generators*Meg Alert*Meter, Megalert"/>
    <x v="4"/>
    <s v="Y"/>
    <n v="1"/>
    <s v="Meter, Megalert"/>
    <s v="Generators*Meg Alert*Meter, Megalert"/>
    <n v="2"/>
    <s v="GP 700"/>
    <s v="MEG ALERT"/>
    <n v="1"/>
  </r>
  <r>
    <s v="0218"/>
    <x v="25"/>
    <n v="66200005883"/>
    <s v="Pump, Dredge*Dredge Pump Gearbox*Lube Oil Pump*Lube Oil Pump"/>
    <x v="63"/>
    <s v="Y"/>
    <n v="1"/>
    <s v="Lube Oil Pump"/>
    <s v="Pump, Dredge*Dredge Pump Gearbox*Lube Oil Pump*Lube Oil Pump"/>
    <n v="1"/>
    <s v="5C2F-C-7"/>
    <s v="TUTHILL"/>
    <n v="1"/>
  </r>
  <r>
    <s v="0218"/>
    <x v="25"/>
    <n v="66200005884"/>
    <s v="Pump, Dredge*Dredge Pump Gearbox*Lube Oil Pump*Lube Oil Pump Motor*Lube Oil Pump Motor"/>
    <x v="63"/>
    <s v="Y"/>
    <n v="1"/>
    <s v="Lube Oil Pump Motor"/>
    <s v="Pump, Dredge*Dredge Pump Gearbox*Lube Oil Pump*Lube Oil Pump Motor*Lube Oil Pump Motor"/>
    <n v="0"/>
    <m/>
    <m/>
    <n v="1"/>
  </r>
  <r>
    <s v="0218"/>
    <x v="25"/>
    <n v="66200006743"/>
    <s v="Mooring/Anchor Handling*Anchor/Spud Winch (Port)*Engine, Anchor Winch (Port)*Starter"/>
    <x v="106"/>
    <s v="Y"/>
    <n v="1"/>
    <s v="Starter"/>
    <s v="Mooring/Anchor Handling*Anchor/Spud Winch (Port)*Engine, Anchor Winch (Port)*Starter"/>
    <n v="1"/>
    <s v="01183677"/>
    <s v="DEUTZ"/>
    <n v="2"/>
  </r>
  <r>
    <s v="0219"/>
    <x v="26"/>
    <n v="8556"/>
    <s v="Pump, Dredge*Dredge Pump*Stuffing Box (D/P)*Impeller Release Ring Kit (11.5&quot; Hub)"/>
    <x v="63"/>
    <s v="Y"/>
    <n v="1"/>
    <s v="Impeller Release Ring Kit (11.5&quot; Hub)"/>
    <s v="Pump, Dredge*Dredge Pump*Stuffing Box (D/P)*Impeller Release Ring Kit (11.5&quot; Hub)"/>
    <n v="2"/>
    <s v="0919X (11.5&quot; Hub)"/>
    <s v="GIW"/>
    <n v="1"/>
  </r>
  <r>
    <s v="0219"/>
    <x v="26"/>
    <n v="11500002899"/>
    <s v="Pump, Dredge*Dredge Pump*Pumpshell (HP) (TBC-84)"/>
    <x v="63"/>
    <s v="Y"/>
    <n v="1"/>
    <s v="Pumpshell (HP) (TBC-84)"/>
    <s v="Pump, Dredge*Dredge Pump*Pumpshell (HP) (TBC-84)"/>
    <n v="0"/>
    <s v="6392C"/>
    <s v="GIW"/>
    <n v="1"/>
  </r>
  <r>
    <s v="0219"/>
    <x v="26"/>
    <n v="14500002333"/>
    <s v="Pump, Dredge*Dredge Pump*Stuffing Box (D/P)*Stuffing Box, Complete (11.5&quot;)"/>
    <x v="63"/>
    <s v="Y"/>
    <n v="1"/>
    <s v="Stuffing Box, Complete (11.5&quot;)"/>
    <s v="Pump, Dredge*Dredge Pump*Stuffing Box (D/P)*Stuffing Box, Complete (11.5&quot;)"/>
    <n v="2"/>
    <s v="6560C-00-0P40C"/>
    <s v="GIW"/>
    <n v="1"/>
  </r>
  <r>
    <s v="0219"/>
    <x v="26"/>
    <n v="14500002735"/>
    <s v="Pump, Dredge*Dredge Pump*Stuffing Box (D/P)*Packing Gland"/>
    <x v="63"/>
    <s v="Y"/>
    <n v="1"/>
    <s v="Packing Gland"/>
    <s v="Pump, Dredge*Dredge Pump*Stuffing Box (D/P)*Packing Gland"/>
    <n v="3"/>
    <s v="0865C-04"/>
    <s v="GIW"/>
    <n v="1"/>
  </r>
  <r>
    <s v="0219"/>
    <x v="26"/>
    <n v="23500000062"/>
    <s v="Pump, Dredge*Dredge Pump*Stuffing Box (D/P)*Sleeve, Shaft, D/P 11.5&quot;"/>
    <x v="63"/>
    <s v="Y"/>
    <n v="1"/>
    <s v="Sleeve, Shaft, D/P 11.5&quot;"/>
    <s v="Pump, Dredge*Dredge Pump*Stuffing Box (D/P)*Sleeve, Shaft, D/P 11.5&quot;"/>
    <n v="2"/>
    <s v="8213D"/>
    <s v="GIW"/>
    <n v="1"/>
  </r>
  <r>
    <s v="0219"/>
    <x v="26"/>
    <n v="45000014063"/>
    <s v="Pump, Dredge*Dredge Pump*Stuffing Box (D/P)*Wear Plate Assembly"/>
    <x v="63"/>
    <s v="Y"/>
    <n v="1"/>
    <s v="Wear Plate Assembly"/>
    <s v="Pump, Dredge*Dredge Pump*Stuffing Box (D/P)*Wear Plate Assembly"/>
    <n v="0"/>
    <s v="0390A"/>
    <s v="GIW"/>
    <n v="1"/>
  </r>
  <r>
    <s v="0229"/>
    <x v="27"/>
    <n v="49731"/>
    <s v="Drill Equipment*Drill Frame (A)*Hoist Winch, Drill*DRILL HOIST WINCH"/>
    <x v="116"/>
    <s v="Y"/>
    <n v="1"/>
    <s v="DRILL HOIST WINCH"/>
    <s v="Drill Equipment*Drill Frame (A)*Hoist Winch, Drill*DRILL HOIST WINCH"/>
    <n v="0"/>
    <s v="GA-C50-1-H"/>
    <s v="TIMBERLAND EQUIPMENT LIMITED"/>
    <n v="3"/>
  </r>
  <r>
    <s v="0302"/>
    <x v="28"/>
    <n v="62400001547"/>
    <s v="Propulsion*Gearbox (Port)*Fuel Pump*Fuel Pump (Complete Assembly)"/>
    <x v="101"/>
    <s v="Y"/>
    <n v="1"/>
    <s v="Fuel Pump (Complete Assembly)"/>
    <s v="Propulsion*Gearbox (Port)*Fuel Pump*Fuel Pump (Complete Assembly)"/>
    <n v="0"/>
    <s v="L3NG 45/70"/>
    <s v="Leistritz"/>
    <n v="1"/>
  </r>
  <r>
    <s v="0302"/>
    <x v="28"/>
    <n v="62400005778"/>
    <s v="Propulsion*Shafting (Port)*Intermediate Shaft (P)*Intermediate Shaft Bearing*Resistance Thermometer, PT-100"/>
    <x v="101"/>
    <s v="Y"/>
    <n v="1"/>
    <s v="Resistance Thermometer, PT-100"/>
    <s v="Propulsion*Shafting (Port)*Intermediate Shaft (P)*Intermediate Shaft Bearing*Resistance Thermometer, PT-100"/>
    <n v="2"/>
    <s v="1205203"/>
    <s v="Schottel"/>
    <n v="2"/>
  </r>
  <r>
    <s v="0302"/>
    <x v="28"/>
    <n v="62400005811"/>
    <s v="Propulsion*Shafting (Port)*Intermediate Shaft (P)*Intermediate Shaft Coupling (Aft)*Shaft Coupling"/>
    <x v="101"/>
    <s v="Y"/>
    <n v="1"/>
    <s v="Shaft Coupling"/>
    <s v="Propulsion*Shafting (Port)*Intermediate Shaft (P)*Intermediate Shaft Coupling (Aft)*Shaft Coupling"/>
    <n v="0"/>
    <s v="1207567"/>
    <s v="Schottel"/>
    <n v="2"/>
  </r>
  <r>
    <s v="0302"/>
    <x v="28"/>
    <n v="62400005812"/>
    <s v="Propulsion*Shafting (Port)*Intermediate Shaft (P)*Intermediate Shaft Coupling (Forward)*Shaft Coupling"/>
    <x v="101"/>
    <s v="Y"/>
    <n v="1"/>
    <s v="Shaft Coupling"/>
    <s v="Propulsion*Shafting (Port)*Intermediate Shaft (P)*Intermediate Shaft Coupling (Forward)*Shaft Coupling"/>
    <n v="0"/>
    <s v="1196557"/>
    <s v="Schottel"/>
    <n v="2"/>
  </r>
  <r>
    <s v="0302"/>
    <x v="28"/>
    <n v="62400007039"/>
    <s v="Propulsion*Main Engine (Port) (MAK 12M32C)*B1.05.01-Engine, Cylinder Head"/>
    <x v="101"/>
    <s v="Y"/>
    <n v="1"/>
    <s v="B1.05.01-Engine, Cylinder Head"/>
    <s v="Propulsion*Main Engine (Port) (MAK 12M32C)*B1.05.01-Engine, Cylinder Head"/>
    <n v="0"/>
    <m/>
    <m/>
    <n v="2"/>
  </r>
  <r>
    <s v="0302"/>
    <x v="28"/>
    <n v="62400007040"/>
    <s v="Propulsion*Main Engine (Port) (MAK 12M32C)*B1.05.01-Engine, Cylinder Head*Cylinder Head Assembly"/>
    <x v="101"/>
    <s v="Y"/>
    <n v="4"/>
    <s v="Cylinder Head Assembly"/>
    <s v="Propulsion*Main Engine (Port) (MAK 12M32C)*B1.05.01-Engine, Cylinder Head*Cylinder Head Assembly"/>
    <n v="1"/>
    <s v="9.2107 WW"/>
    <s v="Caterpillar"/>
    <n v="2"/>
  </r>
  <r>
    <s v="0302"/>
    <x v="28"/>
    <n v="62400007142"/>
    <s v="Propulsion*Main Engine (Port) (MAK 12M32C)*B1.05.03-Engine, Housing*Cylinder Liner"/>
    <x v="101"/>
    <s v="Y"/>
    <n v="1"/>
    <s v="Cylinder Liner"/>
    <s v="Propulsion*Main Engine (Port) (MAK 12M32C)*B1.05.03-Engine, Housing*Cylinder Liner"/>
    <n v="1"/>
    <s v="9.1110-007"/>
    <s v="Caterpillar"/>
    <n v="2"/>
  </r>
  <r>
    <s v="0302"/>
    <x v="28"/>
    <n v="62400007155"/>
    <s v="Propulsion*Main Engine (Port) (MAK 12M32C)*B1.05.04-Engine, Control*Adjusting Unit-Bank A (FCT)"/>
    <x v="101"/>
    <s v="Y"/>
    <n v="1"/>
    <s v="Adjusting Unit-Bank A (FCT)"/>
    <s v="Propulsion*Main Engine (Port) (MAK 12M32C)*B1.05.04-Engine, Control*Adjusting Unit-Bank A (FCT)"/>
    <n v="0"/>
    <s v="B1.05.04.9.4480 GG"/>
    <s v="Caterpillar"/>
    <n v="2"/>
  </r>
  <r>
    <s v="0302"/>
    <x v="28"/>
    <n v="62400007178"/>
    <s v="Propulsion*Main Engine (Port) (MAK 12M32C)*B1.05.07-Engine, Fuel System*Fuel Injector Assembly"/>
    <x v="101"/>
    <s v="Y"/>
    <n v="12"/>
    <s v="Fuel Injector Assembly"/>
    <s v="Propulsion*Main Engine (Port) (MAK 12M32C)*B1.05.07-Engine, Fuel System*Fuel Injector Assembly"/>
    <n v="25"/>
    <s v="9.2260 AA"/>
    <s v="Caterpillar"/>
    <n v="2"/>
  </r>
  <r>
    <s v="0302"/>
    <x v="28"/>
    <n v="62400007180"/>
    <s v="Propulsion*Main Engine (Port) (MAK 12M32C)*B1.05.07-Engine, Fuel System*Fuel Injection Pump Assembly"/>
    <x v="101"/>
    <s v="Y"/>
    <n v="6"/>
    <s v="Fuel Injection Pump Assembly"/>
    <s v="Propulsion*Main Engine (Port) (MAK 12M32C)*B1.05.07-Engine, Fuel System*Fuel Injection Pump Assembly"/>
    <n v="13"/>
    <s v="9.3597 EE"/>
    <s v="Caterpillar"/>
    <n v="2"/>
  </r>
  <r>
    <s v="0302"/>
    <x v="28"/>
    <n v="62400007184"/>
    <s v="Propulsion*Main Engine (Port) (MAK 12M32C)*B1.05.07-Engine, Fuel System*Fuel Injector Delivery Pipe"/>
    <x v="101"/>
    <s v="Y"/>
    <n v="1"/>
    <s v="Fuel Injector Delivery Pipe"/>
    <s v="Propulsion*Main Engine (Port) (MAK 12M32C)*B1.05.07-Engine, Fuel System*Fuel Injector Delivery Pipe"/>
    <n v="3"/>
    <s v="9.8525 BB"/>
    <s v="Caterpillar"/>
    <n v="2"/>
  </r>
  <r>
    <s v="0302"/>
    <x v="28"/>
    <n v="62400007225"/>
    <s v="Propulsion*Main Engine (Port) (MAK 12M32C)*B1.05.11-Engine, Control Equipment*Pressure Switch"/>
    <x v="101"/>
    <s v="Y"/>
    <n v="1"/>
    <s v="Pressure Switch"/>
    <s v="Propulsion*Main Engine (Port) (MAK 12M32C)*B1.05.11-Engine, Control Equipment*Pressure Switch"/>
    <n v="0"/>
    <m/>
    <m/>
    <n v="2"/>
  </r>
  <r>
    <s v="0302"/>
    <x v="28"/>
    <n v="62400007241"/>
    <s v="Propulsion*Main Engine (Port) (MAK 12M32C)*B1.05.01-Engine, Cylinder Head*Valve Rotator Assembly"/>
    <x v="101"/>
    <s v="Y"/>
    <n v="3"/>
    <s v="Valve Rotator Assembly"/>
    <s v="Propulsion*Main Engine (Port) (MAK 12M32C)*B1.05.01-Engine, Cylinder Head*Valve Rotator Assembly"/>
    <n v="6"/>
    <s v="9.2225 BB"/>
    <s v="Caterpillar"/>
    <n v="2"/>
  </r>
  <r>
    <s v="0302"/>
    <x v="28"/>
    <n v="62400007769"/>
    <s v="Tug-Barge Connection System*Hydraulic Unit (Port)*Pump, Main Hydraulic*Pump Assembly w/Motor"/>
    <x v="117"/>
    <s v="Y"/>
    <n v="1"/>
    <s v="Pump Assembly w/Motor"/>
    <s v="Tug-Barge Connection System*Hydraulic Unit (Port)*Pump, Main Hydraulic*Pump Assembly w/Motor"/>
    <n v="0"/>
    <s v="QT43-25-QF4"/>
    <s v="Sumitomo"/>
    <n v="2"/>
  </r>
  <r>
    <s v="0302"/>
    <x v="28"/>
    <n v="66200000452"/>
    <s v="Tug-Barge Connection System*Hydraulic Unit (Port)*Pump, Main Hydraulic*Hydraulic Pump"/>
    <x v="117"/>
    <s v="Y"/>
    <n v="1"/>
    <s v="Hydraulic Pump"/>
    <s v="Tug-Barge Connection System*Hydraulic Unit (Port)*Pump, Main Hydraulic*Hydraulic Pump"/>
    <n v="0"/>
    <s v="QT43-25-QF4"/>
    <s v="Sumitomo"/>
    <n v="2"/>
  </r>
  <r>
    <s v="0302"/>
    <x v="28"/>
    <n v="66200000453"/>
    <s v="Tug-Barge Connection System*Hydraulic Unit (Port)*Pump, Main Hydraulic*Motor"/>
    <x v="117"/>
    <s v="Y"/>
    <n v="1"/>
    <s v="Motor"/>
    <s v="Tug-Barge Connection System*Hydraulic Unit (Port)*Pump, Main Hydraulic*Motor"/>
    <n v="0"/>
    <s v="11KW-480V-60H-4P"/>
    <s v="Tatung"/>
    <n v="2"/>
  </r>
  <r>
    <s v="0302"/>
    <x v="28"/>
    <n v="66200000454"/>
    <s v="Tug-Barge Connection System*Hydraulic Unit (Port)*Pump, Main Hydraulic*Coupling"/>
    <x v="117"/>
    <s v="Y"/>
    <n v="1"/>
    <s v="Coupling"/>
    <s v="Tug-Barge Connection System*Hydraulic Unit (Port)*Pump, Main Hydraulic*Coupling"/>
    <n v="0"/>
    <s v="CR-5018"/>
    <s v="Tubakimoto"/>
    <n v="2"/>
  </r>
  <r>
    <s v="0302"/>
    <x v="28"/>
    <n v="66200000455"/>
    <s v="Tug-Barge Connection System*Hydraulic Unit (Port)*Pump, Sub Hydraulic*Coupling"/>
    <x v="117"/>
    <s v="Y"/>
    <n v="1"/>
    <s v="Coupling"/>
    <s v="Tug-Barge Connection System*Hydraulic Unit (Port)*Pump, Sub Hydraulic*Coupling"/>
    <n v="0"/>
    <s v="CR-5016"/>
    <s v="Tubakimoto"/>
    <n v="2"/>
  </r>
  <r>
    <s v="0302"/>
    <x v="28"/>
    <n v="66200000456"/>
    <s v="Tug-Barge Connection System*Hydraulic Unit (Port)*Pump, Sub Hydraulic*Hydraulic Pump"/>
    <x v="117"/>
    <s v="Y"/>
    <n v="1"/>
    <s v="Hydraulic Pump"/>
    <s v="Tug-Barge Connection System*Hydraulic Unit (Port)*Pump, Sub Hydraulic*Hydraulic Pump"/>
    <n v="0"/>
    <s v="QT33-12.5-QF3"/>
    <s v="Sumitomo"/>
    <n v="2"/>
  </r>
  <r>
    <s v="0302"/>
    <x v="28"/>
    <n v="66200000457"/>
    <s v="Tug-Barge Connection System*Hydraulic Unit (Port)*Pump, Sub Hydraulic*Motor"/>
    <x v="117"/>
    <s v="Y"/>
    <n v="1"/>
    <s v="Motor"/>
    <s v="Tug-Barge Connection System*Hydraulic Unit (Port)*Pump, Sub Hydraulic*Motor"/>
    <n v="0"/>
    <s v="5.5KW-480V-60H-4P"/>
    <s v="Tatung"/>
    <n v="2"/>
  </r>
  <r>
    <s v="0302"/>
    <x v="28"/>
    <n v="66200003183"/>
    <s v="Propulsion*Gearbox (Port)*Clutch Control*Valve, Directing Acting Relief"/>
    <x v="101"/>
    <s v="Y"/>
    <n v="1"/>
    <s v="Valve, Directing Acting Relief"/>
    <s v="Propulsion*Gearbox (Port)*Clutch Control*Valve, Directing Acting Relief"/>
    <n v="0"/>
    <m/>
    <m/>
    <n v="2"/>
  </r>
  <r>
    <s v="0302"/>
    <x v="28"/>
    <n v="66200003185"/>
    <s v="Propulsion*Gearbox (Port)*Clutch Control*Valve, Directional Control"/>
    <x v="101"/>
    <s v="Y"/>
    <n v="1"/>
    <s v="Valve, Directional Control"/>
    <s v="Propulsion*Gearbox (Port)*Clutch Control*Valve, Directional Control"/>
    <n v="2"/>
    <m/>
    <m/>
    <n v="2"/>
  </r>
  <r>
    <s v="0302"/>
    <x v="28"/>
    <n v="66200003189"/>
    <s v="Propulsion*Gearbox (Port)*Clutch Control*Valve, Directional Control"/>
    <x v="101"/>
    <s v="Y"/>
    <n v="1"/>
    <s v="Valve, Directional Control"/>
    <s v="Propulsion*Gearbox (Port)*Clutch Control*Valve, Directional Control"/>
    <n v="1"/>
    <m/>
    <m/>
    <n v="2"/>
  </r>
  <r>
    <s v="0302"/>
    <x v="28"/>
    <n v="66200003999"/>
    <s v="Steering*Ram Type Steering Gear*Steering Gear (P)*Hydraulic Cylinder (Port Fwd)*Cylinder, Hydraulic (Steering)"/>
    <x v="103"/>
    <s v="Y"/>
    <n v="1"/>
    <s v="Cylinder, Hydraulic (Steering)"/>
    <s v="Steering*Ram Type Steering Gear*Steering Gear (P)*Hydraulic Cylinder (Port Fwd)*Cylinder, Hydraulic (Steering)"/>
    <n v="1"/>
    <s v="VDV1301"/>
    <s v="Bouwman Hydrauliek BV"/>
    <n v="4"/>
  </r>
  <r>
    <s v="0302"/>
    <x v="28"/>
    <n v="66200004312"/>
    <s v="Generators*Auxiliary Generator (C32) (AG1)*Auxiliary Generator Engine (C32)*Fuel System*Injector GP - Fuel*Seal - O - Ring"/>
    <x v="4"/>
    <s v="Y"/>
    <n v="2"/>
    <s v="Seal - O - Ring"/>
    <s v="Generators*Auxiliary Generator (C32) (AG1)*Auxiliary Generator Engine (C32)*Fuel System*Injector GP - Fuel*Seal - O - Ring"/>
    <n v="0"/>
    <s v="230-3728"/>
    <s v="Caterpillar"/>
    <n v="1"/>
  </r>
  <r>
    <s v="0302"/>
    <x v="28"/>
    <n v="66200004313"/>
    <s v="Generators*Auxiliary Generator (C32) (AG1)*Auxiliary Generator Engine (C32)*Fuel System*Injector GP - Fuel*Seal - O - Ring"/>
    <x v="4"/>
    <s v="Y"/>
    <n v="2"/>
    <s v="Seal - O - Ring"/>
    <s v="Generators*Auxiliary Generator (C32) (AG1)*Auxiliary Generator Engine (C32)*Fuel System*Injector GP - Fuel*Seal - O - Ring"/>
    <n v="0"/>
    <s v="230-3775"/>
    <s v="Caterpillar"/>
    <n v="1"/>
  </r>
  <r>
    <s v="0302"/>
    <x v="28"/>
    <n v="66200004314"/>
    <s v="Generators*Auxiliary Generator (C32) (AG1)*Auxiliary Generator Engine (C32)*Fuel System*Injector GP - Fuel*Seal - O - Ring"/>
    <x v="4"/>
    <s v="Y"/>
    <n v="2"/>
    <s v="Seal - O - Ring"/>
    <s v="Generators*Auxiliary Generator (C32) (AG1)*Auxiliary Generator Engine (C32)*Fuel System*Injector GP - Fuel*Seal - O - Ring"/>
    <n v="0"/>
    <s v="9X-7317"/>
    <s v="Caterpillar"/>
    <n v="1"/>
  </r>
  <r>
    <s v="0302"/>
    <x v="28"/>
    <n v="66200004317"/>
    <s v="Generators*Auxiliary Generator (C32) (AG1)*Auxiliary Generator Engine (C32)*Fuel System*Base GP - Fuel Filter*Gasket (Fuel Priming Pump)"/>
    <x v="4"/>
    <s v="Y"/>
    <n v="1"/>
    <s v="Gasket (Fuel Priming Pump)"/>
    <s v="Generators*Auxiliary Generator (C32) (AG1)*Auxiliary Generator Engine (C32)*Fuel System*Base GP - Fuel Filter*Gasket (Fuel Priming Pump)"/>
    <n v="0"/>
    <s v="1P-0436"/>
    <s v="Caterpillar"/>
    <n v="1"/>
  </r>
  <r>
    <s v="0302"/>
    <x v="28"/>
    <n v="66200004389"/>
    <s v="Generators*Auxiliary Generator (C32) (AG1)*Auxiliary Generator Engine (C32)*Electrical and Starting System*Sensor GP - Engine 380-1089*Sensor -GP - Pressure (Coolant)"/>
    <x v="4"/>
    <s v="Y"/>
    <n v="1"/>
    <s v="Sensor -GP - Pressure (Coolant)"/>
    <s v="Generators*Auxiliary Generator (C32) (AG1)*Auxiliary Generator Engine (C32)*Electrical and Starting System*Sensor GP - Engine 380-1089*Sensor -GP - Pressure (Coolant)"/>
    <n v="0"/>
    <s v="183-4760"/>
    <s v="Caterpillar"/>
    <n v="1"/>
  </r>
  <r>
    <s v="0302"/>
    <x v="28"/>
    <n v="66200004390"/>
    <s v="Generators*Auxiliary Generator (C32) (AG1)*Auxiliary Generator Engine (C32)*Electrical and Starting System*Sensor GP - Engine 380-1089*Sensor -GP - Liquid Level (After Cooler)"/>
    <x v="4"/>
    <s v="Y"/>
    <n v="1"/>
    <s v="Sensor -GP - Liquid Level (After Cooler)"/>
    <s v="Generators*Auxiliary Generator (C32) (AG1)*Auxiliary Generator Engine (C32)*Electrical and Starting System*Sensor GP - Engine 380-1089*Sensor -GP - Liquid Level (After Cooler)"/>
    <n v="0"/>
    <s v="204-2518"/>
    <s v="Caterpillar"/>
    <n v="1"/>
  </r>
  <r>
    <s v="0302"/>
    <x v="28"/>
    <n v="66200004391"/>
    <s v="Generators*Auxiliary Generator (C32) (AG1)*Auxiliary Generator Engine (C32)*Electrical and Starting System*Sensor GP - Engine 380-1089*Switch, Pressure (Low Oil Pressure, SD)"/>
    <x v="4"/>
    <s v="Y"/>
    <n v="1"/>
    <s v="Switch, Pressure (Low Oil Pressure, SD)"/>
    <s v="Generators*Auxiliary Generator (C32) (AG1)*Auxiliary Generator Engine (C32)*Electrical and Starting System*Sensor GP - Engine 380-1089*Switch, Pressure (Low Oil Pressure, SD)"/>
    <n v="0"/>
    <s v="264-1419"/>
    <s v="Caterpillar"/>
    <n v="1"/>
  </r>
  <r>
    <s v="0302"/>
    <x v="28"/>
    <n v="66200004392"/>
    <s v="Generators*Auxiliary Generator (C32) (AG1)*Auxiliary Generator Engine (C32)*Electrical and Starting System*Sensor GP - Engine 380-1089*Sensor -GP - Pressure (Differential Oil)"/>
    <x v="4"/>
    <s v="Y"/>
    <n v="1"/>
    <s v="Sensor -GP - Pressure (Differential Oil)"/>
    <s v="Generators*Auxiliary Generator (C32) (AG1)*Auxiliary Generator Engine (C32)*Electrical and Starting System*Sensor GP - Engine 380-1089*Sensor -GP - Pressure (Differential Oil)"/>
    <n v="0"/>
    <s v="274-6719"/>
    <s v="Caterpillar"/>
    <n v="1"/>
  </r>
  <r>
    <s v="0302"/>
    <x v="28"/>
    <n v="66200004393"/>
    <s v="Generators*Auxiliary Generator (C32) (AG1)*Auxiliary Generator Engine (C32)*Electrical and Starting System*Sensor GP - Engine 380-1089*Sensor - Temperature (Jacket Water Cool)"/>
    <x v="4"/>
    <s v="Y"/>
    <n v="1"/>
    <s v="Sensor - Temperature (Jacket Water Cool)"/>
    <s v="Generators*Auxiliary Generator (C32) (AG1)*Auxiliary Generator Engine (C32)*Electrical and Starting System*Sensor GP - Engine 380-1089*Sensor - Temperature (Jacket Water Cool)"/>
    <n v="0"/>
    <s v="288-3783"/>
    <s v="Caterpillar"/>
    <n v="1"/>
  </r>
  <r>
    <s v="0302"/>
    <x v="28"/>
    <n v="66200004395"/>
    <s v="Generators*Auxiliary Generator (C32) (AG1)*Auxiliary Generator Engine (C32)*Electrical and Starting System*Sensor GP - Engine 380-1089*Seal, O - Ring"/>
    <x v="4"/>
    <s v="Y"/>
    <n v="1"/>
    <s v="Seal, O - Ring"/>
    <s v="Generators*Auxiliary Generator (C32) (AG1)*Auxiliary Generator Engine (C32)*Electrical and Starting System*Sensor GP - Engine 380-1089*Seal, O - Ring"/>
    <n v="0"/>
    <s v="214-7566"/>
    <s v="Caterpillar"/>
    <n v="1"/>
  </r>
  <r>
    <s v="0302"/>
    <x v="28"/>
    <n v="66200004402"/>
    <s v="Generators*Auxiliary Generator (C32) (AG1)*Auxiliary Generator Engine (C32)*Electrical and Starting System*Sensor GP - Engine 380-1089*Seal, O - Ring"/>
    <x v="4"/>
    <s v="Y"/>
    <n v="1"/>
    <s v="Seal, O - Ring"/>
    <s v="Generators*Auxiliary Generator (C32) (AG1)*Auxiliary Generator Engine (C32)*Electrical and Starting System*Sensor GP - Engine 380-1089*Seal, O - Ring"/>
    <n v="0"/>
    <s v="228-7100"/>
    <s v="Caterpillar"/>
    <n v="1"/>
  </r>
  <r>
    <s v="0302"/>
    <x v="28"/>
    <n v="66200004408"/>
    <s v="Generators*Auxiliary Generator (C32) (AG1)*Auxiliary Generator Engine (C32)*Electrical and Starting System*Sensor GP -  Speed 4P - 5963*Sensor GP - Speed"/>
    <x v="4"/>
    <s v="Y"/>
    <n v="1"/>
    <s v="Sensor GP - Speed"/>
    <s v="Generators*Auxiliary Generator (C32) (AG1)*Auxiliary Generator Engine (C32)*Electrical and Starting System*Sensor GP -  Speed 4P - 5963*Sensor GP - Speed"/>
    <n v="0"/>
    <s v="4P-5820"/>
    <s v="Caterpillar"/>
    <n v="1"/>
  </r>
  <r>
    <s v="0302"/>
    <x v="28"/>
    <n v="66200004619"/>
    <s v="Propulsion*Main Engine (Port) (MAK 12M32C)*B1.05.03-Engine, Housing*Engine Housing Assembly*Thrust Washer (Disk)"/>
    <x v="101"/>
    <s v="Y"/>
    <n v="1"/>
    <s v="Thrust Washer (Disk)"/>
    <s v="Propulsion*Main Engine (Port) (MAK 12M32C)*B1.05.03-Engine, Housing*Engine Housing Assembly*Thrust Washer (Disk)"/>
    <n v="2"/>
    <s v="9.1110-004"/>
    <s v="Caterpillar"/>
    <n v="2"/>
  </r>
  <r>
    <s v="0302"/>
    <x v="28"/>
    <n v="66200004620"/>
    <s v="Propulsion*Main Engine (Port) (MAK 12M32C)*B1.05.03-Engine, Housing*Engine Housing Assembly*Thrust Washer (Disk)"/>
    <x v="101"/>
    <s v="Y"/>
    <n v="1"/>
    <s v="Thrust Washer (Disk)"/>
    <s v="Propulsion*Main Engine (Port) (MAK 12M32C)*B1.05.03-Engine, Housing*Engine Housing Assembly*Thrust Washer (Disk)"/>
    <n v="2"/>
    <s v="9.1110-105"/>
    <s v="Caterpillar"/>
    <n v="2"/>
  </r>
  <r>
    <s v="0302"/>
    <x v="28"/>
    <n v="66200004907"/>
    <s v="Generators*Auxiliary Generator (C32) (AG1)*Auxiliary Generator Engine (C32)*Fuel System*Base GP - Fuel Filter*Pump GP-Fuel Priming"/>
    <x v="4"/>
    <s v="Y"/>
    <n v="1"/>
    <s v="Pump GP-Fuel Priming"/>
    <s v="Generators*Auxiliary Generator (C32) (AG1)*Auxiliary Generator Engine (C32)*Fuel System*Base GP - Fuel Filter*Pump GP-Fuel Priming"/>
    <n v="0"/>
    <s v="137-5541"/>
    <s v="Caterpillar"/>
    <n v="1"/>
  </r>
  <r>
    <s v="0302"/>
    <x v="28"/>
    <n v="66200004945"/>
    <s v="Generators*Auxiliary Generator (C32) (AG1)*Auxiliary Generator Engine (C32)*Fuel System*Injector GP - Fuel"/>
    <x v="4"/>
    <s v="Y"/>
    <n v="2"/>
    <s v="Injector GP - Fuel"/>
    <s v="Generators*Auxiliary Generator (C32) (AG1)*Auxiliary Generator Engine (C32)*Fuel System*Injector GP - Fuel"/>
    <n v="10"/>
    <s v="20R-5353"/>
    <s v="Caterpillar"/>
    <n v="1"/>
  </r>
  <r>
    <s v="0302"/>
    <x v="28"/>
    <n v="66200005514"/>
    <s v="Propulsion*Gearbox (Port)*Rotary Joint"/>
    <x v="101"/>
    <s v="Y"/>
    <n v="1"/>
    <s v="Rotary Joint"/>
    <s v="Propulsion*Gearbox (Port)*Rotary Joint"/>
    <n v="1"/>
    <s v="0088-226-35-010040"/>
    <s v="ORTTECH"/>
    <n v="2"/>
  </r>
  <r>
    <s v="0302"/>
    <x v="28"/>
    <n v="66200005515"/>
    <s v="Propulsion*Gearbox (Port)*CPP Hydraulic Pump*Hydraulic Pump, CPP (Gear Driven) (LH)"/>
    <x v="101"/>
    <s v="Y"/>
    <n v="1"/>
    <s v="Hydraulic Pump, CPP (Gear Driven) (LH)"/>
    <s v="Propulsion*Gearbox (Port)*CPP Hydraulic Pump*Hydraulic Pump, CPP (Gear Driven) (LH)"/>
    <n v="1"/>
    <s v="T7DS B24 1 R 00 A IMO"/>
    <s v="Parker"/>
    <n v="1"/>
  </r>
  <r>
    <s v="0302"/>
    <x v="28"/>
    <n v="66200005516"/>
    <s v="Propulsion*Gearbox (Port)*Oil Supply Pump (Motor Driven)*Oil Pump (Motor Driven)"/>
    <x v="101"/>
    <s v="Y"/>
    <n v="1"/>
    <s v="Oil Pump (Motor Driven)"/>
    <s v="Propulsion*Gearbox (Port)*Oil Supply Pump (Motor Driven)*Oil Pump (Motor Driven)"/>
    <n v="1"/>
    <s v="KF 112 RF 232-D25"/>
    <s v="KRACHT"/>
    <n v="2"/>
  </r>
  <r>
    <s v="0302"/>
    <x v="28"/>
    <n v="66200005522"/>
    <s v="Propulsion*Gearbox (Stbd)*Fuel Pump*Fuel Pump (Complete Assembly)"/>
    <x v="101"/>
    <s v="Y"/>
    <n v="1"/>
    <s v="Fuel Pump (Complete Assembly)"/>
    <s v="Propulsion*Gearbox (Stbd)*Fuel Pump*Fuel Pump (Complete Assembly)"/>
    <n v="0"/>
    <s v="L3NG 45/70"/>
    <s v="Leistritz"/>
    <n v="1"/>
  </r>
  <r>
    <s v="0302"/>
    <x v="28"/>
    <n v="66200005968"/>
    <s v="Propulsion*Main Engine (Port) (MAK 12M32C)*B1.05.02-Engine, Gear*Piston and Connecting-Rod*Normal Bearing (Big End Bearing Shell)"/>
    <x v="101"/>
    <s v="Y"/>
    <n v="1"/>
    <s v="Normal Bearing (Big End Bearing Shell)"/>
    <s v="Propulsion*Main Engine (Port) (MAK 12M32C)*B1.05.02-Engine, Gear*Piston and Connecting-Rod*Normal Bearing (Big End Bearing Shell)"/>
    <n v="0"/>
    <s v="9.2601-003"/>
    <s v="Caterpillar"/>
    <n v="2"/>
  </r>
  <r>
    <s v="0302"/>
    <x v="28"/>
    <n v="66200005969"/>
    <s v="Propulsion*Main Engine (Port) (MAK 12M32C)*B1.05.03-Engine, Housing*Engine Housing Assembly*Joint Ring"/>
    <x v="101"/>
    <s v="Y"/>
    <n v="1"/>
    <s v="Joint Ring"/>
    <s v="Propulsion*Main Engine (Port) (MAK 12M32C)*B1.05.03-Engine, Housing*Engine Housing Assembly*Joint Ring"/>
    <n v="1"/>
    <s v="9.1110-029"/>
    <s v="Caterpillar"/>
    <n v="2"/>
  </r>
  <r>
    <s v="0302"/>
    <x v="28"/>
    <n v="66200005970"/>
    <s v="Propulsion*Main Engine (Port) (MAK 12M32C)*B1.05.03-Engine, Housing*Engine Housing Assembly*Anti-Polishing Ring"/>
    <x v="101"/>
    <s v="Y"/>
    <n v="1"/>
    <s v="Anti-Polishing Ring"/>
    <s v="Propulsion*Main Engine (Port) (MAK 12M32C)*B1.05.03-Engine, Housing*Engine Housing Assembly*Anti-Polishing Ring"/>
    <n v="1"/>
    <s v="9.1110-108"/>
    <s v="Caterpillar"/>
    <n v="2"/>
  </r>
  <r>
    <s v="0302"/>
    <x v="28"/>
    <n v="66200005972"/>
    <s v="Propulsion*Main Engine (Port) (MAK 12M32C)*B1.05.02-Engine, Gear*Piston Rings*Piston Ring (Set)"/>
    <x v="101"/>
    <s v="Y"/>
    <n v="1"/>
    <s v="Piston Ring (Set)"/>
    <s v="Propulsion*Main Engine (Port) (MAK 12M32C)*B1.05.02-Engine, Gear*Piston Rings*Piston Ring (Set)"/>
    <n v="2"/>
    <s v="9.2617 BB"/>
    <s v="Caterpillar"/>
    <n v="2"/>
  </r>
  <r>
    <s v="0302"/>
    <x v="28"/>
    <n v="66200005973"/>
    <s v="Propulsion*Main Engine (Port) (MAK 12M32C)*B1.05.03-Engine, Housing*Engine Housing Assembly*Round Nut"/>
    <x v="101"/>
    <s v="Y"/>
    <n v="1"/>
    <s v="Round Nut"/>
    <s v="Propulsion*Main Engine (Port) (MAK 12M32C)*B1.05.03-Engine, Housing*Engine Housing Assembly*Round Nut"/>
    <n v="3"/>
    <s v="9.1110-014"/>
    <s v="Caterpillar"/>
    <n v="2"/>
  </r>
  <r>
    <s v="0302"/>
    <x v="28"/>
    <n v="66200005976"/>
    <s v="Propulsion*Main Engine (Port) (MAK 12M32C)*B1.05.01-Engine, Cylinder Head*Cylinder Head Assembly*Safety/Relief Valve, Cyl Head"/>
    <x v="101"/>
    <s v="Y"/>
    <n v="1"/>
    <s v="Safety/Relief Valve, Cyl Head"/>
    <s v="Propulsion*Main Engine (Port) (MAK 12M32C)*B1.05.01-Engine, Cylinder Head*Cylinder Head Assembly*Safety/Relief Valve, Cyl Head"/>
    <n v="1"/>
    <s v="1.2250-005"/>
    <s v="Caterpillar"/>
    <n v="2"/>
  </r>
  <r>
    <s v="0302"/>
    <x v="28"/>
    <n v="66200005977"/>
    <s v="Propulsion*Main Engine (Port) (MAK 12M32C)*B1.05.01-Engine, Cylinder Head*Cylinder Head Assembly*Indicator Valve"/>
    <x v="101"/>
    <s v="Y"/>
    <n v="1"/>
    <s v="Indicator Valve"/>
    <s v="Propulsion*Main Engine (Port) (MAK 12M32C)*B1.05.01-Engine, Cylinder Head*Cylinder Head Assembly*Indicator Valve"/>
    <n v="1"/>
    <s v="9.2107-025"/>
    <s v="Caterpillar"/>
    <n v="2"/>
  </r>
  <r>
    <s v="0302"/>
    <x v="28"/>
    <n v="66200005978"/>
    <s v="Propulsion*Main Engine (Port) (MAK 12M32C)*B1.05.03-Engine, Housing*Engine Housing Assembly*Washer"/>
    <x v="101"/>
    <s v="Y"/>
    <n v="2"/>
    <s v="Washer"/>
    <s v="Propulsion*Main Engine (Port) (MAK 12M32C)*B1.05.03-Engine, Housing*Engine Housing Assembly*Washer"/>
    <n v="3"/>
    <s v="9.1110-013"/>
    <s v="Caterpillar"/>
    <n v="2"/>
  </r>
  <r>
    <s v="0302"/>
    <x v="28"/>
    <n v="66200005979"/>
    <s v="Propulsion*Main Engine (Port) (MAK 12M32C)*B1.05.03-Engine, Housing*Engine Housing Assembly*Cylinder Head Stud"/>
    <x v="101"/>
    <s v="Y"/>
    <n v="2"/>
    <s v="Cylinder Head Stud"/>
    <s v="Propulsion*Main Engine (Port) (MAK 12M32C)*B1.05.03-Engine, Housing*Engine Housing Assembly*Cylinder Head Stud"/>
    <n v="3"/>
    <s v="9.1110-012"/>
    <s v="Caterpillar"/>
    <n v="2"/>
  </r>
  <r>
    <s v="0302"/>
    <x v="28"/>
    <n v="66200005980"/>
    <s v="Propulsion*Main Engine (Port) (MAK 12M32C)*B1.05.02-Engine, Gear*Piston and Connecting-Rod*Piston PIn"/>
    <x v="101"/>
    <s v="Y"/>
    <n v="1"/>
    <s v="Piston PIn"/>
    <s v="Propulsion*Main Engine (Port) (MAK 12M32C)*B1.05.02-Engine, Gear*Piston and Connecting-Rod*Piston PIn"/>
    <n v="1"/>
    <s v="9.2601-004"/>
    <s v="Caterpillar"/>
    <n v="2"/>
  </r>
  <r>
    <s v="0302"/>
    <x v="28"/>
    <n v="66200005989"/>
    <s v="Propulsion*Main Engine (Port) (MAK 12M32C)*B1.05.03-Engine, Housing*Engine Housing Assembly*O-Ring"/>
    <x v="101"/>
    <s v="Y"/>
    <n v="6"/>
    <s v="O-Ring"/>
    <s v="Propulsion*Main Engine (Port) (MAK 12M32C)*B1.05.03-Engine, Housing*Engine Housing Assembly*O-Ring"/>
    <n v="2"/>
    <s v="1.7082-911"/>
    <s v="Caterpillar"/>
    <n v="2"/>
  </r>
  <r>
    <s v="0302"/>
    <x v="28"/>
    <n v="66200005991"/>
    <s v="Propulsion*Main Engine (Port) (MAK 12M32C)*B1.05.08-Engine, Lubricating Oil System*Lube Oil Safety Strainer Mounting*Gasket"/>
    <x v="101"/>
    <s v="Y"/>
    <n v="1"/>
    <s v="Gasket"/>
    <s v="Propulsion*Main Engine (Port) (MAK 12M32C)*B1.05.08-Engine, Lubricating Oil System*Lube Oil Safety Strainer Mounting*Gasket"/>
    <n v="1"/>
    <s v="1.8433-010"/>
    <s v="Caterpillar"/>
    <n v="2"/>
  </r>
  <r>
    <s v="0302"/>
    <x v="28"/>
    <n v="66200005992"/>
    <s v="Propulsion*Main Engine (Port) (MAK 12M32C)*B1.05.09-Engine, Cooling Water System*Cooling Water Pipe Mounting*Seal Ring"/>
    <x v="101"/>
    <s v="Y"/>
    <n v="6"/>
    <s v="Seal Ring"/>
    <s v="Propulsion*Main Engine (Port) (MAK 12M32C)*B1.05.09-Engine, Cooling Water System*Cooling Water Pipe Mounting*Seal Ring"/>
    <n v="14"/>
    <s v="9.8517-562"/>
    <s v="Caterpillar"/>
    <n v="2"/>
  </r>
  <r>
    <s v="0302"/>
    <x v="28"/>
    <n v="66200005993"/>
    <s v="Propulsion*Main Engine (Port) (MAK 12M32C)*B1.05.02-Engine, Gear*Piston and Connecting-Rod*Circlip"/>
    <x v="101"/>
    <s v="Y"/>
    <n v="2"/>
    <s v="Circlip"/>
    <s v="Propulsion*Main Engine (Port) (MAK 12M32C)*B1.05.02-Engine, Gear*Piston and Connecting-Rod*Circlip"/>
    <n v="2"/>
    <s v="1.0061-258"/>
    <s v="Caterpillar"/>
    <n v="2"/>
  </r>
  <r>
    <s v="0302"/>
    <x v="28"/>
    <n v="66200005995"/>
    <s v="Propulsion*Main Engine (Port) (MAK 12M32C)*B1.05.03-Engine, Housing*Engine Housing Assembly*O-Ring"/>
    <x v="101"/>
    <s v="Y"/>
    <n v="1"/>
    <s v="O-Ring"/>
    <s v="Propulsion*Main Engine (Port) (MAK 12M32C)*B1.05.03-Engine, Housing*Engine Housing Assembly*O-Ring"/>
    <n v="0"/>
    <s v="107082-005"/>
    <s v="Caterpillar"/>
    <n v="2"/>
  </r>
  <r>
    <s v="0302"/>
    <x v="28"/>
    <n v="66200005996"/>
    <s v="Propulsion*Main Engine (Port) (MAK 12M32C)*B1.05.01-Engine, Cylinder Head*Cylinder Head Assembly*O-Ring"/>
    <x v="101"/>
    <s v="Y"/>
    <n v="1"/>
    <s v="O-Ring"/>
    <s v="Propulsion*Main Engine (Port) (MAK 12M32C)*B1.05.01-Engine, Cylinder Head*Cylinder Head Assembly*O-Ring"/>
    <n v="1"/>
    <s v="1.7084-679"/>
    <s v="Caterpillar"/>
    <n v="2"/>
  </r>
  <r>
    <s v="0302"/>
    <x v="28"/>
    <n v="66200006000"/>
    <s v="Propulsion*Main Engine (Port) (MAK 12M32C)*B1.05.03-Engine, Housing*Cylinder Liner*O-Ring"/>
    <x v="101"/>
    <s v="Y"/>
    <n v="1"/>
    <s v="O-Ring"/>
    <s v="Propulsion*Main Engine (Port) (MAK 12M32C)*B1.05.03-Engine, Housing*Cylinder Liner*O-Ring"/>
    <n v="24"/>
    <s v="1.7082-840"/>
    <s v="Caterpillar"/>
    <n v="2"/>
  </r>
  <r>
    <s v="0302"/>
    <x v="28"/>
    <n v="66200006001"/>
    <s v="Propulsion*Main Engine (Port) (MAK 12M32C)*B1.05.09-Engine, Cooling Water System*Cooling Water Pipe Mounting*Seal Ring"/>
    <x v="101"/>
    <s v="Y"/>
    <n v="6"/>
    <s v="Seal Ring"/>
    <s v="Propulsion*Main Engine (Port) (MAK 12M32C)*B1.05.09-Engine, Cooling Water System*Cooling Water Pipe Mounting*Seal Ring"/>
    <n v="12"/>
    <s v="9.8517-104"/>
    <s v="Caterpillar"/>
    <n v="2"/>
  </r>
  <r>
    <s v="0302"/>
    <x v="28"/>
    <n v="66200006002"/>
    <s v="Propulsion*Main Engine (Port) (MAK 12M32C)*B1.05.01-Engine, Cylinder Head*Mediums Guide*Sleeve"/>
    <x v="101"/>
    <s v="Y"/>
    <n v="1"/>
    <s v="Sleeve"/>
    <s v="Propulsion*Main Engine (Port) (MAK 12M32C)*B1.05.01-Engine, Cylinder Head*Mediums Guide*Sleeve"/>
    <n v="1"/>
    <s v="9.2144-110"/>
    <s v="Caterpillar"/>
    <n v="2"/>
  </r>
  <r>
    <s v="0302"/>
    <x v="28"/>
    <n v="66200006003"/>
    <s v="Propulsion*Main Engine (Port) (MAK 12M32C)*B1.05.03-Engine, Housing*Engine Housing Assembly*O-Ring"/>
    <x v="101"/>
    <s v="Y"/>
    <n v="1"/>
    <s v="O-Ring"/>
    <s v="Propulsion*Main Engine (Port) (MAK 12M32C)*B1.05.03-Engine, Housing*Engine Housing Assembly*O-Ring"/>
    <n v="30"/>
    <s v="1.7082-622"/>
    <s v="Caterpillar"/>
    <n v="2"/>
  </r>
  <r>
    <s v="0302"/>
    <x v="28"/>
    <n v="66200006004"/>
    <s v="Propulsion*Main Engine (Port) (MAK 12M32C)*B1.05.09-Engine, Cooling Water System*Cooling Water Pipe Mounting*Seal Ring"/>
    <x v="101"/>
    <s v="Y"/>
    <n v="6"/>
    <s v="Seal Ring"/>
    <s v="Propulsion*Main Engine (Port) (MAK 12M32C)*B1.05.09-Engine, Cooling Water System*Cooling Water Pipe Mounting*Seal Ring"/>
    <n v="12"/>
    <s v="9.8517-304"/>
    <s v="Caterpillar"/>
    <n v="2"/>
  </r>
  <r>
    <s v="0302"/>
    <x v="28"/>
    <n v="66200006005"/>
    <s v="Propulsion*Main Engine (Port) (MAK 12M32C)*B1.05.01-Engine, Cylinder Head*Cylinder Head Assembly*O-Ring"/>
    <x v="101"/>
    <s v="Y"/>
    <n v="2"/>
    <s v="O-Ring"/>
    <s v="Propulsion*Main Engine (Port) (MAK 12M32C)*B1.05.01-Engine, Cylinder Head*Cylinder Head Assembly*O-Ring"/>
    <n v="4"/>
    <s v="1.2210-009"/>
    <s v="Caterpillar"/>
    <n v="2"/>
  </r>
  <r>
    <s v="0302"/>
    <x v="28"/>
    <n v="66200006007"/>
    <s v="Propulsion*Main Engine (Port) (MAK 12M32C)*B1.05.09-Engine, Cooling Water System*Cooling Water Pipe Mounting*Seal Ring"/>
    <x v="101"/>
    <s v="Y"/>
    <n v="6"/>
    <s v="Seal Ring"/>
    <s v="Propulsion*Main Engine (Port) (MAK 12M32C)*B1.05.09-Engine, Cooling Water System*Cooling Water Pipe Mounting*Seal Ring"/>
    <n v="12"/>
    <s v="9.8517-561"/>
    <s v="Caterpillar"/>
    <n v="2"/>
  </r>
  <r>
    <s v="0302"/>
    <x v="28"/>
    <n v="66200006008"/>
    <s v="Propulsion*Main Engine (Port) (MAK 12M32C)*B1.05.03-Engine, Housing*Cylinder Liner*O-Ring"/>
    <x v="101"/>
    <s v="Y"/>
    <n v="2"/>
    <s v="O-Ring"/>
    <s v="Propulsion*Main Engine (Port) (MAK 12M32C)*B1.05.03-Engine, Housing*Cylinder Liner*O-Ring"/>
    <n v="3"/>
    <s v="1.7082-844"/>
    <s v="Caterpillar"/>
    <n v="2"/>
  </r>
  <r>
    <s v="0302"/>
    <x v="28"/>
    <n v="66200006009"/>
    <s v="Propulsion*Main Engine (Port) (MAK 12M32C)*B1.05.03-Engine, Housing*Engine Housing Assembly*O-Ring"/>
    <x v="101"/>
    <s v="Y"/>
    <n v="4"/>
    <s v="O-Ring"/>
    <s v="Propulsion*Main Engine (Port) (MAK 12M32C)*B1.05.03-Engine, Housing*Engine Housing Assembly*O-Ring"/>
    <n v="32"/>
    <s v="1.7084-607"/>
    <s v="Caterpillar"/>
    <n v="2"/>
  </r>
  <r>
    <s v="0302"/>
    <x v="28"/>
    <n v="66200006010"/>
    <s v="Propulsion*Main Engine (Port) (MAK 12M32C)*B1.05.01-Engine, Cylinder Head*Mediums Guide*O-Ring"/>
    <x v="101"/>
    <s v="Y"/>
    <n v="8"/>
    <s v="O-Ring"/>
    <s v="Propulsion*Main Engine (Port) (MAK 12M32C)*B1.05.01-Engine, Cylinder Head*Mediums Guide*O-Ring"/>
    <n v="88"/>
    <s v="1.7084-631"/>
    <s v="Caterpillar"/>
    <n v="2"/>
  </r>
  <r>
    <s v="0302"/>
    <x v="28"/>
    <n v="66200006013"/>
    <s v="Propulsion*Main Engine (Port) (MAK 12M32C)*B1.05.01-Engine, Cylinder Head*Mediums Guide*Gasket"/>
    <x v="101"/>
    <s v="Y"/>
    <n v="6"/>
    <s v="Gasket"/>
    <s v="Propulsion*Main Engine (Port) (MAK 12M32C)*B1.05.01-Engine, Cylinder Head*Mediums Guide*Gasket"/>
    <n v="37"/>
    <s v="9.2144-013"/>
    <s v="Caterpillar"/>
    <n v="2"/>
  </r>
  <r>
    <s v="0302"/>
    <x v="28"/>
    <n v="66200006014"/>
    <s v="Propulsion*Main Engine (Port) (MAK 12M32C)*B1.05.01-Engine, Cylinder Head*Mediums Guide*Spirng Dowel Pin"/>
    <x v="101"/>
    <s v="Y"/>
    <n v="8"/>
    <s v="Spirng Dowel Pin"/>
    <s v="Propulsion*Main Engine (Port) (MAK 12M32C)*B1.05.01-Engine, Cylinder Head*Mediums Guide*Spirng Dowel Pin"/>
    <n v="13"/>
    <s v="1.0039-803"/>
    <s v="Caterpillar"/>
    <n v="2"/>
  </r>
  <r>
    <s v="0302"/>
    <x v="28"/>
    <n v="66200006676"/>
    <s v="Propulsion*Main Engine (Port) (MAK 12M32C)*B1.05.11-Engine, Control Equipment*Gauge Panel*Front Frame"/>
    <x v="101"/>
    <s v="Y"/>
    <n v="1"/>
    <s v="Front Frame"/>
    <s v="Propulsion*Main Engine (Port) (MAK 12M32C)*B1.05.11-Engine, Control Equipment*Gauge Panel*Front Frame"/>
    <n v="2"/>
    <s v="0.9963-027"/>
    <s v="Caterpillar"/>
    <n v="2"/>
  </r>
  <r>
    <s v="0302"/>
    <x v="28"/>
    <n v="66200006677"/>
    <s v="Propulsion*Main Engine (Port) (MAK 12M32C)*B1.05.11-Engine, Control Equipment*Gauge Panel*Bulb, GLUEHLAMPE MG5,7S 28V-  AC/DC"/>
    <x v="101"/>
    <s v="Y"/>
    <n v="10"/>
    <s v="Bulb, GLUEHLAMPE MG5,7S 28V-  AC/DC"/>
    <s v="Propulsion*Main Engine (Port) (MAK 12M32C)*B1.05.11-Engine, Control Equipment*Gauge Panel*Bulb, GLUEHLAMPE MG5,7S 28V-  AC/DC"/>
    <n v="0"/>
    <s v="0.3621-956"/>
    <s v="Caterpillar"/>
    <n v="2"/>
  </r>
  <r>
    <s v="0302"/>
    <x v="28"/>
    <n v="66200006678"/>
    <s v="Propulsion*Main Engine (Port) (MAK 12M32C)*B1.05.11-Engine, Control Equipment*Gauge Panel*Illuminated Key"/>
    <x v="101"/>
    <s v="Y"/>
    <n v="1"/>
    <s v="Illuminated Key"/>
    <s v="Propulsion*Main Engine (Port) (MAK 12M32C)*B1.05.11-Engine, Control Equipment*Gauge Panel*Illuminated Key"/>
    <n v="2"/>
    <s v="0.9963-025"/>
    <s v="Caterpillar"/>
    <n v="2"/>
  </r>
  <r>
    <s v="0302"/>
    <x v="28"/>
    <n v="66200006731"/>
    <s v="Propulsion*Gearbox (Port)*Clutch &quot;A&quot;*Plate, Outer"/>
    <x v="101"/>
    <s v="Y"/>
    <n v="13"/>
    <s v="Plate, Outer"/>
    <s v="Propulsion*Gearbox (Port)*Clutch &quot;A&quot;*Plate, Outer"/>
    <n v="0"/>
    <s v="302163785029000"/>
    <s v="ORTTECH"/>
    <n v="4"/>
  </r>
  <r>
    <s v="0302"/>
    <x v="28"/>
    <n v="66200006732"/>
    <s v="Propulsion*Gearbox (Port)*Clutch &quot;A&quot;*Plate, Inner"/>
    <x v="101"/>
    <s v="Y"/>
    <n v="13"/>
    <s v="Plate, Inner"/>
    <s v="Propulsion*Gearbox (Port)*Clutch &quot;A&quot;*Plate, Inner"/>
    <n v="0"/>
    <s v="302174885000000"/>
    <s v="ORTTECH"/>
    <n v="4"/>
  </r>
  <r>
    <s v="0302"/>
    <x v="28"/>
    <n v="66200006738"/>
    <s v="Propulsion*Gearbox (Port)*Clutch &quot;A&quot;*Clutch Assembly Series 021"/>
    <x v="101"/>
    <s v="Y"/>
    <n v="1"/>
    <s v="Clutch Assembly Series 021"/>
    <s v="Propulsion*Gearbox (Port)*Clutch &quot;A&quot;*Clutch Assembly Series 021"/>
    <n v="1"/>
    <s v="Series 021"/>
    <s v="ORTTECH"/>
    <n v="4"/>
  </r>
  <r>
    <s v="0302"/>
    <x v="28"/>
    <n v="66200006781"/>
    <s v="Propulsion*Main Engine (Port) (MAK 12M32C)*B1.05.02-Engine, Gear*Piston Rings*Bevelled Edge Oil Control Ring"/>
    <x v="101"/>
    <s v="Y"/>
    <n v="1"/>
    <s v="Bevelled Edge Oil Control Ring"/>
    <s v="Propulsion*Main Engine (Port) (MAK 12M32C)*B1.05.02-Engine, Gear*Piston Rings*Bevelled Edge Oil Control Ring"/>
    <n v="0"/>
    <m/>
    <m/>
    <n v="2"/>
  </r>
  <r>
    <s v="0302"/>
    <x v="28"/>
    <n v="66200006783"/>
    <s v="Propulsion*Main Engine (Port) (MAK 12M32C)*B1.05.01-Engine, Cylinder Head*Cylinder Head*O-Ring, Fuel Nozzle"/>
    <x v="101"/>
    <s v="Y"/>
    <n v="25"/>
    <s v="O-Ring, Fuel Nozzle"/>
    <s v="Propulsion*Main Engine (Port) (MAK 12M32C)*B1.05.01-Engine, Cylinder Head*Cylinder Head*O-Ring, Fuel Nozzle"/>
    <n v="0"/>
    <s v="1.7084-620"/>
    <s v="Caterpillar"/>
    <n v="2"/>
  </r>
  <r>
    <s v="0302"/>
    <x v="28"/>
    <n v="66200006889"/>
    <s v="Propulsion*Gearbox (Port)*Oil Supply Pump (Motor Driven)*Oil Pump (Motor Driven)"/>
    <x v="101"/>
    <s v="Y"/>
    <n v="1"/>
    <s v="Oil Pump (Motor Driven)"/>
    <s v="Propulsion*Gearbox (Port)*Oil Supply Pump (Motor Driven)*Oil Pump (Motor Driven)"/>
    <n v="0"/>
    <s v="KF 112 RF 232-D25"/>
    <s v="KRACHT"/>
    <n v="2"/>
  </r>
  <r>
    <s v="0302"/>
    <x v="28"/>
    <n v="66200007703"/>
    <s v="Propulsion*Main Engine (Port) (MAK 12M32C)*Turbocharger (#2)*Turbocharger Cartridge"/>
    <x v="101"/>
    <s v="Y"/>
    <n v="1"/>
    <s v="Turbocharger Cartridge"/>
    <s v="Propulsion*Main Engine (Port) (MAK 12M32C)*Turbocharger (#2)*Turbocharger Cartridge"/>
    <n v="0"/>
    <s v="10900"/>
    <s v="ABB Turbo Systems Ltd"/>
    <n v="4"/>
  </r>
  <r>
    <s v="0302"/>
    <x v="28"/>
    <n v="66200008377"/>
    <s v="Propulsion*Main Engine (Port) (MAK 12M32C)*Engine, Sensors*Transmitter, Pressure, Unit 1105"/>
    <x v="101"/>
    <s v="Y"/>
    <n v="1"/>
    <s v="Transmitter, Pressure, Unit 1105"/>
    <s v="Propulsion*Main Engine (Port) (MAK 12M32C)*Engine, Sensors*Transmitter, Pressure, Unit 1105"/>
    <n v="0"/>
    <s v="283 460 008"/>
    <s v="Resource Power Group"/>
    <n v="2"/>
  </r>
  <r>
    <s v="0302"/>
    <x v="28"/>
    <n v="66200008408"/>
    <s v="Propulsion*Main Engine (Port) (MAK 12M32C)*Engine, Sensors*Thermocouple, Type K, Unit 7309A"/>
    <x v="101"/>
    <s v="Y"/>
    <n v="3"/>
    <s v="Thermocouple, Type K, Unit 7309A"/>
    <s v="Propulsion*Main Engine (Port) (MAK 12M32C)*Engine, Sensors*Thermocouple, Type K, Unit 7309A"/>
    <n v="2"/>
    <s v="263 451 010"/>
    <s v="Resource Power Group"/>
    <n v="2"/>
  </r>
  <r>
    <s v="0302"/>
    <x v="28"/>
    <n v="66200008410"/>
    <s v="Propulsion*Main Engine (Port) (MAK 12M32C)*Engine, Sensors*Thermocouple, Type K, Unit 8211.1A"/>
    <x v="101"/>
    <s v="Y"/>
    <n v="3"/>
    <s v="Thermocouple, Type K, Unit 8211.1A"/>
    <s v="Propulsion*Main Engine (Port) (MAK 12M32C)*Engine, Sensors*Thermocouple, Type K, Unit 8211.1A"/>
    <n v="0"/>
    <s v="263 451 020"/>
    <s v="Resource Power Group"/>
    <n v="2"/>
  </r>
  <r>
    <s v="0302"/>
    <x v="28"/>
    <n v="66200008560"/>
    <s v="Propulsion*Main Engine (Port) (MAK 12M32C)*Engine, Sensors*Thermocouple, Type K, Unit 8231A"/>
    <x v="101"/>
    <s v="Y"/>
    <n v="1"/>
    <s v="Thermocouple, Type K, Unit 8231A"/>
    <s v="Propulsion*Main Engine (Port) (MAK 12M32C)*Engine, Sensors*Thermocouple, Type K, Unit 8231A"/>
    <n v="0"/>
    <s v="263 451 000"/>
    <s v="Resource Power Group"/>
    <n v="2"/>
  </r>
  <r>
    <s v="0302"/>
    <x v="28"/>
    <n v="66200009118"/>
    <s v="Propulsion*Main Engine (Port) (MAK 12M32C)*B1.05.04-Engine, Control*Less System (Noris)*A01.1 Module"/>
    <x v="101"/>
    <s v="Y"/>
    <n v="1"/>
    <s v="A01.1 Module"/>
    <s v="Propulsion*Main Engine (Port) (MAK 12M32C)*B1.05.04-Engine, Control*Less System (Noris)*A01.1 Module"/>
    <n v="1"/>
    <s v="MAO A01.1"/>
    <s v="Resource Power Group"/>
    <n v="2"/>
  </r>
  <r>
    <s v="0302"/>
    <x v="28"/>
    <n v="66200009119"/>
    <s v="Propulsion*Main Engine (Port) (MAK 12M32C)*B1.05.04-Engine, Control*Less System (Noris)*A01.2 Module"/>
    <x v="101"/>
    <s v="Y"/>
    <n v="1"/>
    <s v="A01.2 Module"/>
    <s v="Propulsion*Main Engine (Port) (MAK 12M32C)*B1.05.04-Engine, Control*Less System (Noris)*A01.2 Module"/>
    <n v="1"/>
    <s v="MAO A01.2"/>
    <s v="Resource Power Group"/>
    <n v="2"/>
  </r>
  <r>
    <s v="0302"/>
    <x v="28"/>
    <n v="66200009120"/>
    <s v="Propulsion*Main Engine (Port) (MAK 12M32C)*B1.05.04-Engine, Control*Less System (Noris)*A01.5 Module"/>
    <x v="101"/>
    <s v="Y"/>
    <n v="1"/>
    <s v="A01.5 Module"/>
    <s v="Propulsion*Main Engine (Port) (MAK 12M32C)*B1.05.04-Engine, Control*Less System (Noris)*A01.5 Module"/>
    <n v="1"/>
    <s v="MAO A01.5"/>
    <s v="Resource Power Group"/>
    <n v="2"/>
  </r>
  <r>
    <s v="0302"/>
    <x v="28"/>
    <n v="66200009121"/>
    <s v="Propulsion*Main Engine (Port) (MAK 12M32C)*B1.05.04-Engine, Control*Less System (Noris)*A02 Module"/>
    <x v="101"/>
    <s v="Y"/>
    <n v="1"/>
    <s v="A02 Module"/>
    <s v="Propulsion*Main Engine (Port) (MAK 12M32C)*B1.05.04-Engine, Control*Less System (Noris)*A02 Module"/>
    <n v="1"/>
    <s v="MAO A02"/>
    <s v="Resource Power Group"/>
    <n v="2"/>
  </r>
  <r>
    <s v="0302"/>
    <x v="28"/>
    <n v="66200009122"/>
    <s v="Propulsion*Main Engine (Port) (MAK 12M32C)*B1.05.04-Engine, Control*Less System (Noris)*A03 Module"/>
    <x v="101"/>
    <s v="Y"/>
    <n v="1"/>
    <s v="A03 Module"/>
    <s v="Propulsion*Main Engine (Port) (MAK 12M32C)*B1.05.04-Engine, Control*Less System (Noris)*A03 Module"/>
    <n v="1"/>
    <s v="MAO A03"/>
    <s v="Resource Power Group"/>
    <n v="2"/>
  </r>
  <r>
    <s v="0302"/>
    <x v="28"/>
    <n v="66200009123"/>
    <s v="Propulsion*Main Engine (Port) (MAK 12M32C)*B1.05.04-Engine, Control*Less System (Noris)*A05.1 Module"/>
    <x v="101"/>
    <s v="Y"/>
    <n v="1"/>
    <s v="A05.1 Module"/>
    <s v="Propulsion*Main Engine (Port) (MAK 12M32C)*B1.05.04-Engine, Control*Less System (Noris)*A05.1 Module"/>
    <n v="1"/>
    <s v="MAO A05.1"/>
    <s v="Resource Power Group"/>
    <n v="2"/>
  </r>
  <r>
    <s v="0302"/>
    <x v="28"/>
    <n v="66200009209"/>
    <s v="Propulsion*Gearbox (Port)*Oil Supply Pump (Gear Driven)*Oil Supply Pump (Gear Driven)"/>
    <x v="101"/>
    <s v="Y"/>
    <n v="1"/>
    <s v="Oil Supply Pump (Gear Driven)"/>
    <s v="Propulsion*Gearbox (Port)*Oil Supply Pump (Gear Driven)*Oil Supply Pump (Gear Driven)"/>
    <n v="1"/>
    <s v="KF 150 RF 19-D25"/>
    <s v="KRACHT"/>
    <n v="1"/>
  </r>
  <r>
    <s v="0302"/>
    <x v="28"/>
    <n v="66200009210"/>
    <s v="Propulsion*Gearbox (Stbd)*Oil Supply Pump (Gear Driven)*Oil Supply Pump (Gear Driven)"/>
    <x v="101"/>
    <s v="Y"/>
    <n v="1"/>
    <s v="Oil Supply Pump (Gear Driven)"/>
    <s v="Propulsion*Gearbox (Stbd)*Oil Supply Pump (Gear Driven)*Oil Supply Pump (Gear Driven)"/>
    <n v="1"/>
    <s v="KF 150 LF 19-D25"/>
    <s v="KRACHT"/>
    <n v="1"/>
  </r>
  <r>
    <s v="0302"/>
    <x v="28"/>
    <n v="66200009520"/>
    <s v="Propulsion*Shafting (Starboard)*CPP Blades (Stbd)*CPP Propeller Blade, Right (Starboard)"/>
    <x v="101"/>
    <s v="Y"/>
    <n v="1"/>
    <s v="CPP Propeller Blade, Right (Starboard)"/>
    <s v="Propulsion*Shafting (Starboard)*CPP Blades (Stbd)*CPP Propeller Blade, Right (Starboard)"/>
    <n v="0"/>
    <s v="1197169"/>
    <s v="Schottel"/>
    <n v="1"/>
  </r>
  <r>
    <s v="0302"/>
    <x v="28"/>
    <n v="66200010427"/>
    <s v="Propulsion*CPP Drive System*CPP Electrical*CPP Control Port*IO Module, Analog Input &amp; Output"/>
    <x v="101"/>
    <s v="Y"/>
    <n v="2"/>
    <s v="IO Module, Analog Input &amp; Output"/>
    <s v="Propulsion*CPP Drive System*CPP Electrical*CPP Control Port*IO Module, Analog Input &amp; Output"/>
    <n v="5"/>
    <s v="9460007"/>
    <s v="NORIS"/>
    <n v="2"/>
  </r>
  <r>
    <s v="0302"/>
    <x v="28"/>
    <n v="66200010428"/>
    <s v="Propulsion*CPP Drive System*CPP Electrical*CPP Control Port*Central Processing Unit, NORISYS 4"/>
    <x v="101"/>
    <s v="Y"/>
    <n v="1"/>
    <s v="Central Processing Unit, NORISYS 4"/>
    <s v="Propulsion*CPP Drive System*CPP Electrical*CPP Control Port*Central Processing Unit, NORISYS 4"/>
    <n v="2"/>
    <s v="946001"/>
    <s v="NORIS"/>
    <n v="2"/>
  </r>
  <r>
    <s v="0302"/>
    <x v="28"/>
    <n v="66200010429"/>
    <s v="Propulsion*CPP Drive System*CPP Electrical*CPP Control Port*IO Module, Digital Input"/>
    <x v="101"/>
    <s v="Y"/>
    <n v="1"/>
    <s v="IO Module, Digital Input"/>
    <s v="Propulsion*CPP Drive System*CPP Electrical*CPP Control Port*IO Module, Digital Input"/>
    <n v="1"/>
    <s v="24DIO"/>
    <s v="NORIS"/>
    <n v="2"/>
  </r>
  <r>
    <s v="0302"/>
    <x v="28"/>
    <n v="66200010430"/>
    <s v="Propulsion*CPP Drive System*CPP Electrical*CPP Control Port*IO Module, Analog Input"/>
    <x v="101"/>
    <s v="Y"/>
    <n v="1"/>
    <s v="IO Module, Analog Input"/>
    <s v="Propulsion*CPP Drive System*CPP Electrical*CPP Control Port*IO Module, Analog Input"/>
    <n v="1"/>
    <s v="UNIO (4AI)"/>
    <s v="NORIS"/>
    <n v="2"/>
  </r>
  <r>
    <s v="0302"/>
    <x v="28"/>
    <n v="66200010431"/>
    <s v="Propulsion*CPP Drive System*CPP Electrical*CPP Control Port*Process Card, Levers"/>
    <x v="101"/>
    <s v="Y"/>
    <n v="1"/>
    <s v="Process Card, Levers"/>
    <s v="Propulsion*CPP Drive System*CPP Electrical*CPP Control Port*Process Card, Levers"/>
    <n v="1"/>
    <s v="SAR 45"/>
    <s v="NORIS"/>
    <n v="2"/>
  </r>
  <r>
    <s v="0302"/>
    <x v="28"/>
    <n v="66200010432"/>
    <s v="Propulsion*CPP Drive System*CPP Electrical*CPP Control Port*Relay"/>
    <x v="101"/>
    <s v="Y"/>
    <n v="1"/>
    <s v="Relay"/>
    <s v="Propulsion*CPP Drive System*CPP Electrical*CPP Control Port*Relay"/>
    <n v="5"/>
    <s v="38.61.7.024.0050"/>
    <s v="FINDER CO."/>
    <n v="2"/>
  </r>
  <r>
    <s v="0302"/>
    <x v="28"/>
    <n v="66200010433"/>
    <s v="Propulsion*CPP Drive System*CPP Electrical*CPP Control Port*Relay"/>
    <x v="101"/>
    <s v="Y"/>
    <n v="1"/>
    <s v="Relay"/>
    <s v="Propulsion*CPP Drive System*CPP Electrical*CPP Control Port*Relay"/>
    <n v="5"/>
    <s v="44.52.9.024.0000"/>
    <s v="FINDER CO."/>
    <n v="2"/>
  </r>
  <r>
    <s v="0302"/>
    <x v="28"/>
    <n v="66200010434"/>
    <s v="Propulsion*CPP Drive System*CPP Electrical*CPP Control Port*Speed Signal Transformer"/>
    <x v="101"/>
    <s v="Y"/>
    <n v="1"/>
    <s v="Speed Signal Transformer"/>
    <s v="Propulsion*CPP Drive System*CPP Electrical*CPP Control Port*Speed Signal Transformer"/>
    <n v="1"/>
    <s v="Norispeed"/>
    <s v="NORIS"/>
    <n v="2"/>
  </r>
  <r>
    <s v="0302"/>
    <x v="28"/>
    <n v="66200010435"/>
    <s v="Propulsion*CPP Drive System*CPP Electrical*CPP Control Port*Display, 7&quot;"/>
    <x v="101"/>
    <s v="Y"/>
    <n v="1"/>
    <s v="Display, 7&quot;"/>
    <s v="Propulsion*CPP Drive System*CPP Electrical*CPP Control Port*Display, 7&quot;"/>
    <n v="2"/>
    <s v="XV-112-DB-70TWRC-70 + FP"/>
    <s v="NORIS"/>
    <n v="2"/>
  </r>
  <r>
    <s v="0302"/>
    <x v="28"/>
    <n v="66200010436"/>
    <s v="Propulsion*CPP Drive System*CPP Electrical*CPP Control Port*Master Control Panel, ECR Desk"/>
    <x v="101"/>
    <s v="Y"/>
    <n v="1"/>
    <s v="Master Control Panel, ECR Desk"/>
    <s v="Propulsion*CPP Drive System*CPP Electrical*CPP Control Port*Master Control Panel, ECR Desk"/>
    <n v="1"/>
    <s v="4 MP-12L12B-AD00"/>
    <s v="NORIS"/>
    <n v="2"/>
  </r>
  <r>
    <s v="0302"/>
    <x v="28"/>
    <n v="66200010437"/>
    <s v="Propulsion*CPP Drive System*CPP Electrical*CPP Control Port*Slave Control Panel, ECR Desk"/>
    <x v="101"/>
    <s v="Y"/>
    <n v="1"/>
    <s v="Slave Control Panel, ECR Desk"/>
    <s v="Propulsion*CPP Drive System*CPP Electrical*CPP Control Port*Slave Control Panel, ECR Desk"/>
    <n v="1"/>
    <s v="SP-6L6B-B000"/>
    <s v="NORIS"/>
    <n v="2"/>
  </r>
  <r>
    <s v="0302"/>
    <x v="28"/>
    <n v="69900000002"/>
    <s v="Propulsion*Main Engine (Port) (MAK 12M32C)*B1.05.07-Engine, Fuel System*Fuel Pipe Assembly*Pipe, Fuel Filter, Comp., 9.8538-404"/>
    <x v="101"/>
    <s v="Y"/>
    <n v="1"/>
    <s v="Pipe, Fuel Filter, Comp., 9.8538-404"/>
    <s v="Propulsion*Main Engine (Port) (MAK 12M32C)*B1.05.07-Engine, Fuel System*Fuel Pipe Assembly*Pipe, Fuel Filter, Comp., 9.8538-404"/>
    <n v="0"/>
    <s v="9.8538-404"/>
    <s v="Caterpillar"/>
    <n v="2"/>
  </r>
  <r>
    <s v="0302"/>
    <x v="28"/>
    <n v="69900000003"/>
    <s v="Propulsion*Main Engine (Port) (MAK 12M32C)*B1.05.07-Engine, Fuel System*Fuel Pipe Assembly*Pipe, Fuel Filter, Comp., 9.8538-405"/>
    <x v="101"/>
    <s v="Y"/>
    <n v="1"/>
    <s v="Pipe, Fuel Filter, Comp., 9.8538-405"/>
    <s v="Propulsion*Main Engine (Port) (MAK 12M32C)*B1.05.07-Engine, Fuel System*Fuel Pipe Assembly*Pipe, Fuel Filter, Comp., 9.8538-405"/>
    <n v="0"/>
    <s v="9.8538-405"/>
    <s v="Caterpillar"/>
    <n v="2"/>
  </r>
  <r>
    <s v="0302"/>
    <x v="28"/>
    <n v="69900000004"/>
    <s v="Propulsion*Main Engine (Port) (MAK 12M32C)*B1.05.07-Engine, Fuel System*Fuel Pipe Assembly*Pipe, Fuel Filter, Comp., 9.8538-406"/>
    <x v="101"/>
    <s v="Y"/>
    <n v="2"/>
    <s v="Pipe, Fuel Filter, Comp., 9.8538-406"/>
    <s v="Propulsion*Main Engine (Port) (MAK 12M32C)*B1.05.07-Engine, Fuel System*Fuel Pipe Assembly*Pipe, Fuel Filter, Comp., 9.8538-406"/>
    <n v="1"/>
    <s v="9.8538-406"/>
    <s v="Caterpillar"/>
    <n v="2"/>
  </r>
  <r>
    <s v="0302"/>
    <x v="28"/>
    <n v="69900000005"/>
    <s v="Propulsion*Main Engine (Port) (MAK 12M32C)*B1.05.07-Engine, Fuel System*Fuel Pipe Assembly*Pipe, Fuel Filter, Comp., 9-8538-407"/>
    <x v="101"/>
    <s v="Y"/>
    <n v="1"/>
    <s v="Pipe, Fuel Filter, Comp., 9-8538-407"/>
    <s v="Propulsion*Main Engine (Port) (MAK 12M32C)*B1.05.07-Engine, Fuel System*Fuel Pipe Assembly*Pipe, Fuel Filter, Comp., 9-8538-407"/>
    <n v="1"/>
    <s v="9-8538-407"/>
    <s v="Caterpillar"/>
    <n v="2"/>
  </r>
  <r>
    <s v="0302"/>
    <x v="28"/>
    <n v="69900000006"/>
    <s v="Propulsion*Main Engine (Port) (MAK 12M32C)*B1.05.07-Engine, Fuel System*Fuel Pipe Assembly*Washer, Conical Spring"/>
    <x v="101"/>
    <s v="Y"/>
    <n v="3"/>
    <s v="Washer, Conical Spring"/>
    <s v="Propulsion*Main Engine (Port) (MAK 12M32C)*B1.05.07-Engine, Fuel System*Fuel Pipe Assembly*Washer, Conical Spring"/>
    <n v="22"/>
    <s v="1.0068-240"/>
    <s v="Caterpillar"/>
    <n v="2"/>
  </r>
  <r>
    <s v="0302"/>
    <x v="28"/>
    <n v="69900000007"/>
    <s v="Propulsion*Main Engine (Port) (MAK 12M32C)*B1.05.07-Engine, Fuel System*Fuel Pipe Assembly*Ring, Joint, 1.7033-110"/>
    <x v="101"/>
    <s v="Y"/>
    <n v="3"/>
    <s v="Ring, Joint, 1.7033-110"/>
    <s v="Propulsion*Main Engine (Port) (MAK 12M32C)*B1.05.07-Engine, Fuel System*Fuel Pipe Assembly*Ring, Joint, 1.7033-110"/>
    <n v="6"/>
    <s v="1.7033-110"/>
    <s v="Caterpillar"/>
    <n v="2"/>
  </r>
  <r>
    <s v="0302"/>
    <x v="28"/>
    <n v="69900000008"/>
    <s v="Propulsion*Main Engine (Port) (MAK 12M32C)*B1.05.07-Engine, Fuel System*Fuel Pipe Assembly*Ring, Joint, 1.7033-102"/>
    <x v="101"/>
    <s v="Y"/>
    <n v="3"/>
    <s v="Ring, Joint, 1.7033-102"/>
    <s v="Propulsion*Main Engine (Port) (MAK 12M32C)*B1.05.07-Engine, Fuel System*Fuel Pipe Assembly*Ring, Joint, 1.7033-102"/>
    <n v="3"/>
    <s v="1.7033-102"/>
    <s v="Caterpillar"/>
    <n v="2"/>
  </r>
  <r>
    <s v="0302"/>
    <x v="28"/>
    <n v="69900000009"/>
    <s v="Propulsion*Main Engine (Port) (MAK 12M32C)*B1.05.07-Engine, Fuel System*Fuel Pipe Assembly*Ring, Joint, 1.7073-730"/>
    <x v="101"/>
    <s v="Y"/>
    <n v="3"/>
    <s v="Ring, Joint, 1.7073-730"/>
    <s v="Propulsion*Main Engine (Port) (MAK 12M32C)*B1.05.07-Engine, Fuel System*Fuel Pipe Assembly*Ring, Joint, 1.7073-730"/>
    <n v="10"/>
    <s v="1.7073-730"/>
    <s v="Caterpillar"/>
    <n v="2"/>
  </r>
  <r>
    <s v="0302"/>
    <x v="28"/>
    <n v="69900000011"/>
    <s v="Propulsion*Main Engine (Port) (MAK 12M32C)*B1.05.08-Engine, Lubricating Oil System*Lube Oil Pipe Assembly*Pipe, 1.6410-019"/>
    <x v="101"/>
    <s v="Y"/>
    <n v="1"/>
    <s v="Pipe, 1.6410-019"/>
    <s v="Propulsion*Main Engine (Port) (MAK 12M32C)*B1.05.08-Engine, Lubricating Oil System*Lube Oil Pipe Assembly*Pipe, 1.6410-019"/>
    <n v="0"/>
    <s v="1.6410-019"/>
    <s v="Caterpillar"/>
    <n v="2"/>
  </r>
  <r>
    <s v="0302"/>
    <x v="28"/>
    <n v="69900000012"/>
    <s v="Propulsion*Main Engine (Port) (MAK 12M32C)*B1.05.08-Engine, Lubricating Oil System*Lube Oil Pipe Assembly*Pipe, 9.9050-025"/>
    <x v="101"/>
    <s v="Y"/>
    <n v="1"/>
    <s v="Pipe, 9.9050-025"/>
    <s v="Propulsion*Main Engine (Port) (MAK 12M32C)*B1.05.08-Engine, Lubricating Oil System*Lube Oil Pipe Assembly*Pipe, 9.9050-025"/>
    <n v="0"/>
    <s v="9.9050-025"/>
    <s v="Caterpillar"/>
    <n v="2"/>
  </r>
  <r>
    <s v="0302"/>
    <x v="28"/>
    <n v="69900000013"/>
    <s v="Propulsion*Main Engine (Port) (MAK 12M32C)*B1.05.08-Engine, Lubricating Oil System*Lube Oil Pipe Assembly*Pipe, 9.6410-018"/>
    <x v="101"/>
    <s v="Y"/>
    <n v="1"/>
    <s v="Pipe, 9.6410-018"/>
    <s v="Propulsion*Main Engine (Port) (MAK 12M32C)*B1.05.08-Engine, Lubricating Oil System*Lube Oil Pipe Assembly*Pipe, 9.6410-018"/>
    <n v="3"/>
    <s v="9.6410-018"/>
    <s v="Caterpillar"/>
    <n v="2"/>
  </r>
  <r>
    <s v="0302"/>
    <x v="28"/>
    <n v="69900000014"/>
    <s v="Propulsion*Main Engine (Port) (MAK 12M32C)*B1.05.08-Engine, Lubricating Oil System*Lube Oil Pipe Assembly*Pipe, 9.6410-070"/>
    <x v="101"/>
    <s v="Y"/>
    <n v="1"/>
    <s v="Pipe, 9.6410-070"/>
    <s v="Propulsion*Main Engine (Port) (MAK 12M32C)*B1.05.08-Engine, Lubricating Oil System*Lube Oil Pipe Assembly*Pipe, 9.6410-070"/>
    <n v="2"/>
    <s v="9.6410-070"/>
    <s v="Caterpillar"/>
    <n v="2"/>
  </r>
  <r>
    <s v="0302"/>
    <x v="28"/>
    <n v="69900000015"/>
    <s v="Propulsion*Main Engine (Port) (MAK 12M32C)*B1.05.08-Engine, Lubricating Oil System*Lube Oil Pipe Assembly*Union, Pipe"/>
    <x v="101"/>
    <s v="Y"/>
    <n v="3"/>
    <s v="Union, Pipe"/>
    <s v="Propulsion*Main Engine (Port) (MAK 12M32C)*B1.05.08-Engine, Lubricating Oil System*Lube Oil Pipe Assembly*Union, Pipe"/>
    <n v="6"/>
    <s v="9.1110-035"/>
    <s v="Caterpillar"/>
    <n v="2"/>
  </r>
  <r>
    <s v="0302"/>
    <x v="28"/>
    <n v="69900000016"/>
    <s v="Propulsion*Main Engine (Port) (MAK 12M32C)*B1.05.08-Engine, Lubricating Oil System*Lube Oil Pipe Assembly*Ring, Joint, 1.7010-083"/>
    <x v="101"/>
    <s v="Y"/>
    <n v="3"/>
    <s v="Ring, Joint, 1.7010-083"/>
    <s v="Propulsion*Main Engine (Port) (MAK 12M32C)*B1.05.08-Engine, Lubricating Oil System*Lube Oil Pipe Assembly*Ring, Joint, 1.7010-083"/>
    <n v="6"/>
    <s v="1.7010-083"/>
    <s v="Caterpillar"/>
    <n v="2"/>
  </r>
  <r>
    <s v="0302"/>
    <x v="28"/>
    <n v="69900000017"/>
    <s v="Propulsion*Main Engine (Port) (MAK 12M32C)*B1.05.08-Engine, Lubricating Oil System*Lube Oil Pipe Assembly*Ring, Joint, 1.7010-252"/>
    <x v="101"/>
    <s v="Y"/>
    <n v="3"/>
    <s v="Ring, Joint, 1.7010-252"/>
    <s v="Propulsion*Main Engine (Port) (MAK 12M32C)*B1.05.08-Engine, Lubricating Oil System*Lube Oil Pipe Assembly*Ring, Joint, 1.7010-252"/>
    <n v="6"/>
    <s v="1.7010-252"/>
    <s v="Caterpillar"/>
    <n v="2"/>
  </r>
  <r>
    <s v="0302"/>
    <x v="28"/>
    <n v="69900000018"/>
    <s v="Propulsion*Main Engine (Port) (MAK 12M32C)*B1.05.08-Engine, Lubricating Oil System*Lube Oil Pipe Assembly*Ring, Joint, 1.5094-115"/>
    <x v="101"/>
    <s v="Y"/>
    <n v="3"/>
    <s v="Ring, Joint, 1.5094-115"/>
    <s v="Propulsion*Main Engine (Port) (MAK 12M32C)*B1.05.08-Engine, Lubricating Oil System*Lube Oil Pipe Assembly*Ring, Joint, 1.5094-115"/>
    <n v="6"/>
    <s v="1.5094-115"/>
    <s v="Caterpillar"/>
    <n v="2"/>
  </r>
  <r>
    <s v="0302"/>
    <x v="28"/>
    <n v="69900000019"/>
    <s v="Propulsion*Main Engine (Port) (MAK 12M32C)*B1.05.08-Engine, Lubricating Oil System*Lube Oil Pipe Assembly*Ring, Joint, 1.7010-133"/>
    <x v="101"/>
    <s v="Y"/>
    <n v="3"/>
    <s v="Ring, Joint, 1.7010-133"/>
    <s v="Propulsion*Main Engine (Port) (MAK 12M32C)*B1.05.08-Engine, Lubricating Oil System*Lube Oil Pipe Assembly*Ring, Joint, 1.7010-133"/>
    <n v="6"/>
    <s v="1.7010-133"/>
    <s v="Caterpillar"/>
    <n v="2"/>
  </r>
  <r>
    <s v="0302"/>
    <x v="28"/>
    <n v="69900000020"/>
    <s v="Propulsion*Main Engine (Port) (MAK 12M32C)*B1.05.08-Engine, Lubricating Oil System*Lube Oil Pipe Assembly*Ring, Joint, 1.7010-064"/>
    <x v="101"/>
    <s v="Y"/>
    <n v="3"/>
    <s v="Ring, Joint, 1.7010-064"/>
    <s v="Propulsion*Main Engine (Port) (MAK 12M32C)*B1.05.08-Engine, Lubricating Oil System*Lube Oil Pipe Assembly*Ring, Joint, 1.7010-064"/>
    <n v="10"/>
    <s v="1.7010-064"/>
    <s v="Caterpillar"/>
    <n v="2"/>
  </r>
  <r>
    <s v="0354"/>
    <x v="29"/>
    <n v="71100000206"/>
    <s v="Crane/Hoists*Deck Winch*Hydraulic Anchor Winch Assembly*SEAL KIT"/>
    <x v="70"/>
    <s v="Y"/>
    <n v="1"/>
    <s v="SEAL KIT"/>
    <s v="Crane/Hoists*Deck Winch*Hydraulic Anchor Winch Assembly*SEAL KIT"/>
    <n v="1"/>
    <s v="R939002444"/>
    <s v="Bosch Rexroth"/>
    <n v="1"/>
  </r>
  <r>
    <s v="0354"/>
    <x v="29"/>
    <n v="71100000207"/>
    <s v="Crane/Hoists*Deck Winch*Hydraulic Anchor Winch Assembly*PISTON RINGS"/>
    <x v="70"/>
    <s v="Y"/>
    <n v="1"/>
    <s v="PISTON RINGS"/>
    <s v="Crane/Hoists*Deck Winch*Hydraulic Anchor Winch Assembly*PISTON RINGS"/>
    <n v="12"/>
    <s v="R939063053"/>
    <s v="Bosch Rexroth"/>
    <n v="1"/>
  </r>
  <r>
    <s v="0533"/>
    <x v="30"/>
    <n v="66200014378"/>
    <s v="Hydraulic System*Arm Winch Manifold*Valve, Hydraulic Proportional Control"/>
    <x v="87"/>
    <s v="Y"/>
    <n v="2"/>
    <s v="Valve, Hydraulic Proportional Control"/>
    <s v="Hydraulic System*Arm Winch Manifold*Valve, Hydraulic Proportional Control"/>
    <n v="2"/>
    <s v="R900926984"/>
    <s v="REXROTH BOSCH GROUP"/>
    <n v="1"/>
  </r>
  <r>
    <s v="0594"/>
    <x v="31"/>
    <n v="66200001615"/>
    <s v="Electrical*PLC (New)*Processor"/>
    <x v="61"/>
    <s v="Y"/>
    <n v="1"/>
    <s v="Processor"/>
    <s v="Electrical*PLC (New)*Processor"/>
    <n v="1"/>
    <s v="1769-L35E"/>
    <s v="ALLEN-BRADLEY"/>
    <n v="1"/>
  </r>
  <r>
    <s v="0594"/>
    <x v="31"/>
    <n v="66200001616"/>
    <s v="Electrical*PLC (New)*Module, Isolated Output"/>
    <x v="61"/>
    <s v="Y"/>
    <n v="1"/>
    <s v="Module, Isolated Output"/>
    <s v="Electrical*PLC (New)*Module, Isolated Output"/>
    <n v="1"/>
    <s v="1769-OW8I"/>
    <s v="ALLEN-BRADLEY"/>
    <n v="1"/>
  </r>
  <r>
    <s v="0594"/>
    <x v="31"/>
    <n v="66200001617"/>
    <s v="Electrical*PLC (New)*Module, Digital Input"/>
    <x v="61"/>
    <s v="Y"/>
    <n v="1"/>
    <s v="Module, Digital Input"/>
    <s v="Electrical*PLC (New)*Module, Digital Input"/>
    <n v="1"/>
    <s v="1769-IQ16"/>
    <s v="ALLEN-BRADLEY"/>
    <n v="1"/>
  </r>
  <r>
    <s v="0594"/>
    <x v="31"/>
    <n v="66200001618"/>
    <s v="Electrical*PLC (New)*Power Supply, DC Input"/>
    <x v="61"/>
    <s v="Y"/>
    <n v="1"/>
    <s v="Power Supply, DC Input"/>
    <s v="Electrical*PLC (New)*Power Supply, DC Input"/>
    <n v="1"/>
    <s v="1769-PB4"/>
    <s v="ALLEN-BRADLEY"/>
    <n v="1"/>
  </r>
  <r>
    <s v="0594"/>
    <x v="31"/>
    <n v="66200001619"/>
    <s v="Electrical*PLC (New)*Module, Relay Output"/>
    <x v="61"/>
    <s v="Y"/>
    <n v="1"/>
    <s v="Module, Relay Output"/>
    <s v="Electrical*PLC (New)*Module, Relay Output"/>
    <n v="1"/>
    <s v="1769-OW8"/>
    <s v="ALLEN-BRADLEY"/>
    <n v="1"/>
  </r>
  <r>
    <s v="0594"/>
    <x v="31"/>
    <n v="66200001620"/>
    <s v="Electrical*PLC (New)*Module, Analog Input"/>
    <x v="61"/>
    <s v="Y"/>
    <n v="1"/>
    <s v="Module, Analog Input"/>
    <s v="Electrical*PLC (New)*Module, Analog Input"/>
    <n v="1"/>
    <s v="1769-IF4"/>
    <s v="ALLEN-BRADLEY"/>
    <n v="1"/>
  </r>
  <r>
    <s v="0594"/>
    <x v="31"/>
    <n v="66200001621"/>
    <s v="Electrical*PLC (New)*Module, Analog Output"/>
    <x v="61"/>
    <s v="Y"/>
    <n v="1"/>
    <s v="Module, Analog Output"/>
    <s v="Electrical*PLC (New)*Module, Analog Output"/>
    <n v="1"/>
    <s v="1769-OF2"/>
    <s v="ALLEN-BRADLEY"/>
    <n v="1"/>
  </r>
  <r>
    <s v="0594"/>
    <x v="31"/>
    <n v="66200001622"/>
    <s v="Electrical*PLC (New)*Power Supply"/>
    <x v="61"/>
    <s v="Y"/>
    <n v="1"/>
    <s v="Power Supply"/>
    <s v="Electrical*PLC (New)*Power Supply"/>
    <n v="1"/>
    <s v="1769-PA4"/>
    <s v="ALLEN-BRADLEY"/>
    <n v="1"/>
  </r>
  <r>
    <s v="0594"/>
    <x v="31"/>
    <n v="66200001623"/>
    <s v="Electrical*PLC (New)*Cable Assembly"/>
    <x v="61"/>
    <s v="Y"/>
    <n v="1"/>
    <s v="Cable Assembly"/>
    <s v="Electrical*PLC (New)*Cable Assembly"/>
    <n v="1"/>
    <s v="2706-NC13"/>
    <s v="ALLEN-BRADLEY"/>
    <n v="1"/>
  </r>
  <r>
    <s v="R004"/>
    <x v="32"/>
    <n v="60400003826"/>
    <s v="Engines (Pump)*Dredge Pump Engine (Lake Lady)*Critical Spares Assy*Connecting Rod Assy"/>
    <x v="118"/>
    <s v="Y"/>
    <n v="2"/>
    <s v="Connecting Rod Assy"/>
    <s v="Engines (Pump)*Dredge Pump Engine (Lake Lady)*Critical Spares Assy*Connecting Rod Assy"/>
    <n v="0"/>
    <s v="51.02400-6050"/>
    <s v="MAN DIESEL &amp; TURBO"/>
    <n v="1"/>
  </r>
  <r>
    <s v="R004"/>
    <x v="32"/>
    <n v="60400003827"/>
    <s v="Engines (Pump)*Dredge Pump Engine (Lake Lady)*Critical Spares Assy*Connecting Rod Bearing"/>
    <x v="118"/>
    <s v="Y"/>
    <n v="2"/>
    <s v="Connecting Rod Bearing"/>
    <s v="Engines (Pump)*Dredge Pump Engine (Lake Lady)*Critical Spares Assy*Connecting Rod Bearing"/>
    <n v="0"/>
    <s v="51.02410-6658"/>
    <s v="MAN DIESEL &amp; TURBO"/>
    <n v="1"/>
  </r>
  <r>
    <s v="R004"/>
    <x v="32"/>
    <n v="60400003828"/>
    <s v="Engines (Pump)*Dredge Pump Engine (Lake Lady)*Critical Spares Assy*Starter Ring Gear"/>
    <x v="118"/>
    <s v="Y"/>
    <n v="1"/>
    <s v="Starter Ring Gear"/>
    <s v="Engines (Pump)*Dredge Pump Engine (Lake Lady)*Critical Spares Assy*Starter Ring Gear"/>
    <n v="0"/>
    <s v="51.02310-0097"/>
    <s v="MAN DIESEL &amp; TURBO"/>
    <n v="1"/>
  </r>
  <r>
    <s v="R004"/>
    <x v="32"/>
    <n v="60400003829"/>
    <s v="Engines (Pump)*Dredge Pump Engine (Lake Lady)*Critical Spares Assy*Flywheel Race"/>
    <x v="118"/>
    <s v="Y"/>
    <n v="1"/>
    <s v="Flywheel Race"/>
    <s v="Engines (Pump)*Dredge Pump Engine (Lake Lady)*Critical Spares Assy*Flywheel Race"/>
    <n v="0"/>
    <s v="51.02130-0013"/>
    <s v="MAN DIESEL &amp; TURBO"/>
    <n v="1"/>
  </r>
  <r>
    <s v="R004"/>
    <x v="32"/>
    <n v="60400003830"/>
    <s v="Engines (Pump)*Dredge Pump Engine (Lake Lady)*Critical Spares Assy*Radial Shaft Seal"/>
    <x v="118"/>
    <s v="Y"/>
    <n v="2"/>
    <s v="Radial Shaft Seal"/>
    <s v="Engines (Pump)*Dredge Pump Engine (Lake Lady)*Critical Spares Assy*Radial Shaft Seal"/>
    <n v="0"/>
    <s v="120X140X13ACM/PTFE"/>
    <s v="MAN DIESEL &amp; TURBO"/>
    <n v="1"/>
  </r>
  <r>
    <s v="R004"/>
    <x v="32"/>
    <n v="60400003831"/>
    <s v="Engines (Pump)*Dredge Pump Engine (Lake Lady)*Critical Spares Assy*Piston Assy"/>
    <x v="118"/>
    <s v="Y"/>
    <n v="2"/>
    <s v="Piston Assy"/>
    <s v="Engines (Pump)*Dredge Pump Engine (Lake Lady)*Critical Spares Assy*Piston Assy"/>
    <n v="0"/>
    <s v="51.02511-7364"/>
    <s v="MAN DIESEL &amp; TURBO"/>
    <n v="1"/>
  </r>
  <r>
    <s v="R004"/>
    <x v="32"/>
    <n v="60400003832"/>
    <s v="Engines (Pump)*Dredge Pump Engine (Lake Lady)*Critical Spares Assy*Piston Ring (Upper)"/>
    <x v="118"/>
    <s v="Y"/>
    <n v="6"/>
    <s v="Piston Ring (Upper)"/>
    <s v="Engines (Pump)*Dredge Pump Engine (Lake Lady)*Critical Spares Assy*Piston Ring (Upper)"/>
    <n v="0"/>
    <s v="51.02503-0752"/>
    <s v="MAN DIESEL &amp; TURBO"/>
    <n v="1"/>
  </r>
  <r>
    <s v="R004"/>
    <x v="32"/>
    <n v="60400003833"/>
    <s v="Engines (Pump)*Dredge Pump Engine (Lake Lady)*Critical Spares Assy*Piston Ring (Compression)"/>
    <x v="118"/>
    <s v="Y"/>
    <n v="6"/>
    <s v="Piston Ring (Compression)"/>
    <s v="Engines (Pump)*Dredge Pump Engine (Lake Lady)*Critical Spares Assy*Piston Ring (Compression)"/>
    <n v="0"/>
    <s v="51.02503-0784"/>
    <s v="MAN DIESEL &amp; TURBO"/>
    <n v="1"/>
  </r>
  <r>
    <s v="R004"/>
    <x v="32"/>
    <n v="60400003834"/>
    <s v="Engines (Pump)*Dredge Pump Engine (Lake Lady)*Critical Spares Assy*Piston Ring (Oil)"/>
    <x v="118"/>
    <s v="Y"/>
    <n v="6"/>
    <s v="Piston Ring (Oil)"/>
    <s v="Engines (Pump)*Dredge Pump Engine (Lake Lady)*Critical Spares Assy*Piston Ring (Oil)"/>
    <n v="0"/>
    <s v="51.02503-0720"/>
    <s v="MAN DIESEL &amp; TURBO"/>
    <n v="1"/>
  </r>
  <r>
    <s v="R004"/>
    <x v="32"/>
    <n v="60400003835"/>
    <s v="Engines (Pump)*Dredge Pump Engine (Lake Lady)*Critical Spares Assy*Cylinder Head Assy"/>
    <x v="118"/>
    <s v="Y"/>
    <n v="2"/>
    <s v="Cylinder Head Assy"/>
    <s v="Engines (Pump)*Dredge Pump Engine (Lake Lady)*Critical Spares Assy*Cylinder Head Assy"/>
    <n v="0"/>
    <s v="51.03101-6843"/>
    <s v="MAN DIESEL &amp; TURBO"/>
    <n v="1"/>
  </r>
  <r>
    <s v="R004"/>
    <x v="32"/>
    <n v="60400003836"/>
    <s v="Engines (Pump)*Dredge Pump Engine (Lake Lady)*Critical Spares Assy*Cylinder Head (Gasket)"/>
    <x v="118"/>
    <s v="Y"/>
    <n v="6"/>
    <s v="Cylinder Head (Gasket)"/>
    <s v="Engines (Pump)*Dredge Pump Engine (Lake Lady)*Critical Spares Assy*Cylinder Head (Gasket)"/>
    <n v="0"/>
    <s v="51.03901-0338"/>
    <s v="MAN DIESEL &amp; TURBO"/>
    <n v="1"/>
  </r>
  <r>
    <s v="R004"/>
    <x v="32"/>
    <n v="60400003837"/>
    <s v="Engines (Pump)*Dredge Pump Engine (Lake Lady)*Critical Spares Assy*Cylinder Head Bolt (Long)"/>
    <x v="118"/>
    <s v="Y"/>
    <n v="18"/>
    <s v="Cylinder Head Bolt (Long)"/>
    <s v="Engines (Pump)*Dredge Pump Engine (Lake Lady)*Critical Spares Assy*Cylinder Head Bolt (Long)"/>
    <n v="0"/>
    <s v="51.90490-0070"/>
    <s v="MAN DIESEL &amp; TURBO"/>
    <n v="1"/>
  </r>
  <r>
    <s v="R004"/>
    <x v="32"/>
    <n v="60400003838"/>
    <s v="Engines (Pump)*Dredge Pump Engine (Lake Lady)*Critical Spares Assy*Cylinder Head Bolt (Short)"/>
    <x v="118"/>
    <s v="Y"/>
    <n v="18"/>
    <s v="Cylinder Head Bolt (Short)"/>
    <s v="Engines (Pump)*Dredge Pump Engine (Lake Lady)*Critical Spares Assy*Cylinder Head Bolt (Short)"/>
    <n v="0"/>
    <s v="51.90490-0071"/>
    <s v="MAN DIESEL &amp; TURBO"/>
    <n v="1"/>
  </r>
  <r>
    <s v="R004"/>
    <x v="32"/>
    <n v="60400003839"/>
    <s v="Engines (Pump)*Dredge Pump Engine (Lake Lady)*Critical Spares Assy*Cyliner Head Bushing"/>
    <x v="118"/>
    <s v="Y"/>
    <n v="18"/>
    <s v="Cyliner Head Bushing"/>
    <s v="Engines (Pump)*Dredge Pump Engine (Lake Lady)*Critical Spares Assy*Cyliner Head Bushing"/>
    <n v="0"/>
    <s v="51.91701-0274"/>
    <s v="MAN DIESEL &amp; TURBO"/>
    <n v="1"/>
  </r>
  <r>
    <s v="R004"/>
    <x v="32"/>
    <n v="60400003840"/>
    <s v="Engines (Pump)*Dredge Pump Engine (Lake Lady)*Critical Spares Assy*Valve Cover Gasket"/>
    <x v="118"/>
    <s v="Y"/>
    <n v="6"/>
    <s v="Valve Cover Gasket"/>
    <s v="Engines (Pump)*Dredge Pump Engine (Lake Lady)*Critical Spares Assy*Valve Cover Gasket"/>
    <n v="0"/>
    <s v="51.03905-0157"/>
    <s v="MAN DIESEL &amp; TURBO"/>
    <n v="1"/>
  </r>
  <r>
    <s v="R004"/>
    <x v="32"/>
    <n v="60400003841"/>
    <s v="Engines (Pump)*Dredge Pump Engine (Lake Lady)*Critical Spares Assy*Valve Cover Gasket"/>
    <x v="118"/>
    <s v="Y"/>
    <n v="1"/>
    <s v="Valve Cover Gasket"/>
    <s v="Engines (Pump)*Dredge Pump Engine (Lake Lady)*Critical Spares Assy*Valve Cover Gasket"/>
    <n v="0"/>
    <s v="51.03905-0161"/>
    <s v="MAN DIESEL &amp; TURBO"/>
    <n v="1"/>
  </r>
  <r>
    <s v="R004"/>
    <x v="32"/>
    <n v="60400003842"/>
    <s v="Engines (Pump)*Dredge Pump Engine (Lake Lady)*Critical Spares Assy*Valve Crosshead"/>
    <x v="118"/>
    <s v="Y"/>
    <n v="4"/>
    <s v="Valve Crosshead"/>
    <s v="Engines (Pump)*Dredge Pump Engine (Lake Lady)*Critical Spares Assy*Valve Crosshead"/>
    <n v="0"/>
    <s v="51.04120-0019"/>
    <s v="MAN DIESEL &amp; TURBO"/>
    <n v="1"/>
  </r>
  <r>
    <s v="R004"/>
    <x v="32"/>
    <n v="60400003843"/>
    <s v="Engines (Pump)*Dredge Pump Engine (Lake Lady)*Critical Spares Assy*Push Rod"/>
    <x v="118"/>
    <s v="Y"/>
    <n v="4"/>
    <s v="Push Rod"/>
    <s v="Engines (Pump)*Dredge Pump Engine (Lake Lady)*Critical Spares Assy*Push Rod"/>
    <n v="0"/>
    <s v="51.04302-0066"/>
    <s v="MAN DIESEL &amp; TURBO"/>
    <n v="1"/>
  </r>
  <r>
    <s v="R004"/>
    <x v="32"/>
    <n v="60400003844"/>
    <s v="Engines (Pump)*Dredge Pump Engine (Lake Lady)*Critical Spares Assy*Valve, Exhaust"/>
    <x v="118"/>
    <s v="Y"/>
    <n v="6"/>
    <s v="Valve, Exhaust"/>
    <s v="Engines (Pump)*Dredge Pump Engine (Lake Lady)*Critical Spares Assy*Valve, Exhaust"/>
    <n v="0"/>
    <s v="51.04101-0512"/>
    <s v="MAN DIESEL &amp; TURBO"/>
    <n v="1"/>
  </r>
  <r>
    <s v="R004"/>
    <x v="32"/>
    <n v="60400003845"/>
    <s v="Engines (Pump)*Dredge Pump Engine (Lake Lady)*Critical Spares Assy*Valve, Intake"/>
    <x v="118"/>
    <s v="Y"/>
    <n v="6"/>
    <s v="Valve, Intake"/>
    <s v="Engines (Pump)*Dredge Pump Engine (Lake Lady)*Critical Spares Assy*Valve, Intake"/>
    <n v="0"/>
    <s v="51.04101-0511"/>
    <s v="MAN DIESEL &amp; TURBO"/>
    <n v="1"/>
  </r>
  <r>
    <s v="R004"/>
    <x v="32"/>
    <n v="60400003846"/>
    <s v="Engines (Pump)*Dredge Pump Engine (Lake Lady)*Critical Spares Assy*Valve Stem Seal"/>
    <x v="118"/>
    <s v="Y"/>
    <n v="10"/>
    <s v="Valve Stem Seal"/>
    <s v="Engines (Pump)*Dredge Pump Engine (Lake Lady)*Critical Spares Assy*Valve Stem Seal"/>
    <n v="0"/>
    <s v="51.04902-0033"/>
    <s v="MAN DIESEL &amp; TURBO"/>
    <n v="1"/>
  </r>
  <r>
    <s v="R004"/>
    <x v="32"/>
    <n v="60400003847"/>
    <s v="Engines (Pump)*Dredge Pump Engine (Lake Lady)*Critical Spares Assy*Valve Spring"/>
    <x v="118"/>
    <s v="Y"/>
    <n v="10"/>
    <s v="Valve Spring"/>
    <s v="Engines (Pump)*Dredge Pump Engine (Lake Lady)*Critical Spares Assy*Valve Spring"/>
    <n v="0"/>
    <s v="51.04102-0157"/>
    <s v="MAN DIESEL &amp; TURBO"/>
    <n v="1"/>
  </r>
  <r>
    <s v="R004"/>
    <x v="32"/>
    <n v="60400003848"/>
    <s v="Engines (Pump)*Dredge Pump Engine (Lake Lady)*Critical Spares Assy*Valve Washer"/>
    <x v="118"/>
    <s v="Y"/>
    <n v="10"/>
    <s v="Valve Washer"/>
    <s v="Engines (Pump)*Dredge Pump Engine (Lake Lady)*Critical Spares Assy*Valve Washer"/>
    <n v="0"/>
    <s v="51.90701-0228"/>
    <s v="MAN DIESEL &amp; TURBO"/>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0" dataOnRows="1" applyNumberFormats="0" applyBorderFormats="0" applyFontFormats="0" applyPatternFormats="0" applyAlignmentFormats="0" applyWidthHeightFormats="1" dataCaption="Data" updatedVersion="6" minRefreshableVersion="3" showMemberPropertyTips="0" useAutoFormatting="1" itemPrintTitles="1" createdVersion="4" indent="0" compact="0" compactData="0" gridDropZones="1">
  <location ref="B1:R38" firstHeaderRow="1" firstDataRow="3" firstDataCol="1"/>
  <pivotFields count="13">
    <pivotField axis="axisCol" subtotalCaption="Total" compact="0" outline="0" subtotalTop="0" showAll="0" includeNewItemsInFilter="1">
      <items count="6">
        <item x="1"/>
        <item x="2"/>
        <item x="0"/>
        <item x="4"/>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System" axis="axisRow" dataField="1" compact="0" outline="0" subtotalTop="0" showAll="0" includeNewItemsInFilter="1">
      <items count="35">
        <item x="21"/>
        <item x="10"/>
        <item x="7"/>
        <item x="6"/>
        <item x="20"/>
        <item x="9"/>
        <item x="12"/>
        <item x="22"/>
        <item x="4"/>
        <item x="8"/>
        <item x="23"/>
        <item x="13"/>
        <item x="14"/>
        <item x="5"/>
        <item x="15"/>
        <item x="24"/>
        <item x="27"/>
        <item x="25"/>
        <item x="2"/>
        <item x="26"/>
        <item x="3"/>
        <item x="29"/>
        <item x="28"/>
        <item x="11"/>
        <item x="16"/>
        <item x="0"/>
        <item x="1"/>
        <item x="17"/>
        <item x="18"/>
        <item x="19"/>
        <item x="30"/>
        <item x="31"/>
        <item x="32"/>
        <item x="33"/>
        <item t="default"/>
      </items>
    </pivotField>
    <pivotField name="Test" axis="axisCol" compact="0" outline="0" subtotalTop="0" showAll="0" includeNewItemsInFilter="1">
      <items count="3">
        <item x="0"/>
        <item x="1"/>
        <item t="default"/>
      </items>
    </pivotField>
  </pivotFields>
  <rowFields count="1">
    <field x="11"/>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2">
    <field x="0"/>
    <field x="12"/>
  </colFields>
  <colItems count="16">
    <i>
      <x/>
      <x/>
    </i>
    <i r="1">
      <x v="1"/>
    </i>
    <i t="default">
      <x/>
    </i>
    <i>
      <x v="1"/>
      <x/>
    </i>
    <i r="1">
      <x v="1"/>
    </i>
    <i t="default">
      <x v="1"/>
    </i>
    <i>
      <x v="2"/>
      <x/>
    </i>
    <i r="1">
      <x v="1"/>
    </i>
    <i t="default">
      <x v="2"/>
    </i>
    <i>
      <x v="3"/>
      <x/>
    </i>
    <i r="1">
      <x v="1"/>
    </i>
    <i t="default">
      <x v="3"/>
    </i>
    <i>
      <x v="4"/>
      <x/>
    </i>
    <i r="1">
      <x v="1"/>
    </i>
    <i t="default">
      <x v="4"/>
    </i>
    <i t="grand">
      <x/>
    </i>
  </colItems>
  <dataFields count="1">
    <dataField name="Systems" fld="11" subtotal="count" baseField="0" baseItem="0"/>
  </dataFields>
  <formats count="21">
    <format dxfId="42">
      <pivotArea outline="0" fieldPosition="0"/>
    </format>
    <format dxfId="41">
      <pivotArea field="0" type="button" dataOnly="0" labelOnly="1" outline="0" axis="axisCol" fieldPosition="0"/>
    </format>
    <format dxfId="40">
      <pivotArea field="12" type="button" dataOnly="0" labelOnly="1" outline="0" axis="axisCol" fieldPosition="1"/>
    </format>
    <format dxfId="39">
      <pivotArea type="topRight" dataOnly="0" labelOnly="1" outline="0" fieldPosition="0"/>
    </format>
    <format dxfId="38">
      <pivotArea dataOnly="0" labelOnly="1" outline="0" fieldPosition="0">
        <references count="1">
          <reference field="0" count="0"/>
        </references>
      </pivotArea>
    </format>
    <format dxfId="37">
      <pivotArea dataOnly="0" labelOnly="1" outline="0" fieldPosition="0">
        <references count="1">
          <reference field="0" count="0" defaultSubtotal="1"/>
        </references>
      </pivotArea>
    </format>
    <format dxfId="36">
      <pivotArea dataOnly="0" labelOnly="1" grandCol="1" outline="0" fieldPosition="0"/>
    </format>
    <format dxfId="35">
      <pivotArea dataOnly="0" labelOnly="1" outline="0" fieldPosition="0">
        <references count="2">
          <reference field="0" count="1" selected="0">
            <x v="0"/>
          </reference>
          <reference field="12" count="0"/>
        </references>
      </pivotArea>
    </format>
    <format dxfId="34">
      <pivotArea dataOnly="0" labelOnly="1" outline="0" fieldPosition="0">
        <references count="2">
          <reference field="0" count="1" selected="0">
            <x v="1"/>
          </reference>
          <reference field="12" count="0"/>
        </references>
      </pivotArea>
    </format>
    <format dxfId="33">
      <pivotArea dataOnly="0" labelOnly="1" outline="0" fieldPosition="0">
        <references count="2">
          <reference field="0" count="1" selected="0">
            <x v="2"/>
          </reference>
          <reference field="12" count="0"/>
        </references>
      </pivotArea>
    </format>
    <format dxfId="32">
      <pivotArea dataOnly="0" labelOnly="1" outline="0" fieldPosition="0">
        <references count="2">
          <reference field="0" count="1" selected="0">
            <x v="3"/>
          </reference>
          <reference field="12" count="0"/>
        </references>
      </pivotArea>
    </format>
    <format dxfId="31">
      <pivotArea dataOnly="0" labelOnly="1" outline="0" fieldPosition="0">
        <references count="2">
          <reference field="0" count="1" selected="0">
            <x v="4"/>
          </reference>
          <reference field="12" count="0"/>
        </references>
      </pivotArea>
    </format>
    <format dxfId="30">
      <pivotArea outline="0" fieldPosition="0">
        <references count="1">
          <reference field="11" count="0" selected="0"/>
        </references>
      </pivotArea>
    </format>
    <format dxfId="29">
      <pivotArea dataOnly="0" labelOnly="1" outline="0" fieldPosition="0">
        <references count="1">
          <reference field="0" count="0"/>
        </references>
      </pivotArea>
    </format>
    <format dxfId="28">
      <pivotArea dataOnly="0" labelOnly="1" outline="0" fieldPosition="0">
        <references count="1">
          <reference field="0" count="0" defaultSubtotal="1"/>
        </references>
      </pivotArea>
    </format>
    <format dxfId="27">
      <pivotArea dataOnly="0" labelOnly="1" grandCol="1" outline="0" fieldPosition="0"/>
    </format>
    <format dxfId="26">
      <pivotArea dataOnly="0" labelOnly="1" outline="0" fieldPosition="0">
        <references count="2">
          <reference field="0" count="1" selected="0">
            <x v="0"/>
          </reference>
          <reference field="12" count="0"/>
        </references>
      </pivotArea>
    </format>
    <format dxfId="25">
      <pivotArea dataOnly="0" labelOnly="1" outline="0" fieldPosition="0">
        <references count="2">
          <reference field="0" count="1" selected="0">
            <x v="1"/>
          </reference>
          <reference field="12" count="0"/>
        </references>
      </pivotArea>
    </format>
    <format dxfId="24">
      <pivotArea dataOnly="0" labelOnly="1" outline="0" fieldPosition="0">
        <references count="2">
          <reference field="0" count="1" selected="0">
            <x v="2"/>
          </reference>
          <reference field="12" count="0"/>
        </references>
      </pivotArea>
    </format>
    <format dxfId="23">
      <pivotArea dataOnly="0" labelOnly="1" outline="0" fieldPosition="0">
        <references count="2">
          <reference field="0" count="1" selected="0">
            <x v="3"/>
          </reference>
          <reference field="12" count="0"/>
        </references>
      </pivotArea>
    </format>
    <format dxfId="22">
      <pivotArea dataOnly="0" labelOnly="1" outline="0" fieldPosition="0">
        <references count="2">
          <reference field="0" count="1" selected="0">
            <x v="4"/>
          </reference>
          <reference field="12" count="0"/>
        </references>
      </pivotArea>
    </format>
  </formats>
  <pivotTableStyleInfo name="PivotStyleMedium15" showRowHeaders="1" showColHeaders="1" showRowStripes="0" showColStripes="0" showLastColumn="1"/>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rowHeaderCaption="System">
  <location ref="B1:H32" firstHeaderRow="1" firstDataRow="2" firstDataCol="1"/>
  <pivotFields count="13">
    <pivotField showAll="0"/>
    <pivotField axis="axisCol" showAll="0">
      <items count="40">
        <item x="2"/>
        <item h="1" m="1" x="34"/>
        <item h="1" x="26"/>
        <item h="1" x="23"/>
        <item h="1" m="1" x="38"/>
        <item h="1" x="32"/>
        <item x="5"/>
        <item h="1" x="13"/>
        <item h="1" x="28"/>
        <item h="1" x="10"/>
        <item h="1" x="8"/>
        <item h="1" x="17"/>
        <item h="1" x="22"/>
        <item h="1" m="1" x="35"/>
        <item x="4"/>
        <item h="1" x="15"/>
        <item h="1" m="1" x="36"/>
        <item h="1" x="0"/>
        <item h="1" x="7"/>
        <item h="1" m="1" x="37"/>
        <item h="1" x="1"/>
        <item x="3"/>
        <item h="1" x="14"/>
        <item h="1" x="12"/>
        <item h="1" x="16"/>
        <item x="6"/>
        <item h="1" x="24"/>
        <item h="1" x="20"/>
        <item h="1" x="29"/>
        <item h="1" m="1" x="33"/>
        <item h="1" x="9"/>
        <item h="1" x="11"/>
        <item h="1" x="27"/>
        <item h="1" x="19"/>
        <item h="1" x="21"/>
        <item h="1" x="25"/>
        <item h="1" x="30"/>
        <item h="1" x="18"/>
        <item h="1" x="31"/>
        <item t="default"/>
      </items>
    </pivotField>
    <pivotField dataField="1" showAll="0"/>
    <pivotField showAll="0"/>
    <pivotField axis="axisRow" showAll="0" sortType="descending">
      <items count="135">
        <item x="52"/>
        <item x="83"/>
        <item x="88"/>
        <item m="1" x="122"/>
        <item x="96"/>
        <item x="37"/>
        <item x="33"/>
        <item x="25"/>
        <item x="79"/>
        <item x="36"/>
        <item x="89"/>
        <item x="90"/>
        <item x="94"/>
        <item x="91"/>
        <item x="92"/>
        <item x="70"/>
        <item x="66"/>
        <item x="47"/>
        <item x="54"/>
        <item x="45"/>
        <item x="97"/>
        <item x="21"/>
        <item x="17"/>
        <item m="1" x="127"/>
        <item m="1" x="125"/>
        <item x="116"/>
        <item x="61"/>
        <item x="3"/>
        <item m="1" x="121"/>
        <item x="118"/>
        <item x="8"/>
        <item x="81"/>
        <item x="22"/>
        <item x="6"/>
        <item x="35"/>
        <item x="51"/>
        <item x="32"/>
        <item x="42"/>
        <item x="4"/>
        <item x="67"/>
        <item x="12"/>
        <item x="98"/>
        <item x="43"/>
        <item x="1"/>
        <item x="85"/>
        <item x="38"/>
        <item x="29"/>
        <item x="104"/>
        <item x="87"/>
        <item x="58"/>
        <item m="1" x="123"/>
        <item x="7"/>
        <item x="68"/>
        <item x="44"/>
        <item x="102"/>
        <item x="86"/>
        <item m="1" x="124"/>
        <item x="72"/>
        <item x="106"/>
        <item x="41"/>
        <item x="14"/>
        <item x="77"/>
        <item x="20"/>
        <item x="5"/>
        <item x="18"/>
        <item x="0"/>
        <item m="1" x="131"/>
        <item x="80"/>
        <item m="1" x="120"/>
        <item x="100"/>
        <item x="13"/>
        <item x="48"/>
        <item x="24"/>
        <item x="69"/>
        <item x="75"/>
        <item x="114"/>
        <item x="113"/>
        <item x="19"/>
        <item x="101"/>
        <item x="109"/>
        <item x="110"/>
        <item x="10"/>
        <item x="39"/>
        <item x="2"/>
        <item x="11"/>
        <item x="9"/>
        <item x="63"/>
        <item x="82"/>
        <item x="99"/>
        <item x="108"/>
        <item x="105"/>
        <item x="64"/>
        <item m="1" x="132"/>
        <item m="1" x="130"/>
        <item x="60"/>
        <item x="71"/>
        <item x="115"/>
        <item m="1" x="126"/>
        <item x="59"/>
        <item x="84"/>
        <item x="107"/>
        <item m="1" x="133"/>
        <item x="93"/>
        <item m="1" x="129"/>
        <item x="23"/>
        <item x="16"/>
        <item x="40"/>
        <item x="49"/>
        <item x="56"/>
        <item x="26"/>
        <item m="1" x="119"/>
        <item x="30"/>
        <item x="73"/>
        <item m="1" x="128"/>
        <item x="27"/>
        <item x="46"/>
        <item x="103"/>
        <item x="95"/>
        <item x="65"/>
        <item x="28"/>
        <item x="117"/>
        <item x="57"/>
        <item x="31"/>
        <item x="78"/>
        <item x="15"/>
        <item x="34"/>
        <item x="53"/>
        <item x="55"/>
        <item x="76"/>
        <item x="74"/>
        <item x="111"/>
        <item x="112"/>
        <item x="62"/>
        <item x="5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s>
  <rowFields count="1">
    <field x="4"/>
  </rowFields>
  <rowItems count="30">
    <i>
      <x v="26"/>
    </i>
    <i>
      <x v="16"/>
    </i>
    <i>
      <x v="52"/>
    </i>
    <i>
      <x v="91"/>
    </i>
    <i>
      <x v="86"/>
    </i>
    <i>
      <x v="118"/>
    </i>
    <i>
      <x v="57"/>
    </i>
    <i>
      <x v="38"/>
    </i>
    <i>
      <x v="128"/>
    </i>
    <i>
      <x v="39"/>
    </i>
    <i>
      <x v="129"/>
    </i>
    <i>
      <x v="87"/>
    </i>
    <i>
      <x v="112"/>
    </i>
    <i>
      <x v="123"/>
    </i>
    <i>
      <x v="95"/>
    </i>
    <i>
      <x v="73"/>
    </i>
    <i>
      <x v="74"/>
    </i>
    <i>
      <x v="61"/>
    </i>
    <i>
      <x v="99"/>
    </i>
    <i>
      <x v="45"/>
    </i>
    <i>
      <x v="8"/>
    </i>
    <i>
      <x v="67"/>
    </i>
    <i>
      <x v="49"/>
    </i>
    <i>
      <x v="31"/>
    </i>
    <i>
      <x v="15"/>
    </i>
    <i>
      <x v="1"/>
    </i>
    <i>
      <x v="44"/>
    </i>
    <i>
      <x v="17"/>
    </i>
    <i>
      <x v="55"/>
    </i>
    <i t="grand">
      <x/>
    </i>
  </rowItems>
  <colFields count="1">
    <field x="1"/>
  </colFields>
  <colItems count="6">
    <i>
      <x/>
    </i>
    <i>
      <x v="6"/>
    </i>
    <i>
      <x v="14"/>
    </i>
    <i>
      <x v="21"/>
    </i>
    <i>
      <x v="25"/>
    </i>
    <i t="grand">
      <x/>
    </i>
  </colItems>
  <dataFields count="1">
    <dataField name="Count of MACHINERY_PART_ID" fld="2" subtotal="count" baseField="4" baseItem="0"/>
  </dataFields>
  <formats count="11">
    <format dxfId="21">
      <pivotArea outline="0" collapsedLevelsAreSubtotals="1" fieldPosition="0"/>
    </format>
    <format dxfId="20">
      <pivotArea field="1" type="button" dataOnly="0" labelOnly="1" outline="0" axis="axisCol" fieldPosition="0"/>
    </format>
    <format dxfId="19">
      <pivotArea type="topRight" dataOnly="0" labelOnly="1" outline="0" fieldPosition="0"/>
    </format>
    <format dxfId="18">
      <pivotArea dataOnly="0" labelOnly="1" fieldPosition="0">
        <references count="1">
          <reference field="1" count="0"/>
        </references>
      </pivotArea>
    </format>
    <format dxfId="17">
      <pivotArea dataOnly="0" labelOnly="1" grandCol="1" outline="0" fieldPosition="0"/>
    </format>
    <format dxfId="16">
      <pivotArea collapsedLevelsAreSubtotals="1" fieldPosition="0">
        <references count="1">
          <reference field="4" count="26">
            <x v="1"/>
            <x v="8"/>
            <x v="15"/>
            <x v="16"/>
            <x v="17"/>
            <x v="26"/>
            <x v="31"/>
            <x v="38"/>
            <x v="39"/>
            <x v="45"/>
            <x v="49"/>
            <x v="52"/>
            <x v="55"/>
            <x v="57"/>
            <x v="67"/>
            <x v="73"/>
            <x v="74"/>
            <x v="86"/>
            <x v="87"/>
            <x v="88"/>
            <x v="91"/>
            <x v="95"/>
            <x v="112"/>
            <x v="113"/>
            <x v="118"/>
            <x v="123"/>
          </reference>
        </references>
      </pivotArea>
    </format>
    <format dxfId="15">
      <pivotArea outline="0" collapsedLevelsAreSubtotals="1" fieldPosition="0"/>
    </format>
    <format dxfId="14">
      <pivotArea collapsedLevelsAreSubtotals="1" fieldPosition="0">
        <references count="1">
          <reference field="4" count="29">
            <x v="1"/>
            <x v="8"/>
            <x v="15"/>
            <x v="16"/>
            <x v="26"/>
            <x v="31"/>
            <x v="38"/>
            <x v="39"/>
            <x v="44"/>
            <x v="45"/>
            <x v="49"/>
            <x v="52"/>
            <x v="55"/>
            <x v="57"/>
            <x v="61"/>
            <x v="67"/>
            <x v="73"/>
            <x v="74"/>
            <x v="86"/>
            <x v="87"/>
            <x v="88"/>
            <x v="91"/>
            <x v="95"/>
            <x v="99"/>
            <x v="101"/>
            <x v="112"/>
            <x v="113"/>
            <x v="118"/>
            <x v="123"/>
          </reference>
        </references>
      </pivotArea>
    </format>
    <format dxfId="13">
      <pivotArea grandRow="1" outline="0" collapsedLevelsAreSubtotals="1" fieldPosition="0"/>
    </format>
    <format dxfId="12">
      <pivotArea grandRow="1" outline="0" collapsedLevelsAreSubtotals="1" fieldPosition="0"/>
    </format>
    <format dxfId="11">
      <pivotArea dataOnly="0" labelOnly="1" grandRow="1" outline="0" fieldPosition="0"/>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38" displayName="Table38" ref="C2:O15" totalsRowShown="0">
  <autoFilter ref="C2:O15"/>
  <tableColumns count="13">
    <tableColumn id="1" name="SHIP_NAME"/>
    <tableColumn id="2" name="SHIP_CODE"/>
    <tableColumn id="3" name="JOB_TITLE"/>
    <tableColumn id="4" name="EQUIPMENT_NAME"/>
    <tableColumn id="5" name="JOB_TYPE"/>
    <tableColumn id="6" name="CRITICALITY"/>
    <tableColumn id="7" name="PRIORITY"/>
    <tableColumn id="8" name="JOB_CATEGORY"/>
    <tableColumn id="9" name="SHIP_TYPE"/>
    <tableColumn id="10" name="EQUIPMENT_NAME2"/>
    <tableColumn id="11" name="EQUIP_NAME_FWD"/>
    <tableColumn id="12" name="SUBSTRING_INDEX(`rpt_equipment`.`EQUIP_NAME_FWD`, &quot;*&quot;, 1)"/>
    <tableColumn id="13" name="IF(`rpt_standard_job`.`JOB_CATEGORY` IN (&quot;To Be Written&quot;,&quot;To Be Captured&quot;) ,&quot;Identified&quot; ,&quot;Complete&quot; )"/>
  </tableColumns>
  <tableStyleInfo name="TableStyleMedium2" showFirstColumn="0" showLastColumn="0" showRowStripes="1" showColumnStripes="0"/>
</table>
</file>

<file path=xl/tables/table2.xml><?xml version="1.0" encoding="utf-8"?>
<table xmlns="http://schemas.openxmlformats.org/spreadsheetml/2006/main" id="2" name="Table39" displayName="Table39" ref="C2:O5" totalsRowShown="0">
  <autoFilter ref="C2:O5"/>
  <tableColumns count="13">
    <tableColumn id="1" name="SHIP_CODE"/>
    <tableColumn id="2" name="SHIP_NAME"/>
    <tableColumn id="3" name="MACHINERY_PART_ID"/>
    <tableColumn id="4" name="PART_HIEARCHICAL_NAME_FW"/>
    <tableColumn id="5" name="SUBSTRING_INDEX(rpt_part.part_hiearchical_name_fw, &quot;*&quot;, 1)"/>
    <tableColumn id="6" name="CRITICAL"/>
    <tableColumn id="7" name="MIN_LEVEL"/>
    <tableColumn id="10" name="QTY_ON_HAND"/>
    <tableColumn id="8" name="PART_NAME"/>
    <tableColumn id="9" name="PART_HIEARCHICAL_NAME_FW2"/>
    <tableColumn id="11" name="PART_NUMBER"/>
    <tableColumn id="12" name="PARTNUMBER_REFERENCE"/>
    <tableColumn id="13" name="COUNT(`OWNER_EQUIPMENT_ID`)"/>
  </tableColumns>
  <tableStyleInfo name="TableStyleMedium2" showFirstColumn="0" showLastColumn="0" showRowStripes="1" showColumnStripes="0"/>
</table>
</file>

<file path=xl/tables/table3.xml><?xml version="1.0" encoding="utf-8"?>
<table xmlns="http://schemas.openxmlformats.org/spreadsheetml/2006/main" id="3" name="Table40" displayName="Table40" ref="C2:O13" totalsRowShown="0">
  <autoFilter ref="C2:O13"/>
  <tableColumns count="13">
    <tableColumn id="1" name="SHIP_NAME"/>
    <tableColumn id="2" name="SHIP_CODE"/>
    <tableColumn id="3" name="JOB_TITLE"/>
    <tableColumn id="4" name="EQUIPMENT_NAME"/>
    <tableColumn id="5" name="JOB_TYPE"/>
    <tableColumn id="6" name="CRITICALITY"/>
    <tableColumn id="7" name="PRIORITY"/>
    <tableColumn id="8" name="JOB_CATEGORY"/>
    <tableColumn id="9" name="SHIP_TYPE"/>
    <tableColumn id="10" name="EQUIPMENT_NAME2"/>
    <tableColumn id="11" name="EQUIP_NAME_FWD"/>
    <tableColumn id="12" name="SUBSTRING_INDEX(`rpt_equipment`.`EQUIP_NAME_FWD`, &quot;*&quot;, 1)"/>
    <tableColumn id="13" name="IF(`rpt_standard_job`.`JOB_CATEGORY` IN (&quot;To Be Written&quot;,&quot;To Be Captured&quot;) ,&quot;Identified&quot; ,&quot;Complete&quot; )"/>
  </tableColumns>
  <tableStyleInfo name="TableStyleMedium2" showFirstColumn="0" showLastColumn="0" showRowStripes="1" showColumnStripes="0"/>
</table>
</file>

<file path=xl/tables/table4.xml><?xml version="1.0" encoding="utf-8"?>
<table xmlns="http://schemas.openxmlformats.org/spreadsheetml/2006/main" id="4" name="Table41" displayName="Table41" ref="C2:O5" totalsRowShown="0">
  <autoFilter ref="C2:O5"/>
  <tableColumns count="13">
    <tableColumn id="1" name="SHIP_CODE"/>
    <tableColumn id="2" name="SHIP_NAME"/>
    <tableColumn id="3" name="MACHINERY_PART_ID"/>
    <tableColumn id="4" name="PART_HIEARCHICAL_NAME_FW"/>
    <tableColumn id="5" name="SUBSTRING_INDEX(rpt_part.part_hiearchical_name_fw, &quot;*&quot;, 1)"/>
    <tableColumn id="6" name="CRITICAL"/>
    <tableColumn id="7" name="MIN_LEVEL"/>
    <tableColumn id="10" name="QTY_ON_HAND"/>
    <tableColumn id="8" name="PART_NAME"/>
    <tableColumn id="9" name="PART_HIEARCHICAL_NAME_FW2"/>
    <tableColumn id="11" name="PART_NUMBER"/>
    <tableColumn id="12" name="PARTNUMBER_REFERENCE"/>
    <tableColumn id="13" name="COUNT(`OWNER_EQUIPMENT_ID`)"/>
  </tableColumns>
  <tableStyleInfo name="TableStyleMedium2" showFirstColumn="0" showLastColumn="0" showRowStripes="1" showColumnStripes="0"/>
</table>
</file>

<file path=xl/tables/table5.xml><?xml version="1.0" encoding="utf-8"?>
<table xmlns="http://schemas.openxmlformats.org/spreadsheetml/2006/main" id="5" name="Table386" displayName="Table386" ref="C2:O35" totalsRowShown="0">
  <autoFilter ref="C2:O35"/>
  <tableColumns count="13">
    <tableColumn id="1" name="SHIP_NAME"/>
    <tableColumn id="2" name="SHIP_CODE"/>
    <tableColumn id="3" name="JOB_TITLE"/>
    <tableColumn id="4" name="EQUIPMENT_NAME"/>
    <tableColumn id="5" name="JOB_TYPE"/>
    <tableColumn id="6" name="CRITICALITY"/>
    <tableColumn id="7" name="PRIORITY"/>
    <tableColumn id="8" name="JOB_CATEGORY"/>
    <tableColumn id="9" name="SHIP_TYPE"/>
    <tableColumn id="10" name="EQUIPMENT_NAME2"/>
    <tableColumn id="11" name="EQUIP_NAME_FWD"/>
    <tableColumn id="12" name="SUBSTRING_INDEX(`rpt_equipment`.`EQUIP_NAME_FWD`, &quot;*&quot;, 1)"/>
    <tableColumn id="13" name="IF(`rpt_standard_job`.`JOB_CATEGORY` IN (&quot;To Be Written&quot;,&quot;To Be Captured&quot;) ,&quot;Identified&quot; ,&quot;Complete&quot; )"/>
  </tableColumns>
  <tableStyleInfo name="TableStyleMedium2" showFirstColumn="0" showLastColumn="0" showRowStripes="1" showColumnStripes="0"/>
</table>
</file>

<file path=xl/tables/table6.xml><?xml version="1.0" encoding="utf-8"?>
<table xmlns="http://schemas.openxmlformats.org/spreadsheetml/2006/main" id="6" name="Table397" displayName="Table397" ref="C2:O10" totalsRowShown="0">
  <autoFilter ref="C2:O10"/>
  <tableColumns count="13">
    <tableColumn id="1" name="SHIP_CODE"/>
    <tableColumn id="2" name="SHIP_NAME"/>
    <tableColumn id="3" name="MACHINERY_PART_ID"/>
    <tableColumn id="4" name="PART_HIEARCHICAL_NAME_FW"/>
    <tableColumn id="5" name="SUBSTRING_INDEX(rpt_part.part_hiearchical_name_fw, &quot;*&quot;, 1)"/>
    <tableColumn id="6" name="CRITICAL"/>
    <tableColumn id="7" name="MIN_LEVEL"/>
    <tableColumn id="10" name="QTY_ON_HAND"/>
    <tableColumn id="8" name="PART_NAME"/>
    <tableColumn id="9" name="PART_HIEARCHICAL_NAME_FW2"/>
    <tableColumn id="11" name="PART_NUMBER"/>
    <tableColumn id="12" name="PARTNUMBER_REFERENCE"/>
    <tableColumn id="13" name="COUNT(`OWNER_EQUIPMENT_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2" tint="-0.249977111117893"/>
  </sheetPr>
  <dimension ref="A1:D22"/>
  <sheetViews>
    <sheetView topLeftCell="A9" zoomScale="130" zoomScaleNormal="130" workbookViewId="0">
      <selection activeCell="B22" sqref="B22"/>
    </sheetView>
  </sheetViews>
  <sheetFormatPr defaultRowHeight="14.5" x14ac:dyDescent="0.35"/>
  <cols>
    <col min="1" max="1" width="3.26953125" style="1" bestFit="1" customWidth="1"/>
    <col min="2" max="2" width="43.453125" style="85" customWidth="1"/>
    <col min="3" max="3" width="56.1796875" bestFit="1" customWidth="1"/>
  </cols>
  <sheetData>
    <row r="1" spans="1:3" x14ac:dyDescent="0.35">
      <c r="A1" s="101">
        <v>1</v>
      </c>
      <c r="B1" s="48" t="s">
        <v>175</v>
      </c>
    </row>
    <row r="2" spans="1:3" x14ac:dyDescent="0.35">
      <c r="A2" s="102">
        <v>2</v>
      </c>
      <c r="B2" s="84" t="s">
        <v>5</v>
      </c>
    </row>
    <row r="3" spans="1:3" x14ac:dyDescent="0.35">
      <c r="A3" s="102">
        <v>3</v>
      </c>
      <c r="B3" s="84" t="s">
        <v>236</v>
      </c>
    </row>
    <row r="4" spans="1:3" x14ac:dyDescent="0.35">
      <c r="A4" s="102">
        <v>4</v>
      </c>
      <c r="B4" s="84" t="s">
        <v>181</v>
      </c>
    </row>
    <row r="5" spans="1:3" x14ac:dyDescent="0.35">
      <c r="A5" s="74"/>
      <c r="B5" s="115" t="s">
        <v>182</v>
      </c>
      <c r="C5" s="115" t="s">
        <v>180</v>
      </c>
    </row>
    <row r="6" spans="1:3" x14ac:dyDescent="0.35">
      <c r="A6" s="74"/>
      <c r="B6" s="100" t="str">
        <f>"      a. "&amp;Data!L75&amp;" System:  "&amp;Data!J75&amp;" Delays"</f>
        <v xml:space="preserve">      a. Generators System:  12 Delays</v>
      </c>
      <c r="C6" t="s">
        <v>385</v>
      </c>
    </row>
    <row r="7" spans="1:3" x14ac:dyDescent="0.35">
      <c r="A7" s="103">
        <v>5</v>
      </c>
      <c r="B7" s="98" t="s">
        <v>386</v>
      </c>
    </row>
    <row r="8" spans="1:3" x14ac:dyDescent="0.35">
      <c r="A8" s="104">
        <v>6</v>
      </c>
      <c r="B8" s="98" t="s">
        <v>387</v>
      </c>
    </row>
    <row r="9" spans="1:3" x14ac:dyDescent="0.35">
      <c r="A9" s="74"/>
      <c r="B9" s="100" t="str">
        <f>"      b. "&amp;Data!L76&amp;":  "&amp;Data!J76&amp;" Delays"</f>
        <v xml:space="preserve">      b. Swing System:  43 Delays</v>
      </c>
      <c r="C9" t="s">
        <v>296</v>
      </c>
    </row>
    <row r="10" spans="1:3" x14ac:dyDescent="0.35">
      <c r="A10" s="103">
        <v>7</v>
      </c>
      <c r="B10" s="98" t="s">
        <v>388</v>
      </c>
    </row>
    <row r="11" spans="1:3" x14ac:dyDescent="0.35">
      <c r="A11" s="104">
        <v>8</v>
      </c>
      <c r="B11" s="98" t="s">
        <v>389</v>
      </c>
    </row>
    <row r="12" spans="1:3" x14ac:dyDescent="0.35">
      <c r="A12" s="74"/>
      <c r="B12" s="100" t="str">
        <f>"      c. "&amp;Data!L77&amp;" System:  "&amp;Data!J77&amp;" Delays"</f>
        <v xml:space="preserve">      c. Main Pump System:  2 Delays</v>
      </c>
      <c r="C12" t="s">
        <v>390</v>
      </c>
    </row>
    <row r="13" spans="1:3" x14ac:dyDescent="0.35">
      <c r="A13" s="103">
        <v>9</v>
      </c>
      <c r="B13" s="98" t="s">
        <v>391</v>
      </c>
    </row>
    <row r="14" spans="1:3" x14ac:dyDescent="0.35">
      <c r="A14" s="104">
        <v>10</v>
      </c>
      <c r="B14" s="98" t="s">
        <v>392</v>
      </c>
    </row>
    <row r="15" spans="1:3" ht="14.25" customHeight="1" x14ac:dyDescent="0.35">
      <c r="A15" s="105">
        <v>11</v>
      </c>
      <c r="B15" s="86" t="s">
        <v>393</v>
      </c>
    </row>
    <row r="16" spans="1:3" x14ac:dyDescent="0.35">
      <c r="A16" s="106">
        <v>12</v>
      </c>
      <c r="B16" s="86" t="s">
        <v>394</v>
      </c>
    </row>
    <row r="17" spans="1:4" ht="12.75" customHeight="1" x14ac:dyDescent="0.35">
      <c r="A17" s="107">
        <v>13</v>
      </c>
      <c r="B17" s="87" t="s">
        <v>176</v>
      </c>
      <c r="C17" s="4"/>
      <c r="D17" s="4"/>
    </row>
    <row r="18" spans="1:4" ht="12.75" customHeight="1" x14ac:dyDescent="0.35">
      <c r="A18" s="107">
        <v>14</v>
      </c>
      <c r="B18" s="87" t="s">
        <v>177</v>
      </c>
      <c r="C18" s="4"/>
      <c r="D18" s="4"/>
    </row>
    <row r="19" spans="1:4" ht="12.75" customHeight="1" x14ac:dyDescent="0.35">
      <c r="A19" s="107">
        <v>15</v>
      </c>
      <c r="B19" s="87" t="s">
        <v>178</v>
      </c>
      <c r="C19" s="4"/>
      <c r="D19" s="4"/>
    </row>
    <row r="20" spans="1:4" x14ac:dyDescent="0.35">
      <c r="A20" s="108">
        <v>16</v>
      </c>
      <c r="B20" s="86" t="s">
        <v>32</v>
      </c>
    </row>
    <row r="21" spans="1:4" x14ac:dyDescent="0.35">
      <c r="A21" s="1">
        <v>17</v>
      </c>
      <c r="B21" s="211" t="s">
        <v>1515</v>
      </c>
    </row>
    <row r="22" spans="1:4" x14ac:dyDescent="0.35">
      <c r="B22" s="100"/>
    </row>
  </sheetData>
  <hyperlinks>
    <hyperlink ref="B2" location="Pareto!A1" display="Pareto with top 20 % of Delays by hrs"/>
    <hyperlink ref="B3" location="'Delay Log Appendix A'!A1" display="Delay Log Apendix A &quot;HYDRAULIC DIV&quot;"/>
    <hyperlink ref="B4" location="Data!A1" display="Electronic Delay Log and NS ENTERPRISE Data"/>
    <hyperlink ref="B15" location="'HYD DIV SJ BY SYSTEM'!A1" display="HYD DIV SJ By System"/>
    <hyperlink ref="B16" location="'HYD DIV Critical Parts by SYS'!A1" display="HYD DIV Critcal Parts By System"/>
    <hyperlink ref="B17" location="'MCIA Cases'!A1" display="MCIA/Root Causes/ Corrective Actions"/>
    <hyperlink ref="B20" location="'Summary Recommendations'!A1" display="Summary/Recomendations By System"/>
    <hyperlink ref="B19" location="'MCIA CA'!A1" display="MCIA - Corrective Actions"/>
    <hyperlink ref="B18" location="'MCIA Root Causes'!A1" display="MCIA - Root Causes"/>
    <hyperlink ref="B7" location="'Gen System SJ'!A1" display="Generator Systems Standard Jobs"/>
    <hyperlink ref="B10" location="'Swing System SJ'!A1" display="Swing System Standard Jobs"/>
    <hyperlink ref="B11" location="'Swing System Parts'!A1" display="Swing Systems Critical Spares"/>
    <hyperlink ref="B13" location="'Main Pump System SJ'!A1" display="Main Pump System Standard Jobs"/>
    <hyperlink ref="B14" location="'Main Pump System Parts'!A1" display="Main Pump System Critical Spares"/>
    <hyperlink ref="B8" location="'Gen System Parts'!A1" display="Generator Systems Critical Spare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4" tint="0.39997558519241921"/>
  </sheetPr>
  <dimension ref="B1:Y235"/>
  <sheetViews>
    <sheetView workbookViewId="0">
      <selection activeCell="U1" sqref="U1"/>
    </sheetView>
  </sheetViews>
  <sheetFormatPr defaultRowHeight="14.5" x14ac:dyDescent="0.35"/>
  <cols>
    <col min="1" max="1" width="2.81640625" customWidth="1"/>
    <col min="2" max="2" width="14" customWidth="1"/>
    <col min="3" max="3" width="27" hidden="1" customWidth="1"/>
    <col min="4" max="4" width="20.26953125" hidden="1" customWidth="1"/>
    <col min="5" max="5" width="38.1796875" bestFit="1" customWidth="1"/>
    <col min="6" max="6" width="6.26953125" hidden="1" customWidth="1"/>
    <col min="7" max="7" width="10.1796875" hidden="1" customWidth="1"/>
    <col min="8" max="8" width="7.54296875" style="127" hidden="1" customWidth="1"/>
    <col min="9" max="9" width="6.26953125" hidden="1" customWidth="1"/>
    <col min="10" max="10" width="10.1796875" hidden="1" customWidth="1"/>
    <col min="11" max="11" width="7.54296875" style="127" hidden="1" customWidth="1"/>
    <col min="12" max="12" width="6.26953125" hidden="1" customWidth="1"/>
    <col min="13" max="13" width="10.1796875" hidden="1" customWidth="1"/>
    <col min="14" max="14" width="7.54296875" style="127" hidden="1" customWidth="1"/>
    <col min="15" max="15" width="6.26953125" hidden="1" customWidth="1"/>
    <col min="16" max="16" width="10.1796875" hidden="1" customWidth="1"/>
    <col min="17" max="17" width="7.54296875" style="127" hidden="1" customWidth="1"/>
    <col min="18" max="18" width="6.26953125" hidden="1" customWidth="1"/>
    <col min="19" max="19" width="10.1796875" hidden="1" customWidth="1"/>
    <col min="20" max="20" width="7.54296875" style="127" hidden="1" customWidth="1"/>
    <col min="21" max="21" width="6.26953125" bestFit="1" customWidth="1"/>
    <col min="22" max="22" width="12" bestFit="1" customWidth="1"/>
    <col min="23" max="23" width="7.54296875" bestFit="1" customWidth="1"/>
    <col min="24" max="24" width="4.1796875" customWidth="1"/>
    <col min="25" max="25" width="26.81640625" bestFit="1" customWidth="1"/>
  </cols>
  <sheetData>
    <row r="1" spans="2:25" x14ac:dyDescent="0.35">
      <c r="F1" s="103"/>
      <c r="G1" s="103" t="s">
        <v>157</v>
      </c>
      <c r="H1" s="135"/>
      <c r="I1" s="136"/>
      <c r="J1" s="136" t="s">
        <v>158</v>
      </c>
      <c r="K1" s="137"/>
      <c r="L1" s="107"/>
      <c r="M1" s="107" t="s">
        <v>159</v>
      </c>
      <c r="N1" s="138"/>
      <c r="O1" s="139"/>
      <c r="P1" s="139" t="s">
        <v>160</v>
      </c>
      <c r="Q1" s="140"/>
      <c r="R1" s="141"/>
      <c r="S1" s="141" t="s">
        <v>161</v>
      </c>
      <c r="T1" s="142"/>
    </row>
    <row r="2" spans="2:25" x14ac:dyDescent="0.35">
      <c r="B2" s="178" t="s">
        <v>17</v>
      </c>
      <c r="F2" s="103"/>
      <c r="G2" s="103">
        <v>0</v>
      </c>
      <c r="H2" s="135"/>
      <c r="I2" s="136"/>
      <c r="J2" s="136" t="s">
        <v>238</v>
      </c>
      <c r="K2" s="137"/>
      <c r="L2" s="107"/>
      <c r="M2" s="107" t="s">
        <v>239</v>
      </c>
      <c r="N2" s="138"/>
      <c r="O2" s="139"/>
      <c r="P2" s="139" t="s">
        <v>240</v>
      </c>
      <c r="Q2" s="140"/>
      <c r="R2" s="141"/>
      <c r="S2" s="141" t="s">
        <v>241</v>
      </c>
      <c r="T2" s="142"/>
      <c r="V2" s="154"/>
      <c r="Y2" t="s">
        <v>233</v>
      </c>
    </row>
    <row r="3" spans="2:25" x14ac:dyDescent="0.35">
      <c r="E3" s="4" t="s">
        <v>20</v>
      </c>
      <c r="F3" s="1"/>
      <c r="G3" s="72">
        <v>43738</v>
      </c>
      <c r="H3" s="8"/>
      <c r="I3" s="1"/>
      <c r="J3" s="72">
        <v>43739</v>
      </c>
      <c r="K3" s="8"/>
      <c r="L3" s="1"/>
      <c r="M3" s="72">
        <v>43862</v>
      </c>
      <c r="N3" s="8"/>
      <c r="O3" s="1"/>
      <c r="P3" s="72">
        <v>44166</v>
      </c>
      <c r="Q3" s="8"/>
      <c r="R3" s="1"/>
      <c r="S3" s="72">
        <v>44209</v>
      </c>
      <c r="V3" s="155">
        <v>43739</v>
      </c>
      <c r="Y3" s="109" t="s">
        <v>179</v>
      </c>
    </row>
    <row r="4" spans="2:25" ht="15" thickBot="1" x14ac:dyDescent="0.4">
      <c r="E4" s="4" t="s">
        <v>21</v>
      </c>
      <c r="F4" s="1"/>
      <c r="G4" s="72">
        <v>43738</v>
      </c>
      <c r="H4" s="8"/>
      <c r="I4" s="1"/>
      <c r="J4" s="72">
        <v>43861</v>
      </c>
      <c r="K4" s="8"/>
      <c r="L4" s="1"/>
      <c r="M4" s="72">
        <v>44165</v>
      </c>
      <c r="N4" s="8"/>
      <c r="O4" s="1"/>
      <c r="P4" s="72">
        <v>44208</v>
      </c>
      <c r="Q4" s="8"/>
      <c r="R4" s="1"/>
      <c r="S4" s="72">
        <v>44347</v>
      </c>
      <c r="T4" s="8"/>
      <c r="U4" s="1"/>
      <c r="V4" s="72">
        <v>44347</v>
      </c>
      <c r="Y4" s="88" t="s">
        <v>167</v>
      </c>
    </row>
    <row r="5" spans="2:25" x14ac:dyDescent="0.35">
      <c r="C5" s="9"/>
      <c r="D5" s="9"/>
      <c r="E5" s="9"/>
      <c r="F5" s="228" t="s">
        <v>237</v>
      </c>
      <c r="G5" s="229"/>
      <c r="H5" s="230"/>
      <c r="I5" s="228" t="s">
        <v>237</v>
      </c>
      <c r="J5" s="229"/>
      <c r="K5" s="230"/>
      <c r="L5" s="228" t="s">
        <v>237</v>
      </c>
      <c r="M5" s="229"/>
      <c r="N5" s="230"/>
      <c r="O5" s="228" t="s">
        <v>237</v>
      </c>
      <c r="P5" s="229"/>
      <c r="Q5" s="230"/>
      <c r="R5" s="228" t="s">
        <v>237</v>
      </c>
      <c r="S5" s="229"/>
      <c r="T5" s="230"/>
      <c r="U5" s="228" t="s">
        <v>118</v>
      </c>
      <c r="V5" s="229"/>
      <c r="W5" s="230"/>
      <c r="Y5" s="89" t="s">
        <v>168</v>
      </c>
    </row>
    <row r="6" spans="2:25" ht="15" thickBot="1" x14ac:dyDescent="0.4">
      <c r="C6" s="128" t="s">
        <v>22</v>
      </c>
      <c r="D6" s="128" t="s">
        <v>23</v>
      </c>
      <c r="E6" s="10" t="s">
        <v>24</v>
      </c>
      <c r="F6" s="11" t="s">
        <v>25</v>
      </c>
      <c r="G6" s="12" t="s">
        <v>1</v>
      </c>
      <c r="H6" s="13" t="s">
        <v>26</v>
      </c>
      <c r="I6" s="11" t="s">
        <v>25</v>
      </c>
      <c r="J6" s="12" t="s">
        <v>1</v>
      </c>
      <c r="K6" s="13" t="s">
        <v>26</v>
      </c>
      <c r="L6" s="11" t="s">
        <v>25</v>
      </c>
      <c r="M6" s="12" t="s">
        <v>1</v>
      </c>
      <c r="N6" s="13" t="s">
        <v>26</v>
      </c>
      <c r="O6" s="11" t="s">
        <v>25</v>
      </c>
      <c r="P6" s="12" t="s">
        <v>1</v>
      </c>
      <c r="Q6" s="13" t="s">
        <v>26</v>
      </c>
      <c r="R6" s="11" t="s">
        <v>25</v>
      </c>
      <c r="S6" s="12" t="s">
        <v>1</v>
      </c>
      <c r="T6" s="13" t="s">
        <v>26</v>
      </c>
      <c r="U6" s="11" t="s">
        <v>25</v>
      </c>
      <c r="V6" s="12" t="s">
        <v>1</v>
      </c>
      <c r="W6" s="13" t="s">
        <v>26</v>
      </c>
      <c r="Y6" s="110"/>
    </row>
    <row r="7" spans="2:25" hidden="1" x14ac:dyDescent="0.35">
      <c r="C7" s="129" t="s">
        <v>223</v>
      </c>
      <c r="D7" s="129" t="s">
        <v>183</v>
      </c>
      <c r="E7" s="130" t="s">
        <v>230</v>
      </c>
      <c r="F7" s="73" t="s">
        <v>27</v>
      </c>
      <c r="G7" s="24" t="s">
        <v>27</v>
      </c>
      <c r="H7" s="14" t="s">
        <v>28</v>
      </c>
      <c r="I7" s="73" t="s">
        <v>27</v>
      </c>
      <c r="J7" s="24" t="s">
        <v>27</v>
      </c>
      <c r="K7" s="14" t="s">
        <v>28</v>
      </c>
      <c r="L7" s="156" t="s">
        <v>27</v>
      </c>
      <c r="M7" s="24" t="s">
        <v>27</v>
      </c>
      <c r="N7" s="14" t="s">
        <v>28</v>
      </c>
      <c r="O7" s="156" t="s">
        <v>27</v>
      </c>
      <c r="P7" s="24" t="s">
        <v>27</v>
      </c>
      <c r="Q7" s="14" t="s">
        <v>28</v>
      </c>
      <c r="R7" s="156" t="s">
        <v>27</v>
      </c>
      <c r="S7" s="24" t="s">
        <v>27</v>
      </c>
      <c r="T7" s="14" t="s">
        <v>28</v>
      </c>
      <c r="U7" s="156" t="s">
        <v>27</v>
      </c>
      <c r="V7" s="24" t="s">
        <v>27</v>
      </c>
      <c r="W7" s="14" t="s">
        <v>28</v>
      </c>
    </row>
    <row r="8" spans="2:25" s="9" customFormat="1" hidden="1" x14ac:dyDescent="0.35">
      <c r="C8" s="129" t="s">
        <v>223</v>
      </c>
      <c r="D8" s="129" t="s">
        <v>242</v>
      </c>
      <c r="E8" s="130" t="s">
        <v>298</v>
      </c>
      <c r="F8" s="15" t="s">
        <v>27</v>
      </c>
      <c r="G8" s="24" t="s">
        <v>27</v>
      </c>
      <c r="H8" s="14" t="s">
        <v>28</v>
      </c>
      <c r="I8" s="15" t="s">
        <v>27</v>
      </c>
      <c r="J8" s="24" t="s">
        <v>27</v>
      </c>
      <c r="K8" s="14" t="s">
        <v>28</v>
      </c>
      <c r="L8" s="156" t="s">
        <v>27</v>
      </c>
      <c r="M8" s="24" t="s">
        <v>27</v>
      </c>
      <c r="N8" s="14" t="s">
        <v>28</v>
      </c>
      <c r="O8" s="156" t="s">
        <v>27</v>
      </c>
      <c r="P8" s="24" t="s">
        <v>27</v>
      </c>
      <c r="Q8" s="157" t="s">
        <v>28</v>
      </c>
      <c r="R8" s="156" t="s">
        <v>27</v>
      </c>
      <c r="S8" s="24" t="s">
        <v>27</v>
      </c>
      <c r="T8" s="14" t="s">
        <v>28</v>
      </c>
      <c r="U8" s="156" t="s">
        <v>27</v>
      </c>
      <c r="V8" s="24" t="s">
        <v>27</v>
      </c>
      <c r="W8" s="14" t="s">
        <v>28</v>
      </c>
      <c r="Y8"/>
    </row>
    <row r="9" spans="2:25" s="9" customFormat="1" hidden="1" x14ac:dyDescent="0.35">
      <c r="C9" s="129" t="s">
        <v>223</v>
      </c>
      <c r="D9" s="129" t="s">
        <v>243</v>
      </c>
      <c r="E9" s="130" t="s">
        <v>299</v>
      </c>
      <c r="F9" s="15" t="s">
        <v>27</v>
      </c>
      <c r="G9" s="24" t="s">
        <v>27</v>
      </c>
      <c r="H9" s="14" t="s">
        <v>28</v>
      </c>
      <c r="I9" s="15" t="s">
        <v>27</v>
      </c>
      <c r="J9" s="24" t="s">
        <v>27</v>
      </c>
      <c r="K9" s="14" t="s">
        <v>28</v>
      </c>
      <c r="L9" s="156" t="s">
        <v>27</v>
      </c>
      <c r="M9" s="24" t="s">
        <v>27</v>
      </c>
      <c r="N9" s="14" t="s">
        <v>28</v>
      </c>
      <c r="O9" s="156" t="s">
        <v>27</v>
      </c>
      <c r="P9" s="24" t="s">
        <v>27</v>
      </c>
      <c r="Q9" s="157" t="s">
        <v>28</v>
      </c>
      <c r="R9" s="156" t="s">
        <v>27</v>
      </c>
      <c r="S9" s="24" t="s">
        <v>27</v>
      </c>
      <c r="T9" s="14" t="s">
        <v>28</v>
      </c>
      <c r="U9" s="156" t="s">
        <v>27</v>
      </c>
      <c r="V9" s="24" t="s">
        <v>27</v>
      </c>
      <c r="W9" s="14" t="s">
        <v>28</v>
      </c>
      <c r="Y9"/>
    </row>
    <row r="10" spans="2:25" s="9" customFormat="1" x14ac:dyDescent="0.35">
      <c r="C10" s="129" t="s">
        <v>223</v>
      </c>
      <c r="D10" s="129" t="s">
        <v>224</v>
      </c>
      <c r="E10" s="130" t="s">
        <v>231</v>
      </c>
      <c r="F10" s="15" t="s">
        <v>27</v>
      </c>
      <c r="G10" s="24" t="s">
        <v>27</v>
      </c>
      <c r="H10" s="14" t="s">
        <v>28</v>
      </c>
      <c r="I10" s="15">
        <v>1</v>
      </c>
      <c r="J10" s="24">
        <v>2.0891666666138917</v>
      </c>
      <c r="K10" s="14">
        <v>4.6898793138956058E-3</v>
      </c>
      <c r="L10" s="156" t="s">
        <v>27</v>
      </c>
      <c r="M10" s="24" t="s">
        <v>27</v>
      </c>
      <c r="N10" s="14" t="s">
        <v>28</v>
      </c>
      <c r="O10" s="156" t="s">
        <v>27</v>
      </c>
      <c r="P10" s="24" t="s">
        <v>27</v>
      </c>
      <c r="Q10" s="157" t="s">
        <v>28</v>
      </c>
      <c r="R10" s="156" t="s">
        <v>27</v>
      </c>
      <c r="S10" s="24" t="s">
        <v>27</v>
      </c>
      <c r="T10" s="14" t="s">
        <v>28</v>
      </c>
      <c r="U10" s="15">
        <v>1</v>
      </c>
      <c r="V10" s="24">
        <v>2.0891666666138917</v>
      </c>
      <c r="W10" s="14">
        <v>2.5161941734452181E-3</v>
      </c>
    </row>
    <row r="11" spans="2:25" hidden="1" x14ac:dyDescent="0.35">
      <c r="C11" s="129" t="s">
        <v>223</v>
      </c>
      <c r="D11" s="129" t="s">
        <v>184</v>
      </c>
      <c r="E11" s="130" t="s">
        <v>232</v>
      </c>
      <c r="F11" s="15" t="s">
        <v>27</v>
      </c>
      <c r="G11" s="24" t="s">
        <v>27</v>
      </c>
      <c r="H11" s="14" t="s">
        <v>28</v>
      </c>
      <c r="I11" s="15" t="s">
        <v>27</v>
      </c>
      <c r="J11" s="24" t="s">
        <v>27</v>
      </c>
      <c r="K11" s="14" t="s">
        <v>28</v>
      </c>
      <c r="L11" s="156" t="s">
        <v>27</v>
      </c>
      <c r="M11" s="24" t="s">
        <v>27</v>
      </c>
      <c r="N11" s="14" t="s">
        <v>28</v>
      </c>
      <c r="O11" s="156" t="s">
        <v>27</v>
      </c>
      <c r="P11" s="24" t="s">
        <v>27</v>
      </c>
      <c r="Q11" s="14" t="s">
        <v>28</v>
      </c>
      <c r="R11" s="156" t="s">
        <v>27</v>
      </c>
      <c r="S11" s="24" t="s">
        <v>27</v>
      </c>
      <c r="T11" s="14" t="s">
        <v>28</v>
      </c>
      <c r="U11" s="15" t="s">
        <v>27</v>
      </c>
      <c r="V11" s="24" t="s">
        <v>27</v>
      </c>
      <c r="W11" s="14" t="s">
        <v>28</v>
      </c>
    </row>
    <row r="12" spans="2:25" hidden="1" x14ac:dyDescent="0.35">
      <c r="C12" s="130" t="s">
        <v>223</v>
      </c>
      <c r="D12" s="130" t="s">
        <v>244</v>
      </c>
      <c r="E12" s="130" t="s">
        <v>300</v>
      </c>
      <c r="F12" s="15" t="s">
        <v>27</v>
      </c>
      <c r="G12" s="24" t="s">
        <v>27</v>
      </c>
      <c r="H12" s="14" t="s">
        <v>28</v>
      </c>
      <c r="I12" s="15" t="s">
        <v>27</v>
      </c>
      <c r="J12" s="24" t="s">
        <v>27</v>
      </c>
      <c r="K12" s="14" t="s">
        <v>28</v>
      </c>
      <c r="L12" s="156" t="s">
        <v>27</v>
      </c>
      <c r="M12" s="24" t="s">
        <v>27</v>
      </c>
      <c r="N12" s="14" t="s">
        <v>28</v>
      </c>
      <c r="O12" s="156" t="s">
        <v>27</v>
      </c>
      <c r="P12" s="24" t="s">
        <v>27</v>
      </c>
      <c r="Q12" s="14" t="s">
        <v>28</v>
      </c>
      <c r="R12" s="156" t="s">
        <v>27</v>
      </c>
      <c r="S12" s="24" t="s">
        <v>27</v>
      </c>
      <c r="T12" s="14" t="s">
        <v>28</v>
      </c>
      <c r="U12" s="15" t="s">
        <v>27</v>
      </c>
      <c r="V12" s="24" t="s">
        <v>27</v>
      </c>
      <c r="W12" s="14" t="s">
        <v>28</v>
      </c>
    </row>
    <row r="13" spans="2:25" hidden="1" x14ac:dyDescent="0.35">
      <c r="C13" s="132" t="s">
        <v>223</v>
      </c>
      <c r="D13" s="132" t="s">
        <v>245</v>
      </c>
      <c r="E13" s="132" t="s">
        <v>301</v>
      </c>
      <c r="F13" s="16" t="s">
        <v>27</v>
      </c>
      <c r="G13" s="25" t="s">
        <v>27</v>
      </c>
      <c r="H13" s="17" t="s">
        <v>28</v>
      </c>
      <c r="I13" s="16" t="s">
        <v>27</v>
      </c>
      <c r="J13" s="25" t="s">
        <v>27</v>
      </c>
      <c r="K13" s="17" t="s">
        <v>28</v>
      </c>
      <c r="L13" s="158" t="s">
        <v>27</v>
      </c>
      <c r="M13" s="25" t="s">
        <v>27</v>
      </c>
      <c r="N13" s="17" t="s">
        <v>28</v>
      </c>
      <c r="O13" s="158" t="s">
        <v>27</v>
      </c>
      <c r="P13" s="25" t="s">
        <v>27</v>
      </c>
      <c r="Q13" s="17" t="s">
        <v>28</v>
      </c>
      <c r="R13" s="158" t="s">
        <v>27</v>
      </c>
      <c r="S13" s="25" t="s">
        <v>27</v>
      </c>
      <c r="T13" s="17" t="s">
        <v>28</v>
      </c>
      <c r="U13" s="16" t="s">
        <v>27</v>
      </c>
      <c r="V13" s="25" t="s">
        <v>27</v>
      </c>
      <c r="W13" s="17" t="s">
        <v>28</v>
      </c>
    </row>
    <row r="14" spans="2:25" x14ac:dyDescent="0.35">
      <c r="C14" s="231" t="s">
        <v>225</v>
      </c>
      <c r="D14" s="231"/>
      <c r="E14" s="231"/>
      <c r="F14" s="150">
        <v>0</v>
      </c>
      <c r="G14" s="151">
        <v>0</v>
      </c>
      <c r="H14" s="152" t="e">
        <v>#DIV/0!</v>
      </c>
      <c r="I14" s="150">
        <v>1</v>
      </c>
      <c r="J14" s="151">
        <v>2.0891666666138917</v>
      </c>
      <c r="K14" s="152">
        <v>4.6898793138956058E-3</v>
      </c>
      <c r="L14" s="177">
        <v>0</v>
      </c>
      <c r="M14" s="151">
        <v>0</v>
      </c>
      <c r="N14" s="152">
        <v>0</v>
      </c>
      <c r="O14" s="177">
        <v>0</v>
      </c>
      <c r="P14" s="151">
        <v>0</v>
      </c>
      <c r="Q14" s="152">
        <v>0</v>
      </c>
      <c r="R14" s="177">
        <v>0</v>
      </c>
      <c r="S14" s="151">
        <v>0</v>
      </c>
      <c r="T14" s="152">
        <v>0</v>
      </c>
      <c r="U14" s="150">
        <v>1</v>
      </c>
      <c r="V14" s="151">
        <v>2.0891666666138917</v>
      </c>
      <c r="W14" s="28">
        <v>2.5161941734452181E-3</v>
      </c>
    </row>
    <row r="15" spans="2:25" ht="4.5" customHeight="1" x14ac:dyDescent="0.35">
      <c r="C15" s="133"/>
      <c r="D15" s="133"/>
      <c r="E15" s="133"/>
      <c r="F15" s="18"/>
      <c r="G15" s="26"/>
      <c r="H15" s="19"/>
      <c r="I15" s="18"/>
      <c r="J15" s="26"/>
      <c r="K15" s="19"/>
      <c r="L15" s="159"/>
      <c r="M15" s="26"/>
      <c r="N15" s="19"/>
      <c r="O15" s="159"/>
      <c r="P15" s="26"/>
      <c r="Q15" s="19"/>
      <c r="R15" s="159"/>
      <c r="S15" s="26"/>
      <c r="T15" s="19"/>
      <c r="U15" s="18"/>
      <c r="V15" s="26"/>
      <c r="W15" s="19"/>
    </row>
    <row r="16" spans="2:25" hidden="1" x14ac:dyDescent="0.35">
      <c r="C16" s="129" t="s">
        <v>246</v>
      </c>
      <c r="D16" s="129" t="s">
        <v>247</v>
      </c>
      <c r="E16" s="130" t="s">
        <v>302</v>
      </c>
      <c r="F16" s="15" t="s">
        <v>27</v>
      </c>
      <c r="G16" s="24" t="s">
        <v>27</v>
      </c>
      <c r="H16" s="14" t="s">
        <v>28</v>
      </c>
      <c r="I16" s="15" t="s">
        <v>27</v>
      </c>
      <c r="J16" s="24" t="s">
        <v>27</v>
      </c>
      <c r="K16" s="14" t="s">
        <v>28</v>
      </c>
      <c r="L16" s="156" t="s">
        <v>27</v>
      </c>
      <c r="M16" s="24" t="s">
        <v>27</v>
      </c>
      <c r="N16" s="14" t="s">
        <v>28</v>
      </c>
      <c r="O16" s="156" t="s">
        <v>27</v>
      </c>
      <c r="P16" s="24" t="s">
        <v>27</v>
      </c>
      <c r="Q16" s="14" t="s">
        <v>28</v>
      </c>
      <c r="R16" s="156" t="s">
        <v>27</v>
      </c>
      <c r="S16" s="24" t="s">
        <v>27</v>
      </c>
      <c r="T16" s="14" t="s">
        <v>28</v>
      </c>
      <c r="U16" s="15" t="s">
        <v>27</v>
      </c>
      <c r="V16" s="24" t="s">
        <v>27</v>
      </c>
      <c r="W16" s="14" t="s">
        <v>28</v>
      </c>
    </row>
    <row r="17" spans="3:23" s="9" customFormat="1" x14ac:dyDescent="0.35">
      <c r="C17" s="129" t="s">
        <v>246</v>
      </c>
      <c r="D17" s="129" t="s">
        <v>248</v>
      </c>
      <c r="E17" s="130" t="s">
        <v>303</v>
      </c>
      <c r="F17" s="15" t="s">
        <v>27</v>
      </c>
      <c r="G17" s="24" t="s">
        <v>27</v>
      </c>
      <c r="H17" s="14" t="s">
        <v>28</v>
      </c>
      <c r="I17" s="15" t="s">
        <v>27</v>
      </c>
      <c r="J17" s="24" t="s">
        <v>27</v>
      </c>
      <c r="K17" s="14" t="s">
        <v>28</v>
      </c>
      <c r="L17" s="156" t="s">
        <v>27</v>
      </c>
      <c r="M17" s="24" t="s">
        <v>27</v>
      </c>
      <c r="N17" s="14" t="s">
        <v>28</v>
      </c>
      <c r="O17" s="156">
        <v>3</v>
      </c>
      <c r="P17" s="24">
        <v>8.1902777777868323</v>
      </c>
      <c r="Q17" s="14">
        <v>0.14602534704951481</v>
      </c>
      <c r="R17" s="156">
        <v>2</v>
      </c>
      <c r="S17" s="24">
        <v>3.7247222222504206</v>
      </c>
      <c r="T17" s="14">
        <v>1.1958377106780983E-2</v>
      </c>
      <c r="U17" s="15">
        <v>5</v>
      </c>
      <c r="V17" s="24">
        <v>11.915000000037253</v>
      </c>
      <c r="W17" s="14">
        <v>1.4350436494990435E-2</v>
      </c>
    </row>
    <row r="18" spans="3:23" x14ac:dyDescent="0.35">
      <c r="C18" s="129" t="s">
        <v>246</v>
      </c>
      <c r="D18" s="129" t="s">
        <v>249</v>
      </c>
      <c r="E18" s="130" t="s">
        <v>304</v>
      </c>
      <c r="F18" s="15" t="s">
        <v>27</v>
      </c>
      <c r="G18" s="24" t="s">
        <v>27</v>
      </c>
      <c r="H18" s="14" t="s">
        <v>28</v>
      </c>
      <c r="I18" s="15" t="s">
        <v>27</v>
      </c>
      <c r="J18" s="24" t="s">
        <v>27</v>
      </c>
      <c r="K18" s="14" t="s">
        <v>28</v>
      </c>
      <c r="L18" s="156" t="s">
        <v>27</v>
      </c>
      <c r="M18" s="24" t="s">
        <v>27</v>
      </c>
      <c r="N18" s="14" t="s">
        <v>28</v>
      </c>
      <c r="O18" s="156" t="s">
        <v>27</v>
      </c>
      <c r="P18" s="24" t="s">
        <v>27</v>
      </c>
      <c r="Q18" s="14" t="s">
        <v>28</v>
      </c>
      <c r="R18" s="156">
        <v>54</v>
      </c>
      <c r="S18" s="24">
        <v>219.67083333351184</v>
      </c>
      <c r="T18" s="14">
        <v>0.70526243505370223</v>
      </c>
      <c r="U18" s="15">
        <v>54</v>
      </c>
      <c r="V18" s="24">
        <v>219.67083333351184</v>
      </c>
      <c r="W18" s="14">
        <v>0.26457174515688908</v>
      </c>
    </row>
    <row r="19" spans="3:23" x14ac:dyDescent="0.35">
      <c r="C19" s="129" t="s">
        <v>246</v>
      </c>
      <c r="D19" s="129" t="s">
        <v>250</v>
      </c>
      <c r="E19" s="130" t="s">
        <v>305</v>
      </c>
      <c r="F19" s="15" t="s">
        <v>27</v>
      </c>
      <c r="G19" s="24" t="s">
        <v>27</v>
      </c>
      <c r="H19" s="14" t="s">
        <v>28</v>
      </c>
      <c r="I19" s="15" t="s">
        <v>27</v>
      </c>
      <c r="J19" s="24" t="s">
        <v>27</v>
      </c>
      <c r="K19" s="14" t="s">
        <v>28</v>
      </c>
      <c r="L19" s="156" t="s">
        <v>27</v>
      </c>
      <c r="M19" s="24" t="s">
        <v>27</v>
      </c>
      <c r="N19" s="14" t="s">
        <v>28</v>
      </c>
      <c r="O19" s="156" t="s">
        <v>27</v>
      </c>
      <c r="P19" s="24" t="s">
        <v>27</v>
      </c>
      <c r="Q19" s="14" t="s">
        <v>28</v>
      </c>
      <c r="R19" s="156">
        <v>12</v>
      </c>
      <c r="S19" s="24">
        <v>1.0722222222830169</v>
      </c>
      <c r="T19" s="14">
        <v>3.4424144704632981E-3</v>
      </c>
      <c r="U19" s="15">
        <v>12</v>
      </c>
      <c r="V19" s="24">
        <v>1.0722222222830169</v>
      </c>
      <c r="W19" s="14">
        <v>1.2913853889502177E-3</v>
      </c>
    </row>
    <row r="20" spans="3:23" x14ac:dyDescent="0.35">
      <c r="C20" s="132" t="s">
        <v>246</v>
      </c>
      <c r="D20" s="132" t="s">
        <v>251</v>
      </c>
      <c r="E20" s="132" t="s">
        <v>306</v>
      </c>
      <c r="F20" s="16" t="s">
        <v>27</v>
      </c>
      <c r="G20" s="25" t="s">
        <v>27</v>
      </c>
      <c r="H20" s="17" t="s">
        <v>28</v>
      </c>
      <c r="I20" s="16">
        <v>4</v>
      </c>
      <c r="J20" s="25">
        <v>3.9313888888573274</v>
      </c>
      <c r="K20" s="17">
        <v>8.8254037934727258E-3</v>
      </c>
      <c r="L20" s="158" t="s">
        <v>27</v>
      </c>
      <c r="M20" s="25" t="s">
        <v>27</v>
      </c>
      <c r="N20" s="17" t="s">
        <v>28</v>
      </c>
      <c r="O20" s="158">
        <v>45</v>
      </c>
      <c r="P20" s="25">
        <v>2.8877777775633149</v>
      </c>
      <c r="Q20" s="17">
        <v>5.1486501875948325E-2</v>
      </c>
      <c r="R20" s="158">
        <v>2</v>
      </c>
      <c r="S20" s="25">
        <v>0.33222222217591479</v>
      </c>
      <c r="T20" s="17">
        <v>1.0666133953022773E-3</v>
      </c>
      <c r="U20" s="16">
        <v>51</v>
      </c>
      <c r="V20" s="25">
        <v>7.1513888885965571</v>
      </c>
      <c r="W20" s="17">
        <v>8.6131390764972102E-3</v>
      </c>
    </row>
    <row r="21" spans="3:23" x14ac:dyDescent="0.35">
      <c r="C21" s="232" t="s">
        <v>252</v>
      </c>
      <c r="D21" s="232"/>
      <c r="E21" s="232"/>
      <c r="F21" s="147">
        <v>0</v>
      </c>
      <c r="G21" s="148">
        <v>0</v>
      </c>
      <c r="H21" s="149" t="e">
        <v>#DIV/0!</v>
      </c>
      <c r="I21" s="147">
        <v>4</v>
      </c>
      <c r="J21" s="148">
        <v>3.9313888888573274</v>
      </c>
      <c r="K21" s="149">
        <v>8.8254037934727258E-3</v>
      </c>
      <c r="L21" s="153">
        <v>0</v>
      </c>
      <c r="M21" s="148">
        <v>0</v>
      </c>
      <c r="N21" s="149">
        <v>0</v>
      </c>
      <c r="O21" s="153">
        <v>48</v>
      </c>
      <c r="P21" s="148">
        <v>11.078055555350147</v>
      </c>
      <c r="Q21" s="149">
        <v>0.19751184892546314</v>
      </c>
      <c r="R21" s="153">
        <v>70</v>
      </c>
      <c r="S21" s="148">
        <v>224.80000000022119</v>
      </c>
      <c r="T21" s="149">
        <v>0.72172984002624885</v>
      </c>
      <c r="U21" s="147">
        <v>122</v>
      </c>
      <c r="V21" s="148">
        <v>239.80944444442866</v>
      </c>
      <c r="W21" s="22">
        <v>0.28882670611732697</v>
      </c>
    </row>
    <row r="22" spans="3:23" ht="4.5" customHeight="1" x14ac:dyDescent="0.35">
      <c r="C22" s="133"/>
      <c r="D22" s="133"/>
      <c r="E22" s="133"/>
      <c r="F22" s="18"/>
      <c r="G22" s="26"/>
      <c r="H22" s="19"/>
      <c r="I22" s="18"/>
      <c r="J22" s="26"/>
      <c r="K22" s="19"/>
      <c r="L22" s="159"/>
      <c r="M22" s="26"/>
      <c r="N22" s="19"/>
      <c r="O22" s="159"/>
      <c r="P22" s="26"/>
      <c r="Q22" s="19"/>
      <c r="R22" s="159"/>
      <c r="S22" s="26"/>
      <c r="T22" s="19"/>
      <c r="U22" s="18"/>
      <c r="V22" s="26"/>
      <c r="W22" s="19"/>
    </row>
    <row r="23" spans="3:23" hidden="1" x14ac:dyDescent="0.35">
      <c r="C23" s="129" t="s">
        <v>253</v>
      </c>
      <c r="D23" s="129" t="s">
        <v>254</v>
      </c>
      <c r="E23" s="130" t="s">
        <v>307</v>
      </c>
      <c r="F23" s="15" t="s">
        <v>27</v>
      </c>
      <c r="G23" s="24" t="s">
        <v>27</v>
      </c>
      <c r="H23" s="14" t="s">
        <v>28</v>
      </c>
      <c r="I23" s="15" t="s">
        <v>27</v>
      </c>
      <c r="J23" s="24" t="s">
        <v>27</v>
      </c>
      <c r="K23" s="14" t="s">
        <v>28</v>
      </c>
      <c r="L23" s="156" t="s">
        <v>27</v>
      </c>
      <c r="M23" s="24" t="s">
        <v>27</v>
      </c>
      <c r="N23" s="14" t="s">
        <v>28</v>
      </c>
      <c r="O23" s="156" t="s">
        <v>27</v>
      </c>
      <c r="P23" s="24" t="s">
        <v>27</v>
      </c>
      <c r="Q23" s="14" t="s">
        <v>28</v>
      </c>
      <c r="R23" s="156" t="s">
        <v>27</v>
      </c>
      <c r="S23" s="24" t="s">
        <v>27</v>
      </c>
      <c r="T23" s="14" t="s">
        <v>28</v>
      </c>
      <c r="U23" s="15" t="s">
        <v>27</v>
      </c>
      <c r="V23" s="24" t="s">
        <v>27</v>
      </c>
      <c r="W23" s="14" t="s">
        <v>28</v>
      </c>
    </row>
    <row r="24" spans="3:23" x14ac:dyDescent="0.35">
      <c r="C24" s="129" t="s">
        <v>253</v>
      </c>
      <c r="D24" s="129" t="s">
        <v>255</v>
      </c>
      <c r="E24" s="130" t="s">
        <v>308</v>
      </c>
      <c r="F24" s="15" t="s">
        <v>27</v>
      </c>
      <c r="G24" s="24" t="s">
        <v>27</v>
      </c>
      <c r="H24" s="14" t="s">
        <v>28</v>
      </c>
      <c r="I24" s="15" t="s">
        <v>27</v>
      </c>
      <c r="J24" s="24" t="s">
        <v>27</v>
      </c>
      <c r="K24" s="14" t="s">
        <v>28</v>
      </c>
      <c r="L24" s="156" t="s">
        <v>27</v>
      </c>
      <c r="M24" s="24" t="s">
        <v>27</v>
      </c>
      <c r="N24" s="14" t="s">
        <v>28</v>
      </c>
      <c r="O24" s="156">
        <v>1</v>
      </c>
      <c r="P24" s="24">
        <v>0.75750000000698492</v>
      </c>
      <c r="Q24" s="14">
        <v>1.3505549310064729E-2</v>
      </c>
      <c r="R24" s="156">
        <v>2</v>
      </c>
      <c r="S24" s="24">
        <v>2.4666666666744277</v>
      </c>
      <c r="T24" s="14">
        <v>7.9193369160821328E-3</v>
      </c>
      <c r="U24" s="15">
        <v>3</v>
      </c>
      <c r="V24" s="24">
        <v>3.2241666666814126</v>
      </c>
      <c r="W24" s="14">
        <v>3.8831891732548844E-3</v>
      </c>
    </row>
    <row r="25" spans="3:23" x14ac:dyDescent="0.35">
      <c r="C25" s="132" t="s">
        <v>253</v>
      </c>
      <c r="D25" s="132" t="s">
        <v>256</v>
      </c>
      <c r="E25" s="132" t="s">
        <v>309</v>
      </c>
      <c r="F25" s="16" t="s">
        <v>27</v>
      </c>
      <c r="G25" s="25" t="s">
        <v>27</v>
      </c>
      <c r="H25" s="17" t="s">
        <v>28</v>
      </c>
      <c r="I25" s="16" t="s">
        <v>27</v>
      </c>
      <c r="J25" s="25" t="s">
        <v>27</v>
      </c>
      <c r="K25" s="17" t="s">
        <v>28</v>
      </c>
      <c r="L25" s="158" t="s">
        <v>27</v>
      </c>
      <c r="M25" s="25" t="s">
        <v>27</v>
      </c>
      <c r="N25" s="17" t="s">
        <v>28</v>
      </c>
      <c r="O25" s="158">
        <v>1</v>
      </c>
      <c r="P25" s="25">
        <v>4.5052777777891606</v>
      </c>
      <c r="Q25" s="17">
        <v>8.0325084069847244E-2</v>
      </c>
      <c r="R25" s="158" t="s">
        <v>27</v>
      </c>
      <c r="S25" s="25" t="s">
        <v>27</v>
      </c>
      <c r="T25" s="17" t="s">
        <v>28</v>
      </c>
      <c r="U25" s="16">
        <v>1</v>
      </c>
      <c r="V25" s="25">
        <v>4.5052777777891606</v>
      </c>
      <c r="W25" s="17">
        <v>5.4261605238986859E-3</v>
      </c>
    </row>
    <row r="26" spans="3:23" x14ac:dyDescent="0.35">
      <c r="C26" s="231" t="s">
        <v>257</v>
      </c>
      <c r="D26" s="231"/>
      <c r="E26" s="232"/>
      <c r="F26" s="147">
        <v>0</v>
      </c>
      <c r="G26" s="148">
        <v>0</v>
      </c>
      <c r="H26" s="149" t="e">
        <v>#DIV/0!</v>
      </c>
      <c r="I26" s="147">
        <v>0</v>
      </c>
      <c r="J26" s="148">
        <v>0</v>
      </c>
      <c r="K26" s="149">
        <v>0</v>
      </c>
      <c r="L26" s="153">
        <v>0</v>
      </c>
      <c r="M26" s="148">
        <v>0</v>
      </c>
      <c r="N26" s="149">
        <v>0</v>
      </c>
      <c r="O26" s="153">
        <v>2</v>
      </c>
      <c r="P26" s="148">
        <v>5.2627777777961455</v>
      </c>
      <c r="Q26" s="149">
        <v>9.3830633379911974E-2</v>
      </c>
      <c r="R26" s="153">
        <v>2</v>
      </c>
      <c r="S26" s="148">
        <v>2.4666666666744277</v>
      </c>
      <c r="T26" s="149">
        <v>7.9193369160821328E-3</v>
      </c>
      <c r="U26" s="147">
        <v>4</v>
      </c>
      <c r="V26" s="148">
        <v>7.7294444444705732</v>
      </c>
      <c r="W26" s="22">
        <v>9.3093496971535707E-3</v>
      </c>
    </row>
    <row r="27" spans="3:23" ht="4.5" hidden="1" customHeight="1" x14ac:dyDescent="0.35">
      <c r="C27" s="133"/>
      <c r="D27" s="133"/>
      <c r="E27" s="133"/>
      <c r="F27" s="18"/>
      <c r="G27" s="26"/>
      <c r="H27" s="19"/>
      <c r="I27" s="18"/>
      <c r="J27" s="26"/>
      <c r="K27" s="19"/>
      <c r="L27" s="159"/>
      <c r="M27" s="26"/>
      <c r="N27" s="19"/>
      <c r="O27" s="159"/>
      <c r="P27" s="26"/>
      <c r="Q27" s="19"/>
      <c r="R27" s="159"/>
      <c r="S27" s="26"/>
      <c r="T27" s="19"/>
      <c r="U27" s="18"/>
      <c r="V27" s="26"/>
      <c r="W27" s="19"/>
    </row>
    <row r="28" spans="3:23" hidden="1" x14ac:dyDescent="0.35">
      <c r="C28" s="129" t="s">
        <v>258</v>
      </c>
      <c r="D28" s="129" t="s">
        <v>259</v>
      </c>
      <c r="E28" s="130" t="s">
        <v>310</v>
      </c>
      <c r="F28" s="15" t="s">
        <v>27</v>
      </c>
      <c r="G28" s="24" t="s">
        <v>27</v>
      </c>
      <c r="H28" s="14" t="s">
        <v>28</v>
      </c>
      <c r="I28" s="15" t="s">
        <v>27</v>
      </c>
      <c r="J28" s="24" t="s">
        <v>27</v>
      </c>
      <c r="K28" s="14" t="s">
        <v>28</v>
      </c>
      <c r="L28" s="156" t="s">
        <v>27</v>
      </c>
      <c r="M28" s="24" t="s">
        <v>27</v>
      </c>
      <c r="N28" s="14" t="s">
        <v>28</v>
      </c>
      <c r="O28" s="156" t="s">
        <v>27</v>
      </c>
      <c r="P28" s="24" t="s">
        <v>27</v>
      </c>
      <c r="Q28" s="14" t="s">
        <v>28</v>
      </c>
      <c r="R28" s="156" t="s">
        <v>27</v>
      </c>
      <c r="S28" s="24" t="s">
        <v>27</v>
      </c>
      <c r="T28" s="14" t="s">
        <v>28</v>
      </c>
      <c r="U28" s="15" t="s">
        <v>27</v>
      </c>
      <c r="V28" s="24" t="s">
        <v>27</v>
      </c>
      <c r="W28" s="14" t="s">
        <v>28</v>
      </c>
    </row>
    <row r="29" spans="3:23" s="9" customFormat="1" hidden="1" x14ac:dyDescent="0.35">
      <c r="C29" s="129" t="s">
        <v>258</v>
      </c>
      <c r="D29" s="129" t="s">
        <v>260</v>
      </c>
      <c r="E29" s="130" t="s">
        <v>311</v>
      </c>
      <c r="F29" s="15" t="s">
        <v>27</v>
      </c>
      <c r="G29" s="24" t="s">
        <v>27</v>
      </c>
      <c r="H29" s="14" t="s">
        <v>28</v>
      </c>
      <c r="I29" s="15" t="s">
        <v>27</v>
      </c>
      <c r="J29" s="24" t="s">
        <v>27</v>
      </c>
      <c r="K29" s="14" t="s">
        <v>28</v>
      </c>
      <c r="L29" s="156" t="s">
        <v>27</v>
      </c>
      <c r="M29" s="24" t="s">
        <v>27</v>
      </c>
      <c r="N29" s="14" t="s">
        <v>28</v>
      </c>
      <c r="O29" s="156" t="s">
        <v>27</v>
      </c>
      <c r="P29" s="24" t="s">
        <v>27</v>
      </c>
      <c r="Q29" s="14" t="s">
        <v>28</v>
      </c>
      <c r="R29" s="156" t="s">
        <v>27</v>
      </c>
      <c r="S29" s="24" t="s">
        <v>27</v>
      </c>
      <c r="T29" s="14" t="s">
        <v>28</v>
      </c>
      <c r="U29" s="15" t="s">
        <v>27</v>
      </c>
      <c r="V29" s="24" t="s">
        <v>27</v>
      </c>
      <c r="W29" s="14" t="s">
        <v>28</v>
      </c>
    </row>
    <row r="30" spans="3:23" hidden="1" x14ac:dyDescent="0.35">
      <c r="C30" s="129" t="s">
        <v>258</v>
      </c>
      <c r="D30" s="129" t="s">
        <v>261</v>
      </c>
      <c r="E30" s="130" t="s">
        <v>312</v>
      </c>
      <c r="F30" s="15" t="s">
        <v>27</v>
      </c>
      <c r="G30" s="24" t="s">
        <v>27</v>
      </c>
      <c r="H30" s="14" t="s">
        <v>28</v>
      </c>
      <c r="I30" s="15" t="s">
        <v>27</v>
      </c>
      <c r="J30" s="24" t="s">
        <v>27</v>
      </c>
      <c r="K30" s="14" t="s">
        <v>28</v>
      </c>
      <c r="L30" s="156" t="s">
        <v>27</v>
      </c>
      <c r="M30" s="24" t="s">
        <v>27</v>
      </c>
      <c r="N30" s="14" t="s">
        <v>28</v>
      </c>
      <c r="O30" s="156" t="s">
        <v>27</v>
      </c>
      <c r="P30" s="24" t="s">
        <v>27</v>
      </c>
      <c r="Q30" s="14" t="s">
        <v>28</v>
      </c>
      <c r="R30" s="156" t="s">
        <v>27</v>
      </c>
      <c r="S30" s="24" t="s">
        <v>27</v>
      </c>
      <c r="T30" s="14" t="s">
        <v>28</v>
      </c>
      <c r="U30" s="15" t="s">
        <v>27</v>
      </c>
      <c r="V30" s="24" t="s">
        <v>27</v>
      </c>
      <c r="W30" s="14" t="s">
        <v>28</v>
      </c>
    </row>
    <row r="31" spans="3:23" hidden="1" x14ac:dyDescent="0.35">
      <c r="C31" s="129" t="s">
        <v>258</v>
      </c>
      <c r="D31" s="129" t="s">
        <v>262</v>
      </c>
      <c r="E31" s="130" t="s">
        <v>313</v>
      </c>
      <c r="F31" s="15" t="s">
        <v>27</v>
      </c>
      <c r="G31" s="24" t="s">
        <v>27</v>
      </c>
      <c r="H31" s="14" t="s">
        <v>28</v>
      </c>
      <c r="I31" s="15" t="s">
        <v>27</v>
      </c>
      <c r="J31" s="24" t="s">
        <v>27</v>
      </c>
      <c r="K31" s="14" t="s">
        <v>28</v>
      </c>
      <c r="L31" s="156" t="s">
        <v>27</v>
      </c>
      <c r="M31" s="24" t="s">
        <v>27</v>
      </c>
      <c r="N31" s="14" t="s">
        <v>28</v>
      </c>
      <c r="O31" s="156" t="s">
        <v>27</v>
      </c>
      <c r="P31" s="24" t="s">
        <v>27</v>
      </c>
      <c r="Q31" s="14" t="s">
        <v>28</v>
      </c>
      <c r="R31" s="156" t="s">
        <v>27</v>
      </c>
      <c r="S31" s="24" t="s">
        <v>27</v>
      </c>
      <c r="T31" s="14" t="s">
        <v>28</v>
      </c>
      <c r="U31" s="15" t="s">
        <v>27</v>
      </c>
      <c r="V31" s="24" t="s">
        <v>27</v>
      </c>
      <c r="W31" s="14" t="s">
        <v>28</v>
      </c>
    </row>
    <row r="32" spans="3:23" hidden="1" x14ac:dyDescent="0.35">
      <c r="C32" s="129" t="s">
        <v>258</v>
      </c>
      <c r="D32" s="132" t="s">
        <v>263</v>
      </c>
      <c r="E32" s="132" t="s">
        <v>314</v>
      </c>
      <c r="F32" s="16" t="s">
        <v>27</v>
      </c>
      <c r="G32" s="25" t="s">
        <v>27</v>
      </c>
      <c r="H32" s="17" t="s">
        <v>28</v>
      </c>
      <c r="I32" s="16" t="s">
        <v>27</v>
      </c>
      <c r="J32" s="25" t="s">
        <v>27</v>
      </c>
      <c r="K32" s="17" t="s">
        <v>28</v>
      </c>
      <c r="L32" s="158" t="s">
        <v>27</v>
      </c>
      <c r="M32" s="25" t="s">
        <v>27</v>
      </c>
      <c r="N32" s="17" t="s">
        <v>28</v>
      </c>
      <c r="O32" s="158" t="s">
        <v>27</v>
      </c>
      <c r="P32" s="25" t="s">
        <v>27</v>
      </c>
      <c r="Q32" s="17" t="s">
        <v>28</v>
      </c>
      <c r="R32" s="158" t="s">
        <v>27</v>
      </c>
      <c r="S32" s="25" t="s">
        <v>27</v>
      </c>
      <c r="T32" s="17" t="s">
        <v>28</v>
      </c>
      <c r="U32" s="16" t="s">
        <v>27</v>
      </c>
      <c r="V32" s="25" t="s">
        <v>27</v>
      </c>
      <c r="W32" s="17" t="s">
        <v>28</v>
      </c>
    </row>
    <row r="33" spans="3:23" hidden="1" x14ac:dyDescent="0.35">
      <c r="C33" s="233" t="s">
        <v>264</v>
      </c>
      <c r="D33" s="233"/>
      <c r="E33" s="234"/>
      <c r="F33" s="160">
        <v>0</v>
      </c>
      <c r="G33" s="161">
        <v>0</v>
      </c>
      <c r="H33" s="162" t="e">
        <v>#DIV/0!</v>
      </c>
      <c r="I33" s="160">
        <v>0</v>
      </c>
      <c r="J33" s="161">
        <v>0</v>
      </c>
      <c r="K33" s="162">
        <v>0</v>
      </c>
      <c r="L33" s="163">
        <v>0</v>
      </c>
      <c r="M33" s="161">
        <v>0</v>
      </c>
      <c r="N33" s="162">
        <v>0</v>
      </c>
      <c r="O33" s="163">
        <v>0</v>
      </c>
      <c r="P33" s="161">
        <v>0</v>
      </c>
      <c r="Q33" s="162">
        <v>0</v>
      </c>
      <c r="R33" s="163">
        <v>0</v>
      </c>
      <c r="S33" s="161">
        <v>0</v>
      </c>
      <c r="T33" s="162">
        <v>0</v>
      </c>
      <c r="U33" s="160">
        <v>0</v>
      </c>
      <c r="V33" s="161">
        <v>0</v>
      </c>
      <c r="W33" s="162">
        <v>0</v>
      </c>
    </row>
    <row r="34" spans="3:23" ht="4.5" customHeight="1" x14ac:dyDescent="0.35">
      <c r="C34" s="133"/>
      <c r="D34" s="133"/>
      <c r="E34" s="133"/>
      <c r="F34" s="18"/>
      <c r="G34" s="26"/>
      <c r="H34" s="19"/>
      <c r="I34" s="18"/>
      <c r="J34" s="26"/>
      <c r="K34" s="19"/>
      <c r="L34" s="159"/>
      <c r="M34" s="26"/>
      <c r="N34" s="19"/>
      <c r="O34" s="159"/>
      <c r="P34" s="26"/>
      <c r="Q34" s="19"/>
      <c r="R34" s="159"/>
      <c r="S34" s="26"/>
      <c r="T34" s="19"/>
      <c r="U34" s="18"/>
      <c r="V34" s="26"/>
      <c r="W34" s="19"/>
    </row>
    <row r="35" spans="3:23" x14ac:dyDescent="0.35">
      <c r="C35" s="129" t="s">
        <v>265</v>
      </c>
      <c r="D35" s="129" t="s">
        <v>227</v>
      </c>
      <c r="E35" s="134" t="s">
        <v>315</v>
      </c>
      <c r="F35" s="20" t="s">
        <v>27</v>
      </c>
      <c r="G35" s="29" t="s">
        <v>27</v>
      </c>
      <c r="H35" s="45" t="s">
        <v>28</v>
      </c>
      <c r="I35" s="20" t="s">
        <v>27</v>
      </c>
      <c r="J35" s="29" t="s">
        <v>27</v>
      </c>
      <c r="K35" s="45" t="s">
        <v>28</v>
      </c>
      <c r="L35" s="76" t="s">
        <v>27</v>
      </c>
      <c r="M35" s="29" t="s">
        <v>27</v>
      </c>
      <c r="N35" s="45" t="s">
        <v>28</v>
      </c>
      <c r="O35" s="76" t="s">
        <v>27</v>
      </c>
      <c r="P35" s="29" t="s">
        <v>27</v>
      </c>
      <c r="Q35" s="45" t="s">
        <v>28</v>
      </c>
      <c r="R35" s="76" t="s">
        <v>27</v>
      </c>
      <c r="S35" s="29" t="s">
        <v>27</v>
      </c>
      <c r="T35" s="45" t="s">
        <v>28</v>
      </c>
      <c r="U35" s="20" t="s">
        <v>27</v>
      </c>
      <c r="V35" s="29" t="s">
        <v>27</v>
      </c>
      <c r="W35" s="45" t="s">
        <v>28</v>
      </c>
    </row>
    <row r="36" spans="3:23" x14ac:dyDescent="0.35">
      <c r="C36" s="129" t="s">
        <v>265</v>
      </c>
      <c r="D36" s="129" t="s">
        <v>229</v>
      </c>
      <c r="E36" s="134" t="s">
        <v>316</v>
      </c>
      <c r="F36" s="20" t="s">
        <v>27</v>
      </c>
      <c r="G36" s="29" t="s">
        <v>27</v>
      </c>
      <c r="H36" s="45" t="s">
        <v>28</v>
      </c>
      <c r="I36" s="20">
        <v>1</v>
      </c>
      <c r="J36" s="29">
        <v>0.16916666674660519</v>
      </c>
      <c r="K36" s="45">
        <v>3.7975488679487044E-4</v>
      </c>
      <c r="L36" s="76" t="s">
        <v>27</v>
      </c>
      <c r="M36" s="29" t="s">
        <v>27</v>
      </c>
      <c r="N36" s="45" t="s">
        <v>28</v>
      </c>
      <c r="O36" s="76" t="s">
        <v>27</v>
      </c>
      <c r="P36" s="29" t="s">
        <v>27</v>
      </c>
      <c r="Q36" s="45" t="s">
        <v>28</v>
      </c>
      <c r="R36" s="76">
        <v>1</v>
      </c>
      <c r="S36" s="29">
        <v>1.6227777776657604</v>
      </c>
      <c r="T36" s="45">
        <v>5.2099962004969235E-3</v>
      </c>
      <c r="U36" s="20">
        <v>2</v>
      </c>
      <c r="V36" s="29">
        <v>1.7919444444123656</v>
      </c>
      <c r="W36" s="45">
        <v>2.158219467227039E-3</v>
      </c>
    </row>
    <row r="37" spans="3:23" x14ac:dyDescent="0.35">
      <c r="C37" s="132" t="s">
        <v>265</v>
      </c>
      <c r="D37" s="132" t="s">
        <v>228</v>
      </c>
      <c r="E37" s="164" t="s">
        <v>317</v>
      </c>
      <c r="F37" s="165" t="s">
        <v>27</v>
      </c>
      <c r="G37" s="166" t="s">
        <v>27</v>
      </c>
      <c r="H37" s="167" t="s">
        <v>28</v>
      </c>
      <c r="I37" s="165">
        <v>1</v>
      </c>
      <c r="J37" s="166">
        <v>0.13333333341870457</v>
      </c>
      <c r="K37" s="167">
        <v>2.9931419653877518E-4</v>
      </c>
      <c r="L37" s="168" t="s">
        <v>27</v>
      </c>
      <c r="M37" s="166" t="s">
        <v>27</v>
      </c>
      <c r="N37" s="167" t="s">
        <v>28</v>
      </c>
      <c r="O37" s="168">
        <v>3</v>
      </c>
      <c r="P37" s="166">
        <v>23.453888888878282</v>
      </c>
      <c r="Q37" s="167">
        <v>0.41816191801795916</v>
      </c>
      <c r="R37" s="168">
        <v>6</v>
      </c>
      <c r="S37" s="166">
        <v>3.2611111112055369</v>
      </c>
      <c r="T37" s="167">
        <v>1.0469934166351775E-2</v>
      </c>
      <c r="U37" s="165">
        <v>10</v>
      </c>
      <c r="V37" s="166">
        <v>26.848333333502524</v>
      </c>
      <c r="W37" s="167">
        <v>3.2336156315363677E-2</v>
      </c>
    </row>
    <row r="38" spans="3:23" x14ac:dyDescent="0.35">
      <c r="C38" s="231" t="s">
        <v>266</v>
      </c>
      <c r="D38" s="231"/>
      <c r="E38" s="232"/>
      <c r="F38" s="147">
        <v>0</v>
      </c>
      <c r="G38" s="148">
        <v>0</v>
      </c>
      <c r="H38" s="149" t="e">
        <v>#DIV/0!</v>
      </c>
      <c r="I38" s="147">
        <v>2</v>
      </c>
      <c r="J38" s="148">
        <v>0.30250000016530976</v>
      </c>
      <c r="K38" s="149">
        <v>6.7906908333364567E-4</v>
      </c>
      <c r="L38" s="153">
        <v>0</v>
      </c>
      <c r="M38" s="148">
        <v>0</v>
      </c>
      <c r="N38" s="149">
        <v>0</v>
      </c>
      <c r="O38" s="153">
        <v>3</v>
      </c>
      <c r="P38" s="148">
        <v>23.453888888878282</v>
      </c>
      <c r="Q38" s="149">
        <v>0.41816191801795916</v>
      </c>
      <c r="R38" s="153">
        <v>7</v>
      </c>
      <c r="S38" s="148">
        <v>4.8838888888712972</v>
      </c>
      <c r="T38" s="149">
        <v>1.5679930366848699E-2</v>
      </c>
      <c r="U38" s="147">
        <v>12</v>
      </c>
      <c r="V38" s="148">
        <v>28.640277777914889</v>
      </c>
      <c r="W38" s="22">
        <v>3.4494375782590715E-2</v>
      </c>
    </row>
    <row r="39" spans="3:23" ht="4.5" customHeight="1" x14ac:dyDescent="0.35">
      <c r="C39" s="133"/>
      <c r="D39" s="133"/>
      <c r="E39" s="133"/>
      <c r="F39" s="18"/>
      <c r="G39" s="26"/>
      <c r="H39" s="19"/>
      <c r="I39" s="18"/>
      <c r="J39" s="26"/>
      <c r="K39" s="19"/>
      <c r="L39" s="159"/>
      <c r="M39" s="26"/>
      <c r="N39" s="19"/>
      <c r="O39" s="159"/>
      <c r="P39" s="26"/>
      <c r="Q39" s="19"/>
      <c r="R39" s="159"/>
      <c r="S39" s="26"/>
      <c r="T39" s="19"/>
      <c r="U39" s="18"/>
      <c r="V39" s="26"/>
      <c r="W39" s="19"/>
    </row>
    <row r="40" spans="3:23" hidden="1" x14ac:dyDescent="0.35">
      <c r="C40" s="129" t="s">
        <v>267</v>
      </c>
      <c r="D40" s="129" t="s">
        <v>268</v>
      </c>
      <c r="E40" s="130" t="s">
        <v>318</v>
      </c>
      <c r="F40" s="15" t="s">
        <v>27</v>
      </c>
      <c r="G40" s="24" t="s">
        <v>27</v>
      </c>
      <c r="H40" s="14" t="s">
        <v>28</v>
      </c>
      <c r="I40" s="15" t="s">
        <v>27</v>
      </c>
      <c r="J40" s="24" t="s">
        <v>27</v>
      </c>
      <c r="K40" s="14" t="s">
        <v>28</v>
      </c>
      <c r="L40" s="156" t="s">
        <v>27</v>
      </c>
      <c r="M40" s="24" t="s">
        <v>27</v>
      </c>
      <c r="N40" s="14" t="s">
        <v>28</v>
      </c>
      <c r="O40" s="156" t="s">
        <v>27</v>
      </c>
      <c r="P40" s="24" t="s">
        <v>27</v>
      </c>
      <c r="Q40" s="14" t="s">
        <v>28</v>
      </c>
      <c r="R40" s="156" t="s">
        <v>27</v>
      </c>
      <c r="S40" s="24" t="s">
        <v>27</v>
      </c>
      <c r="T40" s="14" t="s">
        <v>28</v>
      </c>
      <c r="U40" s="15" t="s">
        <v>27</v>
      </c>
      <c r="V40" s="24" t="s">
        <v>27</v>
      </c>
      <c r="W40" s="14" t="s">
        <v>28</v>
      </c>
    </row>
    <row r="41" spans="3:23" hidden="1" x14ac:dyDescent="0.35">
      <c r="C41" s="129" t="s">
        <v>267</v>
      </c>
      <c r="D41" s="129" t="s">
        <v>269</v>
      </c>
      <c r="E41" s="130" t="s">
        <v>319</v>
      </c>
      <c r="F41" s="15" t="s">
        <v>27</v>
      </c>
      <c r="G41" s="24" t="s">
        <v>27</v>
      </c>
      <c r="H41" s="14" t="s">
        <v>28</v>
      </c>
      <c r="I41" s="15" t="s">
        <v>27</v>
      </c>
      <c r="J41" s="24" t="s">
        <v>27</v>
      </c>
      <c r="K41" s="14" t="s">
        <v>28</v>
      </c>
      <c r="L41" s="156" t="s">
        <v>27</v>
      </c>
      <c r="M41" s="24" t="s">
        <v>27</v>
      </c>
      <c r="N41" s="14" t="s">
        <v>28</v>
      </c>
      <c r="O41" s="156" t="s">
        <v>27</v>
      </c>
      <c r="P41" s="24" t="s">
        <v>27</v>
      </c>
      <c r="Q41" s="14" t="s">
        <v>28</v>
      </c>
      <c r="R41" s="156" t="s">
        <v>27</v>
      </c>
      <c r="S41" s="24" t="s">
        <v>27</v>
      </c>
      <c r="T41" s="14" t="s">
        <v>28</v>
      </c>
      <c r="U41" s="15" t="s">
        <v>27</v>
      </c>
      <c r="V41" s="24" t="s">
        <v>27</v>
      </c>
      <c r="W41" s="14" t="s">
        <v>28</v>
      </c>
    </row>
    <row r="42" spans="3:23" x14ac:dyDescent="0.35">
      <c r="C42" s="129" t="s">
        <v>267</v>
      </c>
      <c r="D42" s="129" t="s">
        <v>270</v>
      </c>
      <c r="E42" s="130" t="s">
        <v>320</v>
      </c>
      <c r="F42" s="15" t="s">
        <v>27</v>
      </c>
      <c r="G42" s="24" t="s">
        <v>27</v>
      </c>
      <c r="H42" s="14" t="s">
        <v>28</v>
      </c>
      <c r="I42" s="15">
        <v>1</v>
      </c>
      <c r="J42" s="24">
        <v>0.19416666682809591</v>
      </c>
      <c r="K42" s="14">
        <v>4.3587629879289215E-4</v>
      </c>
      <c r="L42" s="156" t="s">
        <v>27</v>
      </c>
      <c r="M42" s="24" t="s">
        <v>27</v>
      </c>
      <c r="N42" s="14" t="s">
        <v>28</v>
      </c>
      <c r="O42" s="156" t="s">
        <v>27</v>
      </c>
      <c r="P42" s="24" t="s">
        <v>27</v>
      </c>
      <c r="Q42" s="14" t="s">
        <v>28</v>
      </c>
      <c r="R42" s="156" t="s">
        <v>27</v>
      </c>
      <c r="S42" s="24" t="s">
        <v>27</v>
      </c>
      <c r="T42" s="14" t="s">
        <v>28</v>
      </c>
      <c r="U42" s="15">
        <v>1</v>
      </c>
      <c r="V42" s="24">
        <v>0.19416666682809591</v>
      </c>
      <c r="W42" s="14">
        <v>2.3385450455323917E-4</v>
      </c>
    </row>
    <row r="43" spans="3:23" hidden="1" x14ac:dyDescent="0.35">
      <c r="C43" s="129" t="s">
        <v>267</v>
      </c>
      <c r="D43" s="129" t="s">
        <v>271</v>
      </c>
      <c r="E43" s="130" t="s">
        <v>321</v>
      </c>
      <c r="F43" s="15" t="s">
        <v>27</v>
      </c>
      <c r="G43" s="24" t="s">
        <v>27</v>
      </c>
      <c r="H43" s="14" t="s">
        <v>28</v>
      </c>
      <c r="I43" s="15" t="s">
        <v>27</v>
      </c>
      <c r="J43" s="24" t="s">
        <v>27</v>
      </c>
      <c r="K43" s="14" t="s">
        <v>28</v>
      </c>
      <c r="L43" s="156" t="s">
        <v>27</v>
      </c>
      <c r="M43" s="24" t="s">
        <v>27</v>
      </c>
      <c r="N43" s="14" t="s">
        <v>28</v>
      </c>
      <c r="O43" s="156" t="s">
        <v>27</v>
      </c>
      <c r="P43" s="24" t="s">
        <v>27</v>
      </c>
      <c r="Q43" s="14" t="s">
        <v>28</v>
      </c>
      <c r="R43" s="156" t="s">
        <v>27</v>
      </c>
      <c r="S43" s="24" t="s">
        <v>27</v>
      </c>
      <c r="T43" s="14" t="s">
        <v>28</v>
      </c>
      <c r="U43" s="15" t="s">
        <v>27</v>
      </c>
      <c r="V43" s="24" t="s">
        <v>27</v>
      </c>
      <c r="W43" s="14" t="s">
        <v>28</v>
      </c>
    </row>
    <row r="44" spans="3:23" x14ac:dyDescent="0.35">
      <c r="C44" s="132" t="s">
        <v>267</v>
      </c>
      <c r="D44" s="132" t="s">
        <v>272</v>
      </c>
      <c r="E44" s="132" t="s">
        <v>322</v>
      </c>
      <c r="F44" s="16" t="s">
        <v>27</v>
      </c>
      <c r="G44" s="25" t="s">
        <v>27</v>
      </c>
      <c r="H44" s="17" t="s">
        <v>28</v>
      </c>
      <c r="I44" s="16" t="s">
        <v>27</v>
      </c>
      <c r="J44" s="25" t="s">
        <v>27</v>
      </c>
      <c r="K44" s="17" t="s">
        <v>28</v>
      </c>
      <c r="L44" s="158" t="s">
        <v>27</v>
      </c>
      <c r="M44" s="25" t="s">
        <v>27</v>
      </c>
      <c r="N44" s="17" t="s">
        <v>28</v>
      </c>
      <c r="O44" s="158" t="s">
        <v>27</v>
      </c>
      <c r="P44" s="25" t="s">
        <v>27</v>
      </c>
      <c r="Q44" s="17" t="s">
        <v>28</v>
      </c>
      <c r="R44" s="158">
        <v>1</v>
      </c>
      <c r="S44" s="25">
        <v>8.1350000000093132</v>
      </c>
      <c r="T44" s="17">
        <v>2.611775911305373E-2</v>
      </c>
      <c r="U44" s="16">
        <v>1</v>
      </c>
      <c r="V44" s="25">
        <v>8.1350000000093132</v>
      </c>
      <c r="W44" s="17">
        <v>9.7978011654650306E-3</v>
      </c>
    </row>
    <row r="45" spans="3:23" x14ac:dyDescent="0.35">
      <c r="C45" s="231" t="s">
        <v>273</v>
      </c>
      <c r="D45" s="231"/>
      <c r="E45" s="232"/>
      <c r="F45" s="147">
        <v>0</v>
      </c>
      <c r="G45" s="148">
        <v>0</v>
      </c>
      <c r="H45" s="149" t="e">
        <v>#DIV/0!</v>
      </c>
      <c r="I45" s="147">
        <v>1</v>
      </c>
      <c r="J45" s="148">
        <v>0.19416666682809591</v>
      </c>
      <c r="K45" s="149">
        <v>4.3587629879289215E-4</v>
      </c>
      <c r="L45" s="153">
        <v>0</v>
      </c>
      <c r="M45" s="148">
        <v>0</v>
      </c>
      <c r="N45" s="149">
        <v>0</v>
      </c>
      <c r="O45" s="153">
        <v>0</v>
      </c>
      <c r="P45" s="148">
        <v>0</v>
      </c>
      <c r="Q45" s="149">
        <v>0</v>
      </c>
      <c r="R45" s="153">
        <v>1</v>
      </c>
      <c r="S45" s="148">
        <v>8.1350000000093132</v>
      </c>
      <c r="T45" s="149">
        <v>2.611775911305373E-2</v>
      </c>
      <c r="U45" s="147">
        <v>2</v>
      </c>
      <c r="V45" s="148">
        <v>8.3291666668374091</v>
      </c>
      <c r="W45" s="22">
        <v>1.003165567001827E-2</v>
      </c>
    </row>
    <row r="46" spans="3:23" ht="4.5" customHeight="1" x14ac:dyDescent="0.35">
      <c r="C46" s="133"/>
      <c r="D46" s="133"/>
      <c r="E46" s="133"/>
      <c r="F46" s="18"/>
      <c r="G46" s="26"/>
      <c r="H46" s="19"/>
      <c r="I46" s="18"/>
      <c r="J46" s="26"/>
      <c r="K46" s="19"/>
      <c r="L46" s="159"/>
      <c r="M46" s="26"/>
      <c r="N46" s="19"/>
      <c r="O46" s="159"/>
      <c r="P46" s="26"/>
      <c r="Q46" s="19"/>
      <c r="R46" s="159"/>
      <c r="S46" s="26"/>
      <c r="T46" s="19"/>
      <c r="U46" s="18"/>
      <c r="V46" s="26"/>
      <c r="W46" s="19"/>
    </row>
    <row r="47" spans="3:23" hidden="1" x14ac:dyDescent="0.35">
      <c r="C47" s="129" t="s">
        <v>274</v>
      </c>
      <c r="D47" s="129" t="s">
        <v>247</v>
      </c>
      <c r="E47" s="130" t="s">
        <v>323</v>
      </c>
      <c r="F47" s="15" t="s">
        <v>27</v>
      </c>
      <c r="G47" s="24" t="s">
        <v>27</v>
      </c>
      <c r="H47" s="14" t="s">
        <v>28</v>
      </c>
      <c r="I47" s="15" t="s">
        <v>27</v>
      </c>
      <c r="J47" s="24" t="s">
        <v>27</v>
      </c>
      <c r="K47" s="14" t="s">
        <v>28</v>
      </c>
      <c r="L47" s="156" t="s">
        <v>27</v>
      </c>
      <c r="M47" s="24" t="s">
        <v>27</v>
      </c>
      <c r="N47" s="14" t="s">
        <v>28</v>
      </c>
      <c r="O47" s="156" t="s">
        <v>27</v>
      </c>
      <c r="P47" s="24" t="s">
        <v>27</v>
      </c>
      <c r="Q47" s="14" t="s">
        <v>28</v>
      </c>
      <c r="R47" s="156" t="s">
        <v>27</v>
      </c>
      <c r="S47" s="24" t="s">
        <v>27</v>
      </c>
      <c r="T47" s="14" t="s">
        <v>28</v>
      </c>
      <c r="U47" s="15" t="s">
        <v>27</v>
      </c>
      <c r="V47" s="24" t="s">
        <v>27</v>
      </c>
      <c r="W47" s="14" t="s">
        <v>28</v>
      </c>
    </row>
    <row r="48" spans="3:23" x14ac:dyDescent="0.35">
      <c r="C48" s="129" t="s">
        <v>274</v>
      </c>
      <c r="D48" s="129" t="s">
        <v>249</v>
      </c>
      <c r="E48" s="130" t="s">
        <v>324</v>
      </c>
      <c r="F48" s="15" t="s">
        <v>27</v>
      </c>
      <c r="G48" s="24" t="s">
        <v>27</v>
      </c>
      <c r="H48" s="14" t="s">
        <v>28</v>
      </c>
      <c r="I48" s="15" t="s">
        <v>27</v>
      </c>
      <c r="J48" s="24" t="s">
        <v>27</v>
      </c>
      <c r="K48" s="14" t="s">
        <v>28</v>
      </c>
      <c r="L48" s="156" t="s">
        <v>27</v>
      </c>
      <c r="M48" s="24" t="s">
        <v>27</v>
      </c>
      <c r="N48" s="14" t="s">
        <v>28</v>
      </c>
      <c r="O48" s="156">
        <v>1</v>
      </c>
      <c r="P48" s="24">
        <v>0.53527777787530795</v>
      </c>
      <c r="Q48" s="14">
        <v>9.5435253116966153E-3</v>
      </c>
      <c r="R48" s="156" t="s">
        <v>27</v>
      </c>
      <c r="S48" s="24" t="s">
        <v>27</v>
      </c>
      <c r="T48" s="14" t="s">
        <v>28</v>
      </c>
      <c r="U48" s="15">
        <v>1</v>
      </c>
      <c r="V48" s="24">
        <v>0.53527777787530795</v>
      </c>
      <c r="W48" s="14">
        <v>6.4468902715528209E-4</v>
      </c>
    </row>
    <row r="49" spans="3:23" x14ac:dyDescent="0.35">
      <c r="C49" s="129" t="s">
        <v>274</v>
      </c>
      <c r="D49" s="129" t="s">
        <v>261</v>
      </c>
      <c r="E49" s="130" t="s">
        <v>325</v>
      </c>
      <c r="F49" s="15" t="s">
        <v>27</v>
      </c>
      <c r="G49" s="24" t="s">
        <v>27</v>
      </c>
      <c r="H49" s="14" t="s">
        <v>28</v>
      </c>
      <c r="I49" s="15">
        <v>2</v>
      </c>
      <c r="J49" s="24">
        <v>92.179444444540422</v>
      </c>
      <c r="K49" s="14">
        <v>0.20692962250231833</v>
      </c>
      <c r="L49" s="156" t="s">
        <v>27</v>
      </c>
      <c r="M49" s="24" t="s">
        <v>27</v>
      </c>
      <c r="N49" s="14" t="s">
        <v>28</v>
      </c>
      <c r="O49" s="156" t="s">
        <v>27</v>
      </c>
      <c r="P49" s="24" t="s">
        <v>27</v>
      </c>
      <c r="Q49" s="14" t="s">
        <v>28</v>
      </c>
      <c r="R49" s="156" t="s">
        <v>27</v>
      </c>
      <c r="S49" s="24" t="s">
        <v>27</v>
      </c>
      <c r="T49" s="14" t="s">
        <v>28</v>
      </c>
      <c r="U49" s="15">
        <v>2</v>
      </c>
      <c r="V49" s="24">
        <v>92.179444444540422</v>
      </c>
      <c r="W49" s="14">
        <v>0.1110210040823114</v>
      </c>
    </row>
    <row r="50" spans="3:23" x14ac:dyDescent="0.35">
      <c r="C50" s="129" t="s">
        <v>274</v>
      </c>
      <c r="D50" s="129" t="s">
        <v>275</v>
      </c>
      <c r="E50" s="130" t="s">
        <v>326</v>
      </c>
      <c r="F50" s="15" t="s">
        <v>27</v>
      </c>
      <c r="G50" s="24" t="s">
        <v>27</v>
      </c>
      <c r="H50" s="14" t="s">
        <v>28</v>
      </c>
      <c r="I50" s="15">
        <v>2</v>
      </c>
      <c r="J50" s="24">
        <v>2.3605555555550382</v>
      </c>
      <c r="K50" s="14">
        <v>5.2991084178278022E-3</v>
      </c>
      <c r="L50" s="156">
        <v>1</v>
      </c>
      <c r="M50" s="24">
        <v>0.16972222225740552</v>
      </c>
      <c r="N50" s="14">
        <v>9.8312120891965431E-3</v>
      </c>
      <c r="O50" s="156" t="s">
        <v>27</v>
      </c>
      <c r="P50" s="24" t="s">
        <v>27</v>
      </c>
      <c r="Q50" s="14" t="s">
        <v>28</v>
      </c>
      <c r="R50" s="156" t="s">
        <v>27</v>
      </c>
      <c r="S50" s="24" t="s">
        <v>27</v>
      </c>
      <c r="T50" s="14" t="s">
        <v>28</v>
      </c>
      <c r="U50" s="15">
        <v>3</v>
      </c>
      <c r="V50" s="24">
        <v>2.5302777778124437</v>
      </c>
      <c r="W50" s="14">
        <v>3.0474687843113275E-3</v>
      </c>
    </row>
    <row r="51" spans="3:23" hidden="1" x14ac:dyDescent="0.35">
      <c r="C51" s="129" t="s">
        <v>274</v>
      </c>
      <c r="D51" s="129" t="s">
        <v>276</v>
      </c>
      <c r="E51" s="130" t="s">
        <v>327</v>
      </c>
      <c r="F51" s="15" t="s">
        <v>27</v>
      </c>
      <c r="G51" s="24" t="s">
        <v>27</v>
      </c>
      <c r="H51" s="14" t="s">
        <v>28</v>
      </c>
      <c r="I51" s="15" t="s">
        <v>27</v>
      </c>
      <c r="J51" s="24" t="s">
        <v>27</v>
      </c>
      <c r="K51" s="14" t="s">
        <v>28</v>
      </c>
      <c r="L51" s="156" t="s">
        <v>27</v>
      </c>
      <c r="M51" s="24" t="s">
        <v>27</v>
      </c>
      <c r="N51" s="14" t="s">
        <v>28</v>
      </c>
      <c r="O51" s="156" t="s">
        <v>27</v>
      </c>
      <c r="P51" s="24" t="s">
        <v>27</v>
      </c>
      <c r="Q51" s="14" t="s">
        <v>28</v>
      </c>
      <c r="R51" s="156" t="s">
        <v>27</v>
      </c>
      <c r="S51" s="24" t="s">
        <v>27</v>
      </c>
      <c r="T51" s="14" t="s">
        <v>28</v>
      </c>
      <c r="U51" s="15" t="s">
        <v>27</v>
      </c>
      <c r="V51" s="24" t="s">
        <v>27</v>
      </c>
      <c r="W51" s="14" t="s">
        <v>28</v>
      </c>
    </row>
    <row r="52" spans="3:23" hidden="1" x14ac:dyDescent="0.35">
      <c r="C52" s="129" t="s">
        <v>274</v>
      </c>
      <c r="D52" s="129" t="s">
        <v>277</v>
      </c>
      <c r="E52" s="130" t="s">
        <v>328</v>
      </c>
      <c r="F52" s="15" t="s">
        <v>27</v>
      </c>
      <c r="G52" s="24" t="s">
        <v>27</v>
      </c>
      <c r="H52" s="14" t="s">
        <v>28</v>
      </c>
      <c r="I52" s="15" t="s">
        <v>27</v>
      </c>
      <c r="J52" s="24" t="s">
        <v>27</v>
      </c>
      <c r="K52" s="14" t="s">
        <v>28</v>
      </c>
      <c r="L52" s="156" t="s">
        <v>27</v>
      </c>
      <c r="M52" s="24" t="s">
        <v>27</v>
      </c>
      <c r="N52" s="14" t="s">
        <v>28</v>
      </c>
      <c r="O52" s="156" t="s">
        <v>27</v>
      </c>
      <c r="P52" s="24" t="s">
        <v>27</v>
      </c>
      <c r="Q52" s="14" t="s">
        <v>28</v>
      </c>
      <c r="R52" s="156" t="s">
        <v>27</v>
      </c>
      <c r="S52" s="24" t="s">
        <v>27</v>
      </c>
      <c r="T52" s="14" t="s">
        <v>28</v>
      </c>
      <c r="U52" s="15" t="s">
        <v>27</v>
      </c>
      <c r="V52" s="24" t="s">
        <v>27</v>
      </c>
      <c r="W52" s="14" t="s">
        <v>28</v>
      </c>
    </row>
    <row r="53" spans="3:23" hidden="1" x14ac:dyDescent="0.35">
      <c r="C53" s="129" t="s">
        <v>274</v>
      </c>
      <c r="D53" s="129" t="s">
        <v>278</v>
      </c>
      <c r="E53" s="130" t="s">
        <v>329</v>
      </c>
      <c r="F53" s="15" t="s">
        <v>27</v>
      </c>
      <c r="G53" s="24" t="s">
        <v>27</v>
      </c>
      <c r="H53" s="14" t="s">
        <v>28</v>
      </c>
      <c r="I53" s="15" t="s">
        <v>27</v>
      </c>
      <c r="J53" s="24" t="s">
        <v>27</v>
      </c>
      <c r="K53" s="14" t="s">
        <v>28</v>
      </c>
      <c r="L53" s="156" t="s">
        <v>27</v>
      </c>
      <c r="M53" s="24" t="s">
        <v>27</v>
      </c>
      <c r="N53" s="14" t="s">
        <v>28</v>
      </c>
      <c r="O53" s="156" t="s">
        <v>27</v>
      </c>
      <c r="P53" s="24" t="s">
        <v>27</v>
      </c>
      <c r="Q53" s="14" t="s">
        <v>28</v>
      </c>
      <c r="R53" s="156" t="s">
        <v>27</v>
      </c>
      <c r="S53" s="24" t="s">
        <v>27</v>
      </c>
      <c r="T53" s="14" t="s">
        <v>28</v>
      </c>
      <c r="U53" s="15" t="s">
        <v>27</v>
      </c>
      <c r="V53" s="24" t="s">
        <v>27</v>
      </c>
      <c r="W53" s="14" t="s">
        <v>28</v>
      </c>
    </row>
    <row r="54" spans="3:23" hidden="1" x14ac:dyDescent="0.35">
      <c r="C54" s="129" t="s">
        <v>274</v>
      </c>
      <c r="D54" s="129" t="s">
        <v>270</v>
      </c>
      <c r="E54" s="130" t="s">
        <v>330</v>
      </c>
      <c r="F54" s="15" t="s">
        <v>27</v>
      </c>
      <c r="G54" s="24" t="s">
        <v>27</v>
      </c>
      <c r="H54" s="14" t="s">
        <v>28</v>
      </c>
      <c r="I54" s="15" t="s">
        <v>27</v>
      </c>
      <c r="J54" s="24" t="s">
        <v>27</v>
      </c>
      <c r="K54" s="14" t="s">
        <v>28</v>
      </c>
      <c r="L54" s="156" t="s">
        <v>27</v>
      </c>
      <c r="M54" s="24" t="s">
        <v>27</v>
      </c>
      <c r="N54" s="14" t="s">
        <v>28</v>
      </c>
      <c r="O54" s="156" t="s">
        <v>27</v>
      </c>
      <c r="P54" s="24" t="s">
        <v>27</v>
      </c>
      <c r="Q54" s="14" t="s">
        <v>28</v>
      </c>
      <c r="R54" s="156" t="s">
        <v>27</v>
      </c>
      <c r="S54" s="24" t="s">
        <v>27</v>
      </c>
      <c r="T54" s="14" t="s">
        <v>28</v>
      </c>
      <c r="U54" s="15" t="s">
        <v>27</v>
      </c>
      <c r="V54" s="24" t="s">
        <v>27</v>
      </c>
      <c r="W54" s="14" t="s">
        <v>28</v>
      </c>
    </row>
    <row r="55" spans="3:23" hidden="1" x14ac:dyDescent="0.35">
      <c r="C55" s="132" t="s">
        <v>274</v>
      </c>
      <c r="D55" s="132" t="s">
        <v>279</v>
      </c>
      <c r="E55" s="132" t="s">
        <v>331</v>
      </c>
      <c r="F55" s="16" t="s">
        <v>27</v>
      </c>
      <c r="G55" s="25" t="s">
        <v>27</v>
      </c>
      <c r="H55" s="17" t="s">
        <v>28</v>
      </c>
      <c r="I55" s="16" t="s">
        <v>27</v>
      </c>
      <c r="J55" s="25" t="s">
        <v>27</v>
      </c>
      <c r="K55" s="17" t="s">
        <v>28</v>
      </c>
      <c r="L55" s="158" t="s">
        <v>27</v>
      </c>
      <c r="M55" s="25" t="s">
        <v>27</v>
      </c>
      <c r="N55" s="17" t="s">
        <v>28</v>
      </c>
      <c r="O55" s="158" t="s">
        <v>27</v>
      </c>
      <c r="P55" s="25" t="s">
        <v>27</v>
      </c>
      <c r="Q55" s="17" t="s">
        <v>28</v>
      </c>
      <c r="R55" s="158" t="s">
        <v>27</v>
      </c>
      <c r="S55" s="25" t="s">
        <v>27</v>
      </c>
      <c r="T55" s="17" t="s">
        <v>28</v>
      </c>
      <c r="U55" s="16" t="s">
        <v>27</v>
      </c>
      <c r="V55" s="25" t="s">
        <v>27</v>
      </c>
      <c r="W55" s="17" t="s">
        <v>28</v>
      </c>
    </row>
    <row r="56" spans="3:23" x14ac:dyDescent="0.35">
      <c r="C56" s="231" t="s">
        <v>280</v>
      </c>
      <c r="D56" s="231"/>
      <c r="E56" s="231"/>
      <c r="F56" s="150">
        <v>0</v>
      </c>
      <c r="G56" s="151">
        <v>0</v>
      </c>
      <c r="H56" s="152" t="e">
        <v>#DIV/0!</v>
      </c>
      <c r="I56" s="150">
        <v>4</v>
      </c>
      <c r="J56" s="151">
        <v>94.540000000095461</v>
      </c>
      <c r="K56" s="152">
        <v>0.21222873092014613</v>
      </c>
      <c r="L56" s="177">
        <v>1</v>
      </c>
      <c r="M56" s="151">
        <v>0.16972222225740552</v>
      </c>
      <c r="N56" s="152">
        <v>9.8312120891965431E-3</v>
      </c>
      <c r="O56" s="177">
        <v>1</v>
      </c>
      <c r="P56" s="151">
        <v>0.53527777787530795</v>
      </c>
      <c r="Q56" s="152">
        <v>9.5435253116966153E-3</v>
      </c>
      <c r="R56" s="177">
        <v>0</v>
      </c>
      <c r="S56" s="151">
        <v>0</v>
      </c>
      <c r="T56" s="152">
        <v>0</v>
      </c>
      <c r="U56" s="150">
        <v>6</v>
      </c>
      <c r="V56" s="151">
        <v>95.245000000228174</v>
      </c>
      <c r="W56" s="28">
        <v>0.11471316189377802</v>
      </c>
    </row>
    <row r="57" spans="3:23" ht="4.5" customHeight="1" x14ac:dyDescent="0.35">
      <c r="C57" s="133"/>
      <c r="D57" s="133"/>
      <c r="E57" s="133"/>
      <c r="F57" s="18"/>
      <c r="G57" s="26"/>
      <c r="H57" s="19"/>
      <c r="I57" s="18"/>
      <c r="J57" s="26"/>
      <c r="K57" s="19"/>
      <c r="L57" s="159"/>
      <c r="M57" s="26"/>
      <c r="N57" s="19"/>
      <c r="O57" s="159"/>
      <c r="P57" s="26"/>
      <c r="Q57" s="19"/>
      <c r="R57" s="159"/>
      <c r="S57" s="26"/>
      <c r="T57" s="19"/>
      <c r="U57" s="18"/>
      <c r="V57" s="26"/>
      <c r="W57" s="19"/>
    </row>
    <row r="58" spans="3:23" x14ac:dyDescent="0.35">
      <c r="C58" s="129" t="s">
        <v>281</v>
      </c>
      <c r="D58" s="129" t="s">
        <v>247</v>
      </c>
      <c r="E58" s="134" t="s">
        <v>332</v>
      </c>
      <c r="F58" s="20" t="s">
        <v>27</v>
      </c>
      <c r="G58" s="29" t="s">
        <v>27</v>
      </c>
      <c r="H58" s="45" t="s">
        <v>28</v>
      </c>
      <c r="I58" s="20">
        <v>1</v>
      </c>
      <c r="J58" s="29">
        <v>0.3911111110355705</v>
      </c>
      <c r="K58" s="45">
        <v>8.7798830911533403E-4</v>
      </c>
      <c r="L58" s="76" t="s">
        <v>27</v>
      </c>
      <c r="M58" s="29" t="s">
        <v>27</v>
      </c>
      <c r="N58" s="45" t="s">
        <v>28</v>
      </c>
      <c r="O58" s="76" t="s">
        <v>27</v>
      </c>
      <c r="P58" s="29" t="s">
        <v>27</v>
      </c>
      <c r="Q58" s="45" t="s">
        <v>28</v>
      </c>
      <c r="R58" s="76">
        <v>1</v>
      </c>
      <c r="S58" s="29">
        <v>0.33722222229698673</v>
      </c>
      <c r="T58" s="45">
        <v>1.0826661056559648E-3</v>
      </c>
      <c r="U58" s="20">
        <v>2</v>
      </c>
      <c r="V58" s="29">
        <v>0.72833333333255723</v>
      </c>
      <c r="W58" s="45">
        <v>8.7720530819478679E-4</v>
      </c>
    </row>
    <row r="59" spans="3:23" x14ac:dyDescent="0.35">
      <c r="C59" s="129" t="s">
        <v>281</v>
      </c>
      <c r="D59" s="129" t="s">
        <v>282</v>
      </c>
      <c r="E59" s="130" t="s">
        <v>333</v>
      </c>
      <c r="F59" s="15" t="s">
        <v>27</v>
      </c>
      <c r="G59" s="24" t="s">
        <v>27</v>
      </c>
      <c r="H59" s="14" t="s">
        <v>28</v>
      </c>
      <c r="I59" s="15">
        <v>5</v>
      </c>
      <c r="J59" s="24">
        <v>35.408333333500195</v>
      </c>
      <c r="K59" s="14">
        <v>7.948662626780903E-2</v>
      </c>
      <c r="L59" s="156" t="s">
        <v>27</v>
      </c>
      <c r="M59" s="24" t="s">
        <v>27</v>
      </c>
      <c r="N59" s="14" t="s">
        <v>28</v>
      </c>
      <c r="O59" s="156">
        <v>3</v>
      </c>
      <c r="P59" s="24">
        <v>6.0102777779102325</v>
      </c>
      <c r="Q59" s="14">
        <v>0.10715789161188703</v>
      </c>
      <c r="R59" s="156">
        <v>14</v>
      </c>
      <c r="S59" s="24">
        <v>23.007222222047858</v>
      </c>
      <c r="T59" s="14">
        <v>7.3865653086079272E-2</v>
      </c>
      <c r="U59" s="15">
        <v>22</v>
      </c>
      <c r="V59" s="24">
        <v>64.425833333458286</v>
      </c>
      <c r="W59" s="14">
        <v>7.7594530414245952E-2</v>
      </c>
    </row>
    <row r="60" spans="3:23" hidden="1" x14ac:dyDescent="0.35">
      <c r="C60" s="129" t="s">
        <v>281</v>
      </c>
      <c r="D60" s="129" t="s">
        <v>249</v>
      </c>
      <c r="E60" s="130" t="s">
        <v>334</v>
      </c>
      <c r="F60" s="15" t="s">
        <v>27</v>
      </c>
      <c r="G60" s="24" t="s">
        <v>27</v>
      </c>
      <c r="H60" s="14" t="s">
        <v>28</v>
      </c>
      <c r="I60" s="15" t="s">
        <v>27</v>
      </c>
      <c r="J60" s="24" t="s">
        <v>27</v>
      </c>
      <c r="K60" s="14" t="s">
        <v>28</v>
      </c>
      <c r="L60" s="156" t="s">
        <v>27</v>
      </c>
      <c r="M60" s="24" t="s">
        <v>27</v>
      </c>
      <c r="N60" s="14" t="s">
        <v>28</v>
      </c>
      <c r="O60" s="156" t="s">
        <v>27</v>
      </c>
      <c r="P60" s="24" t="s">
        <v>27</v>
      </c>
      <c r="Q60" s="14" t="s">
        <v>28</v>
      </c>
      <c r="R60" s="156" t="s">
        <v>27</v>
      </c>
      <c r="S60" s="24" t="s">
        <v>27</v>
      </c>
      <c r="T60" s="14" t="s">
        <v>28</v>
      </c>
      <c r="U60" s="15" t="s">
        <v>27</v>
      </c>
      <c r="V60" s="24" t="s">
        <v>27</v>
      </c>
      <c r="W60" s="14" t="s">
        <v>28</v>
      </c>
    </row>
    <row r="61" spans="3:23" x14ac:dyDescent="0.35">
      <c r="C61" s="129" t="s">
        <v>281</v>
      </c>
      <c r="D61" s="129" t="s">
        <v>261</v>
      </c>
      <c r="E61" s="130" t="s">
        <v>335</v>
      </c>
      <c r="F61" s="15" t="s">
        <v>27</v>
      </c>
      <c r="G61" s="24" t="s">
        <v>27</v>
      </c>
      <c r="H61" s="14" t="s">
        <v>28</v>
      </c>
      <c r="I61" s="15" t="s">
        <v>27</v>
      </c>
      <c r="J61" s="24" t="s">
        <v>27</v>
      </c>
      <c r="K61" s="14" t="s">
        <v>28</v>
      </c>
      <c r="L61" s="156" t="s">
        <v>27</v>
      </c>
      <c r="M61" s="24" t="s">
        <v>27</v>
      </c>
      <c r="N61" s="14" t="s">
        <v>28</v>
      </c>
      <c r="O61" s="156" t="s">
        <v>27</v>
      </c>
      <c r="P61" s="24" t="s">
        <v>27</v>
      </c>
      <c r="Q61" s="14" t="s">
        <v>28</v>
      </c>
      <c r="R61" s="156">
        <v>1</v>
      </c>
      <c r="S61" s="24">
        <v>5.1111111184582114E-2</v>
      </c>
      <c r="T61" s="14">
        <v>1.6409436876679701E-4</v>
      </c>
      <c r="U61" s="15">
        <v>1</v>
      </c>
      <c r="V61" s="24">
        <v>5.1111111184582114E-2</v>
      </c>
      <c r="W61" s="14">
        <v>6.1558267330293558E-5</v>
      </c>
    </row>
    <row r="62" spans="3:23" x14ac:dyDescent="0.35">
      <c r="C62" s="129" t="s">
        <v>281</v>
      </c>
      <c r="D62" s="129" t="s">
        <v>276</v>
      </c>
      <c r="E62" s="130" t="s">
        <v>336</v>
      </c>
      <c r="F62" s="15" t="s">
        <v>27</v>
      </c>
      <c r="G62" s="24" t="s">
        <v>27</v>
      </c>
      <c r="H62" s="14" t="s">
        <v>28</v>
      </c>
      <c r="I62" s="15" t="s">
        <v>27</v>
      </c>
      <c r="J62" s="24" t="s">
        <v>27</v>
      </c>
      <c r="K62" s="14" t="s">
        <v>28</v>
      </c>
      <c r="L62" s="156">
        <v>1</v>
      </c>
      <c r="M62" s="24">
        <v>0.15499999991152436</v>
      </c>
      <c r="N62" s="14">
        <v>8.978422817517354E-3</v>
      </c>
      <c r="O62" s="156">
        <v>1</v>
      </c>
      <c r="P62" s="24">
        <v>0.43027777777751908</v>
      </c>
      <c r="Q62" s="14">
        <v>7.6714689699614166E-3</v>
      </c>
      <c r="R62" s="156">
        <v>7</v>
      </c>
      <c r="S62" s="24">
        <v>4.4474999996018596</v>
      </c>
      <c r="T62" s="14">
        <v>1.4278885512572214E-2</v>
      </c>
      <c r="U62" s="15">
        <v>9</v>
      </c>
      <c r="V62" s="24">
        <v>5.032777777290903</v>
      </c>
      <c r="W62" s="14">
        <v>6.0614819879300386E-3</v>
      </c>
    </row>
    <row r="63" spans="3:23" x14ac:dyDescent="0.35">
      <c r="C63" s="129" t="s">
        <v>281</v>
      </c>
      <c r="D63" s="129" t="s">
        <v>277</v>
      </c>
      <c r="E63" s="130" t="s">
        <v>337</v>
      </c>
      <c r="F63" s="15" t="s">
        <v>27</v>
      </c>
      <c r="G63" s="24" t="s">
        <v>27</v>
      </c>
      <c r="H63" s="14" t="s">
        <v>28</v>
      </c>
      <c r="I63" s="15">
        <v>1</v>
      </c>
      <c r="J63" s="24">
        <v>0.81361111113801599</v>
      </c>
      <c r="K63" s="14">
        <v>1.8264401690202745E-3</v>
      </c>
      <c r="L63" s="156" t="s">
        <v>27</v>
      </c>
      <c r="M63" s="24" t="s">
        <v>27</v>
      </c>
      <c r="N63" s="14" t="s">
        <v>28</v>
      </c>
      <c r="O63" s="156">
        <v>1</v>
      </c>
      <c r="P63" s="24">
        <v>0.46194444433785975</v>
      </c>
      <c r="Q63" s="14">
        <v>8.2360573880632185E-3</v>
      </c>
      <c r="R63" s="156" t="s">
        <v>27</v>
      </c>
      <c r="S63" s="24" t="s">
        <v>27</v>
      </c>
      <c r="T63" s="14" t="s">
        <v>28</v>
      </c>
      <c r="U63" s="15">
        <v>2</v>
      </c>
      <c r="V63" s="24">
        <v>1.2755555554758757</v>
      </c>
      <c r="W63" s="14">
        <v>1.5362802345473415E-3</v>
      </c>
    </row>
    <row r="64" spans="3:23" x14ac:dyDescent="0.35">
      <c r="C64" s="132" t="s">
        <v>281</v>
      </c>
      <c r="D64" s="132" t="s">
        <v>278</v>
      </c>
      <c r="E64" s="132" t="s">
        <v>338</v>
      </c>
      <c r="F64" s="16" t="s">
        <v>27</v>
      </c>
      <c r="G64" s="25" t="s">
        <v>27</v>
      </c>
      <c r="H64" s="17" t="s">
        <v>28</v>
      </c>
      <c r="I64" s="16">
        <v>1</v>
      </c>
      <c r="J64" s="25">
        <v>94.173333333281334</v>
      </c>
      <c r="K64" s="17">
        <v>0.21140561687986051</v>
      </c>
      <c r="L64" s="158" t="s">
        <v>27</v>
      </c>
      <c r="M64" s="25" t="s">
        <v>27</v>
      </c>
      <c r="N64" s="17" t="s">
        <v>28</v>
      </c>
      <c r="O64" s="158" t="s">
        <v>27</v>
      </c>
      <c r="P64" s="25" t="s">
        <v>27</v>
      </c>
      <c r="Q64" s="17" t="s">
        <v>28</v>
      </c>
      <c r="R64" s="158" t="s">
        <v>27</v>
      </c>
      <c r="S64" s="25" t="s">
        <v>27</v>
      </c>
      <c r="T64" s="17" t="s">
        <v>28</v>
      </c>
      <c r="U64" s="16">
        <v>1</v>
      </c>
      <c r="V64" s="25">
        <v>94.173333333281334</v>
      </c>
      <c r="W64" s="17">
        <v>0.11342244561616403</v>
      </c>
    </row>
    <row r="65" spans="3:23" x14ac:dyDescent="0.35">
      <c r="C65" s="231" t="s">
        <v>283</v>
      </c>
      <c r="D65" s="231"/>
      <c r="E65" s="232"/>
      <c r="F65" s="147">
        <v>0</v>
      </c>
      <c r="G65" s="148">
        <v>0</v>
      </c>
      <c r="H65" s="149" t="e">
        <v>#DIV/0!</v>
      </c>
      <c r="I65" s="147">
        <v>8</v>
      </c>
      <c r="J65" s="148">
        <v>130.78638888895512</v>
      </c>
      <c r="K65" s="149">
        <v>0.29359667162580516</v>
      </c>
      <c r="L65" s="153">
        <v>1</v>
      </c>
      <c r="M65" s="148">
        <v>0.15499999991152436</v>
      </c>
      <c r="N65" s="149">
        <v>8.978422817517354E-3</v>
      </c>
      <c r="O65" s="153">
        <v>5</v>
      </c>
      <c r="P65" s="148">
        <v>6.9025000000256114</v>
      </c>
      <c r="Q65" s="149">
        <v>0.12306541796991166</v>
      </c>
      <c r="R65" s="153">
        <v>23</v>
      </c>
      <c r="S65" s="148">
        <v>27.843055555131286</v>
      </c>
      <c r="T65" s="149">
        <v>8.9391299073074248E-2</v>
      </c>
      <c r="U65" s="147">
        <v>37</v>
      </c>
      <c r="V65" s="148">
        <v>165.68694444402354</v>
      </c>
      <c r="W65" s="22">
        <v>0.19955350182841244</v>
      </c>
    </row>
    <row r="66" spans="3:23" ht="4.5" customHeight="1" x14ac:dyDescent="0.35">
      <c r="C66" s="133"/>
      <c r="D66" s="133"/>
      <c r="E66" s="133"/>
      <c r="F66" s="18"/>
      <c r="G66" s="26"/>
      <c r="H66" s="19"/>
      <c r="I66" s="18"/>
      <c r="J66" s="26"/>
      <c r="K66" s="19"/>
      <c r="L66" s="159"/>
      <c r="M66" s="26"/>
      <c r="N66" s="19"/>
      <c r="O66" s="159"/>
      <c r="P66" s="26"/>
      <c r="Q66" s="19"/>
      <c r="R66" s="159"/>
      <c r="S66" s="26"/>
      <c r="T66" s="19"/>
      <c r="U66" s="18"/>
      <c r="V66" s="26"/>
      <c r="W66" s="19"/>
    </row>
    <row r="67" spans="3:23" x14ac:dyDescent="0.35">
      <c r="C67" s="129" t="s">
        <v>284</v>
      </c>
      <c r="D67" s="129" t="s">
        <v>270</v>
      </c>
      <c r="E67" s="130" t="s">
        <v>339</v>
      </c>
      <c r="F67" s="15" t="s">
        <v>27</v>
      </c>
      <c r="G67" s="24" t="s">
        <v>27</v>
      </c>
      <c r="H67" s="14" t="s">
        <v>28</v>
      </c>
      <c r="I67" s="15" t="s">
        <v>27</v>
      </c>
      <c r="J67" s="24" t="s">
        <v>27</v>
      </c>
      <c r="K67" s="14" t="s">
        <v>28</v>
      </c>
      <c r="L67" s="156" t="s">
        <v>27</v>
      </c>
      <c r="M67" s="24" t="s">
        <v>27</v>
      </c>
      <c r="N67" s="14" t="s">
        <v>28</v>
      </c>
      <c r="O67" s="156">
        <v>1</v>
      </c>
      <c r="P67" s="24">
        <v>0.37472222215728834</v>
      </c>
      <c r="Q67" s="14">
        <v>6.6809629688127023E-3</v>
      </c>
      <c r="R67" s="156" t="s">
        <v>27</v>
      </c>
      <c r="S67" s="24" t="s">
        <v>27</v>
      </c>
      <c r="T67" s="14" t="s">
        <v>28</v>
      </c>
      <c r="U67" s="15">
        <v>1</v>
      </c>
      <c r="V67" s="24">
        <v>0.37472222215728834</v>
      </c>
      <c r="W67" s="14">
        <v>4.5131577442828797E-4</v>
      </c>
    </row>
    <row r="68" spans="3:23" x14ac:dyDescent="0.35">
      <c r="C68" s="129" t="s">
        <v>284</v>
      </c>
      <c r="D68" s="129" t="s">
        <v>285</v>
      </c>
      <c r="E68" s="130" t="s">
        <v>340</v>
      </c>
      <c r="F68" s="15" t="s">
        <v>27</v>
      </c>
      <c r="G68" s="24" t="s">
        <v>27</v>
      </c>
      <c r="H68" s="14" t="s">
        <v>28</v>
      </c>
      <c r="I68" s="15" t="s">
        <v>27</v>
      </c>
      <c r="J68" s="24" t="s">
        <v>27</v>
      </c>
      <c r="K68" s="14" t="s">
        <v>28</v>
      </c>
      <c r="L68" s="156" t="s">
        <v>27</v>
      </c>
      <c r="M68" s="24" t="s">
        <v>27</v>
      </c>
      <c r="N68" s="14" t="s">
        <v>28</v>
      </c>
      <c r="O68" s="156" t="s">
        <v>27</v>
      </c>
      <c r="P68" s="24" t="s">
        <v>27</v>
      </c>
      <c r="Q68" s="14" t="s">
        <v>28</v>
      </c>
      <c r="R68" s="156">
        <v>1</v>
      </c>
      <c r="S68" s="24">
        <v>3.6091666667489335</v>
      </c>
      <c r="T68" s="14">
        <v>1.1587381143319459E-2</v>
      </c>
      <c r="U68" s="15">
        <v>1</v>
      </c>
      <c r="V68" s="24">
        <v>3.6091666667489335</v>
      </c>
      <c r="W68" s="14">
        <v>4.3468835124511078E-3</v>
      </c>
    </row>
    <row r="69" spans="3:23" hidden="1" x14ac:dyDescent="0.35">
      <c r="C69" s="129" t="s">
        <v>284</v>
      </c>
      <c r="D69" s="129" t="s">
        <v>286</v>
      </c>
      <c r="E69" s="130" t="s">
        <v>341</v>
      </c>
      <c r="F69" s="15" t="s">
        <v>27</v>
      </c>
      <c r="G69" s="24" t="s">
        <v>27</v>
      </c>
      <c r="H69" s="14" t="s">
        <v>28</v>
      </c>
      <c r="I69" s="15" t="s">
        <v>27</v>
      </c>
      <c r="J69" s="24" t="s">
        <v>27</v>
      </c>
      <c r="K69" s="14" t="s">
        <v>28</v>
      </c>
      <c r="L69" s="156" t="s">
        <v>27</v>
      </c>
      <c r="M69" s="24" t="s">
        <v>27</v>
      </c>
      <c r="N69" s="14" t="s">
        <v>28</v>
      </c>
      <c r="O69" s="156" t="s">
        <v>27</v>
      </c>
      <c r="P69" s="24" t="s">
        <v>27</v>
      </c>
      <c r="Q69" s="14" t="s">
        <v>28</v>
      </c>
      <c r="R69" s="156" t="s">
        <v>27</v>
      </c>
      <c r="S69" s="24" t="s">
        <v>27</v>
      </c>
      <c r="T69" s="14" t="s">
        <v>28</v>
      </c>
      <c r="U69" s="15" t="s">
        <v>27</v>
      </c>
      <c r="V69" s="24" t="s">
        <v>27</v>
      </c>
      <c r="W69" s="14" t="s">
        <v>28</v>
      </c>
    </row>
    <row r="70" spans="3:23" hidden="1" x14ac:dyDescent="0.35">
      <c r="C70" s="129" t="s">
        <v>284</v>
      </c>
      <c r="D70" s="129" t="s">
        <v>287</v>
      </c>
      <c r="E70" s="130" t="s">
        <v>342</v>
      </c>
      <c r="F70" s="15" t="s">
        <v>27</v>
      </c>
      <c r="G70" s="24" t="s">
        <v>27</v>
      </c>
      <c r="H70" s="14" t="s">
        <v>28</v>
      </c>
      <c r="I70" s="15" t="s">
        <v>27</v>
      </c>
      <c r="J70" s="24" t="s">
        <v>27</v>
      </c>
      <c r="K70" s="14" t="s">
        <v>28</v>
      </c>
      <c r="L70" s="156" t="s">
        <v>27</v>
      </c>
      <c r="M70" s="24" t="s">
        <v>27</v>
      </c>
      <c r="N70" s="14" t="s">
        <v>28</v>
      </c>
      <c r="O70" s="156" t="s">
        <v>27</v>
      </c>
      <c r="P70" s="24" t="s">
        <v>27</v>
      </c>
      <c r="Q70" s="14" t="s">
        <v>28</v>
      </c>
      <c r="R70" s="156" t="s">
        <v>27</v>
      </c>
      <c r="S70" s="24" t="s">
        <v>27</v>
      </c>
      <c r="T70" s="14" t="s">
        <v>28</v>
      </c>
      <c r="U70" s="15" t="s">
        <v>27</v>
      </c>
      <c r="V70" s="24" t="s">
        <v>27</v>
      </c>
      <c r="W70" s="14" t="s">
        <v>28</v>
      </c>
    </row>
    <row r="71" spans="3:23" hidden="1" x14ac:dyDescent="0.35">
      <c r="C71" s="129" t="s">
        <v>284</v>
      </c>
      <c r="D71" s="129" t="s">
        <v>288</v>
      </c>
      <c r="E71" s="130" t="s">
        <v>343</v>
      </c>
      <c r="F71" s="15" t="s">
        <v>27</v>
      </c>
      <c r="G71" s="24" t="s">
        <v>27</v>
      </c>
      <c r="H71" s="14" t="s">
        <v>28</v>
      </c>
      <c r="I71" s="15" t="s">
        <v>27</v>
      </c>
      <c r="J71" s="24" t="s">
        <v>27</v>
      </c>
      <c r="K71" s="14" t="s">
        <v>28</v>
      </c>
      <c r="L71" s="156" t="s">
        <v>27</v>
      </c>
      <c r="M71" s="24" t="s">
        <v>27</v>
      </c>
      <c r="N71" s="14" t="s">
        <v>28</v>
      </c>
      <c r="O71" s="156" t="s">
        <v>27</v>
      </c>
      <c r="P71" s="24" t="s">
        <v>27</v>
      </c>
      <c r="Q71" s="14" t="s">
        <v>28</v>
      </c>
      <c r="R71" s="156" t="s">
        <v>27</v>
      </c>
      <c r="S71" s="24" t="s">
        <v>27</v>
      </c>
      <c r="T71" s="14" t="s">
        <v>28</v>
      </c>
      <c r="U71" s="15" t="s">
        <v>27</v>
      </c>
      <c r="V71" s="24" t="s">
        <v>27</v>
      </c>
      <c r="W71" s="14" t="s">
        <v>28</v>
      </c>
    </row>
    <row r="72" spans="3:23" x14ac:dyDescent="0.35">
      <c r="C72" s="129" t="s">
        <v>284</v>
      </c>
      <c r="D72" s="129" t="s">
        <v>289</v>
      </c>
      <c r="E72" s="130" t="s">
        <v>344</v>
      </c>
      <c r="F72" s="15" t="s">
        <v>27</v>
      </c>
      <c r="G72" s="24" t="s">
        <v>27</v>
      </c>
      <c r="H72" s="14" t="s">
        <v>28</v>
      </c>
      <c r="I72" s="15" t="s">
        <v>27</v>
      </c>
      <c r="J72" s="24" t="s">
        <v>27</v>
      </c>
      <c r="K72" s="14" t="s">
        <v>28</v>
      </c>
      <c r="L72" s="156" t="s">
        <v>27</v>
      </c>
      <c r="M72" s="24" t="s">
        <v>27</v>
      </c>
      <c r="N72" s="14" t="s">
        <v>28</v>
      </c>
      <c r="O72" s="156">
        <v>1</v>
      </c>
      <c r="P72" s="24">
        <v>2.6202777777216397</v>
      </c>
      <c r="Q72" s="14">
        <v>4.6717215488792235E-2</v>
      </c>
      <c r="R72" s="156" t="s">
        <v>27</v>
      </c>
      <c r="S72" s="24" t="s">
        <v>27</v>
      </c>
      <c r="T72" s="14" t="s">
        <v>28</v>
      </c>
      <c r="U72" s="15">
        <v>1</v>
      </c>
      <c r="V72" s="24">
        <v>2.6202777777216397</v>
      </c>
      <c r="W72" s="14">
        <v>3.1558648634755762E-3</v>
      </c>
    </row>
    <row r="73" spans="3:23" x14ac:dyDescent="0.35">
      <c r="C73" s="132" t="s">
        <v>284</v>
      </c>
      <c r="D73" s="132" t="s">
        <v>272</v>
      </c>
      <c r="E73" s="132" t="s">
        <v>345</v>
      </c>
      <c r="F73" s="16" t="s">
        <v>27</v>
      </c>
      <c r="G73" s="25" t="s">
        <v>27</v>
      </c>
      <c r="H73" s="17" t="s">
        <v>28</v>
      </c>
      <c r="I73" s="16" t="s">
        <v>27</v>
      </c>
      <c r="J73" s="25" t="s">
        <v>27</v>
      </c>
      <c r="K73" s="17" t="s">
        <v>28</v>
      </c>
      <c r="L73" s="158">
        <v>1</v>
      </c>
      <c r="M73" s="25">
        <v>5.7091666666092351</v>
      </c>
      <c r="N73" s="17">
        <v>0.33070524063066581</v>
      </c>
      <c r="O73" s="158" t="s">
        <v>27</v>
      </c>
      <c r="P73" s="25" t="s">
        <v>27</v>
      </c>
      <c r="Q73" s="17" t="s">
        <v>28</v>
      </c>
      <c r="R73" s="158" t="s">
        <v>27</v>
      </c>
      <c r="S73" s="25" t="s">
        <v>27</v>
      </c>
      <c r="T73" s="17" t="s">
        <v>28</v>
      </c>
      <c r="U73" s="16">
        <v>1</v>
      </c>
      <c r="V73" s="25">
        <v>5.7091666666092351</v>
      </c>
      <c r="W73" s="17">
        <v>6.8761253620004958E-3</v>
      </c>
    </row>
    <row r="74" spans="3:23" x14ac:dyDescent="0.35">
      <c r="C74" s="231" t="s">
        <v>290</v>
      </c>
      <c r="D74" s="231"/>
      <c r="E74" s="232"/>
      <c r="F74" s="147">
        <v>0</v>
      </c>
      <c r="G74" s="148">
        <v>0</v>
      </c>
      <c r="H74" s="149" t="e">
        <v>#DIV/0!</v>
      </c>
      <c r="I74" s="147">
        <v>0</v>
      </c>
      <c r="J74" s="148">
        <v>0</v>
      </c>
      <c r="K74" s="149">
        <v>0</v>
      </c>
      <c r="L74" s="153">
        <v>1</v>
      </c>
      <c r="M74" s="148">
        <v>5.7091666666092351</v>
      </c>
      <c r="N74" s="149">
        <v>0.33070524063066581</v>
      </c>
      <c r="O74" s="153">
        <v>2</v>
      </c>
      <c r="P74" s="148">
        <v>2.9949999998789281</v>
      </c>
      <c r="Q74" s="149">
        <v>5.3398178457604938E-2</v>
      </c>
      <c r="R74" s="153">
        <v>1</v>
      </c>
      <c r="S74" s="148">
        <v>3.6091666667489335</v>
      </c>
      <c r="T74" s="149">
        <v>1.1587381143319459E-2</v>
      </c>
      <c r="U74" s="147">
        <v>4</v>
      </c>
      <c r="V74" s="148">
        <v>12.313333333237097</v>
      </c>
      <c r="W74" s="22">
        <v>1.4830189512355468E-2</v>
      </c>
    </row>
    <row r="75" spans="3:23" ht="4.5" customHeight="1" x14ac:dyDescent="0.35">
      <c r="C75" s="176"/>
      <c r="D75" s="176"/>
      <c r="E75" s="176"/>
      <c r="F75" s="147"/>
      <c r="G75" s="148"/>
      <c r="H75" s="149"/>
      <c r="I75" s="147"/>
      <c r="J75" s="148"/>
      <c r="K75" s="149"/>
      <c r="L75" s="153"/>
      <c r="M75" s="148"/>
      <c r="N75" s="149"/>
      <c r="O75" s="153"/>
      <c r="P75" s="148"/>
      <c r="Q75" s="149"/>
      <c r="R75" s="153"/>
      <c r="S75" s="148"/>
      <c r="T75" s="149"/>
      <c r="U75" s="147"/>
      <c r="V75" s="148"/>
      <c r="W75" s="19"/>
    </row>
    <row r="76" spans="3:23" x14ac:dyDescent="0.35">
      <c r="C76" s="132" t="s">
        <v>291</v>
      </c>
      <c r="D76" s="132" t="s">
        <v>67</v>
      </c>
      <c r="E76" s="169" t="s">
        <v>346</v>
      </c>
      <c r="F76" s="158" t="s">
        <v>27</v>
      </c>
      <c r="G76" s="25" t="s">
        <v>27</v>
      </c>
      <c r="H76" s="17" t="s">
        <v>28</v>
      </c>
      <c r="I76" s="16">
        <v>1</v>
      </c>
      <c r="J76" s="25">
        <v>0.97777777776354924</v>
      </c>
      <c r="K76" s="17">
        <v>2.1949707731803384E-3</v>
      </c>
      <c r="L76" s="158" t="s">
        <v>27</v>
      </c>
      <c r="M76" s="25" t="s">
        <v>27</v>
      </c>
      <c r="N76" s="17" t="s">
        <v>28</v>
      </c>
      <c r="O76" s="158" t="s">
        <v>27</v>
      </c>
      <c r="P76" s="25" t="s">
        <v>27</v>
      </c>
      <c r="Q76" s="17" t="s">
        <v>28</v>
      </c>
      <c r="R76" s="158">
        <v>1</v>
      </c>
      <c r="S76" s="25">
        <v>0.72333333338610828</v>
      </c>
      <c r="T76" s="17">
        <v>2.3222920417699982E-3</v>
      </c>
      <c r="U76" s="16">
        <v>2</v>
      </c>
      <c r="V76" s="25">
        <v>1.7011111111496575</v>
      </c>
      <c r="W76" s="17">
        <v>2.0488197206378054E-3</v>
      </c>
    </row>
    <row r="77" spans="3:23" x14ac:dyDescent="0.35">
      <c r="C77" s="231" t="s">
        <v>292</v>
      </c>
      <c r="D77" s="231"/>
      <c r="E77" s="232"/>
      <c r="F77" s="147">
        <v>0</v>
      </c>
      <c r="G77" s="148">
        <v>0</v>
      </c>
      <c r="H77" s="149" t="e">
        <v>#DIV/0!</v>
      </c>
      <c r="I77" s="147">
        <v>1</v>
      </c>
      <c r="J77" s="148">
        <v>0.97777777776354924</v>
      </c>
      <c r="K77" s="149">
        <v>2.1949707731803384E-3</v>
      </c>
      <c r="L77" s="153">
        <v>0</v>
      </c>
      <c r="M77" s="148">
        <v>0</v>
      </c>
      <c r="N77" s="149">
        <v>0</v>
      </c>
      <c r="O77" s="153">
        <v>0</v>
      </c>
      <c r="P77" s="148">
        <v>0</v>
      </c>
      <c r="Q77" s="149">
        <v>0</v>
      </c>
      <c r="R77" s="153">
        <v>1</v>
      </c>
      <c r="S77" s="148">
        <v>0.72333333338610828</v>
      </c>
      <c r="T77" s="149">
        <v>2.3222920417699982E-3</v>
      </c>
      <c r="U77" s="147">
        <v>2</v>
      </c>
      <c r="V77" s="148">
        <v>1.7011111111496575</v>
      </c>
      <c r="W77" s="22">
        <v>2.0488197206378054E-3</v>
      </c>
    </row>
    <row r="78" spans="3:23" ht="4.5" customHeight="1" x14ac:dyDescent="0.35">
      <c r="C78" s="133"/>
      <c r="D78" s="133"/>
      <c r="E78" s="133"/>
      <c r="F78" s="18"/>
      <c r="G78" s="26"/>
      <c r="H78" s="19"/>
      <c r="I78" s="18"/>
      <c r="J78" s="26"/>
      <c r="K78" s="19"/>
      <c r="L78" s="159"/>
      <c r="M78" s="26"/>
      <c r="N78" s="19"/>
      <c r="O78" s="159"/>
      <c r="P78" s="26"/>
      <c r="Q78" s="19"/>
      <c r="R78" s="159"/>
      <c r="S78" s="26"/>
      <c r="T78" s="19"/>
      <c r="U78" s="18"/>
      <c r="V78" s="26"/>
      <c r="W78" s="19"/>
    </row>
    <row r="79" spans="3:23" hidden="1" x14ac:dyDescent="0.35">
      <c r="C79" s="129" t="s">
        <v>293</v>
      </c>
      <c r="D79" s="129" t="s">
        <v>226</v>
      </c>
      <c r="E79" s="75" t="s">
        <v>347</v>
      </c>
      <c r="F79" s="156" t="s">
        <v>27</v>
      </c>
      <c r="G79" s="24" t="s">
        <v>27</v>
      </c>
      <c r="H79" s="14" t="s">
        <v>28</v>
      </c>
      <c r="I79" s="15" t="s">
        <v>27</v>
      </c>
      <c r="J79" s="24" t="s">
        <v>27</v>
      </c>
      <c r="K79" s="14" t="s">
        <v>28</v>
      </c>
      <c r="L79" s="156" t="s">
        <v>27</v>
      </c>
      <c r="M79" s="24" t="s">
        <v>27</v>
      </c>
      <c r="N79" s="14" t="s">
        <v>28</v>
      </c>
      <c r="O79" s="156" t="s">
        <v>27</v>
      </c>
      <c r="P79" s="24" t="s">
        <v>27</v>
      </c>
      <c r="Q79" s="14" t="s">
        <v>28</v>
      </c>
      <c r="R79" s="156" t="s">
        <v>27</v>
      </c>
      <c r="S79" s="24" t="s">
        <v>27</v>
      </c>
      <c r="T79" s="14" t="s">
        <v>28</v>
      </c>
      <c r="U79" s="15" t="s">
        <v>27</v>
      </c>
      <c r="V79" s="24" t="s">
        <v>27</v>
      </c>
      <c r="W79" s="14" t="s">
        <v>28</v>
      </c>
    </row>
    <row r="80" spans="3:23" x14ac:dyDescent="0.35">
      <c r="C80" s="129" t="s">
        <v>293</v>
      </c>
      <c r="D80" s="129" t="s">
        <v>270</v>
      </c>
      <c r="E80" s="75" t="s">
        <v>348</v>
      </c>
      <c r="F80" s="156" t="s">
        <v>27</v>
      </c>
      <c r="G80" s="24" t="s">
        <v>27</v>
      </c>
      <c r="H80" s="14" t="s">
        <v>28</v>
      </c>
      <c r="I80" s="15" t="s">
        <v>27</v>
      </c>
      <c r="J80" s="24" t="s">
        <v>27</v>
      </c>
      <c r="K80" s="14" t="s">
        <v>28</v>
      </c>
      <c r="L80" s="156" t="s">
        <v>27</v>
      </c>
      <c r="M80" s="24" t="s">
        <v>27</v>
      </c>
      <c r="N80" s="14" t="s">
        <v>28</v>
      </c>
      <c r="O80" s="156">
        <v>1</v>
      </c>
      <c r="P80" s="24">
        <v>2.8888888831716031E-2</v>
      </c>
      <c r="Q80" s="14">
        <v>5.1506311897837811E-4</v>
      </c>
      <c r="R80" s="156">
        <v>1</v>
      </c>
      <c r="S80" s="24">
        <v>0.73166666674660519</v>
      </c>
      <c r="T80" s="14">
        <v>2.3490465584655091E-3</v>
      </c>
      <c r="U80" s="15">
        <v>2</v>
      </c>
      <c r="V80" s="24">
        <v>0.76055555557832122</v>
      </c>
      <c r="W80" s="14">
        <v>9.1601378104949583E-4</v>
      </c>
    </row>
    <row r="81" spans="3:23" x14ac:dyDescent="0.35">
      <c r="C81" s="129" t="s">
        <v>293</v>
      </c>
      <c r="D81" s="129" t="s">
        <v>294</v>
      </c>
      <c r="E81" s="75" t="s">
        <v>349</v>
      </c>
      <c r="F81" s="156" t="s">
        <v>27</v>
      </c>
      <c r="G81" s="24" t="s">
        <v>27</v>
      </c>
      <c r="H81" s="14" t="s">
        <v>28</v>
      </c>
      <c r="I81" s="15" t="s">
        <v>27</v>
      </c>
      <c r="J81" s="24" t="s">
        <v>27</v>
      </c>
      <c r="K81" s="14" t="s">
        <v>28</v>
      </c>
      <c r="L81" s="156" t="s">
        <v>27</v>
      </c>
      <c r="M81" s="24" t="s">
        <v>27</v>
      </c>
      <c r="N81" s="14" t="s">
        <v>28</v>
      </c>
      <c r="O81" s="156" t="s">
        <v>27</v>
      </c>
      <c r="P81" s="24" t="s">
        <v>27</v>
      </c>
      <c r="Q81" s="14" t="s">
        <v>28</v>
      </c>
      <c r="R81" s="156">
        <v>1</v>
      </c>
      <c r="S81" s="24">
        <v>0.63277777779148892</v>
      </c>
      <c r="T81" s="14">
        <v>2.0315596278343735E-3</v>
      </c>
      <c r="U81" s="15">
        <v>1</v>
      </c>
      <c r="V81" s="24">
        <v>0.63277777779148892</v>
      </c>
      <c r="W81" s="14">
        <v>7.6211811293407799E-4</v>
      </c>
    </row>
    <row r="82" spans="3:23" x14ac:dyDescent="0.35">
      <c r="C82" s="129" t="s">
        <v>293</v>
      </c>
      <c r="D82" s="129" t="s">
        <v>295</v>
      </c>
      <c r="E82" s="75" t="s">
        <v>350</v>
      </c>
      <c r="F82" s="156" t="s">
        <v>27</v>
      </c>
      <c r="G82" s="24" t="s">
        <v>27</v>
      </c>
      <c r="H82" s="14" t="s">
        <v>28</v>
      </c>
      <c r="I82" s="15">
        <v>3</v>
      </c>
      <c r="J82" s="24">
        <v>7.1494444445706904</v>
      </c>
      <c r="K82" s="14">
        <v>1.6049476636913418E-2</v>
      </c>
      <c r="L82" s="156">
        <v>2</v>
      </c>
      <c r="M82" s="24">
        <v>6.9711111111100763</v>
      </c>
      <c r="N82" s="14">
        <v>0.40380376193010487</v>
      </c>
      <c r="O82" s="156">
        <v>1</v>
      </c>
      <c r="P82" s="24">
        <v>3.6355555555201136</v>
      </c>
      <c r="Q82" s="14">
        <v>6.4818712639081066E-2</v>
      </c>
      <c r="R82" s="156">
        <v>6</v>
      </c>
      <c r="S82" s="24">
        <v>17.924166666751262</v>
      </c>
      <c r="T82" s="14">
        <v>5.754628977306709E-2</v>
      </c>
      <c r="U82" s="15">
        <v>12</v>
      </c>
      <c r="V82" s="24">
        <v>35.680277777952142</v>
      </c>
      <c r="W82" s="14">
        <v>4.2973357983593773E-2</v>
      </c>
    </row>
    <row r="83" spans="3:23" x14ac:dyDescent="0.35">
      <c r="C83" s="132" t="s">
        <v>293</v>
      </c>
      <c r="D83" s="132" t="s">
        <v>296</v>
      </c>
      <c r="E83" s="170" t="s">
        <v>351</v>
      </c>
      <c r="F83" s="168" t="s">
        <v>27</v>
      </c>
      <c r="G83" s="166" t="s">
        <v>27</v>
      </c>
      <c r="H83" s="167" t="s">
        <v>28</v>
      </c>
      <c r="I83" s="165">
        <v>14</v>
      </c>
      <c r="J83" s="166">
        <v>205.49194444465684</v>
      </c>
      <c r="K83" s="167">
        <v>0.46129992155446009</v>
      </c>
      <c r="L83" s="168">
        <v>6</v>
      </c>
      <c r="M83" s="166">
        <v>4.2586111110867932</v>
      </c>
      <c r="N83" s="167">
        <v>0.24668136253251538</v>
      </c>
      <c r="O83" s="168">
        <v>5</v>
      </c>
      <c r="P83" s="166">
        <v>2.1961111110867932</v>
      </c>
      <c r="Q83" s="167">
        <v>3.9154702179393049E-2</v>
      </c>
      <c r="R83" s="168">
        <v>18</v>
      </c>
      <c r="S83" s="166">
        <v>19.724166666681413</v>
      </c>
      <c r="T83" s="167">
        <v>6.3325265360235944E-2</v>
      </c>
      <c r="U83" s="165">
        <v>43</v>
      </c>
      <c r="V83" s="166">
        <v>231.67083333351184</v>
      </c>
      <c r="W83" s="167">
        <v>0.2790245557267042</v>
      </c>
    </row>
    <row r="84" spans="3:23" x14ac:dyDescent="0.35">
      <c r="C84" s="231" t="s">
        <v>297</v>
      </c>
      <c r="D84" s="231"/>
      <c r="E84" s="235"/>
      <c r="F84" s="147">
        <v>0</v>
      </c>
      <c r="G84" s="148">
        <v>0</v>
      </c>
      <c r="H84" s="149" t="e">
        <v>#DIV/0!</v>
      </c>
      <c r="I84" s="147">
        <v>17</v>
      </c>
      <c r="J84" s="148">
        <v>212.64138888922753</v>
      </c>
      <c r="K84" s="149">
        <v>0.47734939819137351</v>
      </c>
      <c r="L84" s="153">
        <v>8</v>
      </c>
      <c r="M84" s="148">
        <v>11.22972222219687</v>
      </c>
      <c r="N84" s="149">
        <v>0.6504851244626203</v>
      </c>
      <c r="O84" s="153">
        <v>7</v>
      </c>
      <c r="P84" s="148">
        <v>5.8605555554386228</v>
      </c>
      <c r="Q84" s="149">
        <v>0.1044884779374525</v>
      </c>
      <c r="R84" s="153">
        <v>26</v>
      </c>
      <c r="S84" s="148">
        <v>39.012777777970769</v>
      </c>
      <c r="T84" s="149">
        <v>0.1252521613196029</v>
      </c>
      <c r="U84" s="147">
        <v>58</v>
      </c>
      <c r="V84" s="148">
        <v>268.74444444483379</v>
      </c>
      <c r="W84" s="22">
        <v>0.32367604560428154</v>
      </c>
    </row>
    <row r="85" spans="3:23" ht="4.5" customHeight="1" x14ac:dyDescent="0.35">
      <c r="C85" s="21"/>
      <c r="D85" s="21"/>
      <c r="E85" s="21"/>
      <c r="F85" s="21"/>
      <c r="G85" s="27"/>
      <c r="H85" s="19"/>
      <c r="I85" s="40"/>
      <c r="J85" s="27"/>
      <c r="K85" s="19"/>
      <c r="L85" s="21"/>
      <c r="M85" s="27"/>
      <c r="N85" s="19"/>
      <c r="O85" s="21"/>
      <c r="P85" s="27"/>
      <c r="Q85" s="19"/>
      <c r="R85" s="21"/>
      <c r="S85" s="27"/>
      <c r="T85" s="19"/>
      <c r="U85" s="40"/>
      <c r="V85" s="27"/>
      <c r="W85" s="19"/>
    </row>
    <row r="86" spans="3:23" x14ac:dyDescent="0.35">
      <c r="C86" s="9"/>
      <c r="D86" s="9"/>
      <c r="E86" s="171" t="s">
        <v>29</v>
      </c>
      <c r="F86" s="172">
        <v>0</v>
      </c>
      <c r="G86" s="173">
        <v>0</v>
      </c>
      <c r="H86" s="131" t="e">
        <v>#DIV/0!</v>
      </c>
      <c r="I86" s="172">
        <v>38</v>
      </c>
      <c r="J86" s="173">
        <v>445.46277777850628</v>
      </c>
      <c r="K86" s="14">
        <v>1</v>
      </c>
      <c r="L86" s="174">
        <v>11</v>
      </c>
      <c r="M86" s="173">
        <v>17.263611110975035</v>
      </c>
      <c r="N86" s="14">
        <v>1</v>
      </c>
      <c r="O86" s="174">
        <v>68</v>
      </c>
      <c r="P86" s="173">
        <v>56.088055555243045</v>
      </c>
      <c r="Q86" s="14">
        <v>1</v>
      </c>
      <c r="R86" s="174">
        <v>131</v>
      </c>
      <c r="S86" s="173">
        <v>311.47388888901332</v>
      </c>
      <c r="T86" s="14">
        <v>1</v>
      </c>
      <c r="U86" s="172">
        <v>248</v>
      </c>
      <c r="V86" s="173">
        <v>830.28833333373768</v>
      </c>
      <c r="W86" s="14">
        <v>1</v>
      </c>
    </row>
    <row r="87" spans="3:23" ht="4.5" customHeight="1" x14ac:dyDescent="0.35">
      <c r="C87" s="9"/>
      <c r="D87" s="9"/>
      <c r="E87" s="171"/>
      <c r="F87" s="143"/>
      <c r="G87" s="175"/>
      <c r="H87" s="144"/>
      <c r="I87" s="143"/>
      <c r="J87" s="175"/>
      <c r="K87" s="144"/>
      <c r="L87" s="143"/>
      <c r="M87" s="175"/>
      <c r="N87" s="144"/>
      <c r="O87" s="143"/>
      <c r="P87" s="175"/>
      <c r="Q87" s="144"/>
      <c r="R87" s="143"/>
      <c r="S87" s="175"/>
      <c r="T87" s="144"/>
      <c r="U87" s="143"/>
      <c r="V87" s="175"/>
      <c r="W87" s="144"/>
    </row>
    <row r="88" spans="3:23" x14ac:dyDescent="0.35">
      <c r="C88" s="9"/>
      <c r="D88" s="9"/>
      <c r="U88" s="9"/>
      <c r="V88" s="9"/>
    </row>
    <row r="89" spans="3:23" s="9" customFormat="1" ht="4.5" customHeight="1" x14ac:dyDescent="0.35"/>
    <row r="90" spans="3:23" s="9" customFormat="1" x14ac:dyDescent="0.35">
      <c r="C90" s="130"/>
      <c r="D90" s="130"/>
      <c r="E90" s="130"/>
      <c r="F90" s="130"/>
      <c r="G90" s="130"/>
      <c r="H90" s="145"/>
      <c r="I90" s="130"/>
      <c r="J90" s="130"/>
      <c r="K90" s="145"/>
      <c r="L90" s="130"/>
      <c r="M90" s="130"/>
      <c r="N90" s="145"/>
      <c r="O90" s="130"/>
      <c r="P90" s="130"/>
      <c r="Q90" s="145"/>
      <c r="R90" s="130"/>
      <c r="S90" s="130"/>
      <c r="T90" s="145"/>
    </row>
    <row r="91" spans="3:23" s="9" customFormat="1" x14ac:dyDescent="0.35">
      <c r="C91" s="130"/>
      <c r="D91" s="130"/>
      <c r="E91" s="130"/>
      <c r="F91" s="130"/>
      <c r="G91" s="130"/>
      <c r="H91" s="145"/>
      <c r="I91" s="130"/>
      <c r="J91" s="130"/>
      <c r="K91" s="145"/>
      <c r="L91" s="130"/>
      <c r="M91" s="130"/>
      <c r="N91" s="145"/>
      <c r="O91" s="130"/>
      <c r="P91" s="130"/>
      <c r="Q91" s="145"/>
      <c r="R91" s="130"/>
      <c r="S91" s="130"/>
      <c r="T91" s="145"/>
    </row>
    <row r="92" spans="3:23" s="9" customFormat="1" x14ac:dyDescent="0.35">
      <c r="C92" s="130"/>
      <c r="D92" s="130"/>
      <c r="E92" s="130"/>
      <c r="F92" s="130"/>
      <c r="G92" s="130"/>
      <c r="H92" s="145"/>
      <c r="I92" s="130"/>
      <c r="J92" s="130"/>
      <c r="K92" s="145"/>
      <c r="L92" s="130"/>
      <c r="M92" s="130"/>
      <c r="N92" s="145"/>
      <c r="O92" s="130"/>
      <c r="P92" s="130"/>
      <c r="Q92" s="145"/>
      <c r="R92" s="130"/>
      <c r="S92" s="130"/>
      <c r="T92" s="145"/>
    </row>
    <row r="93" spans="3:23" s="9" customFormat="1" x14ac:dyDescent="0.35">
      <c r="C93" s="130"/>
      <c r="D93" s="130"/>
      <c r="E93" s="130"/>
      <c r="F93" s="130"/>
      <c r="G93" s="130"/>
      <c r="H93" s="145"/>
      <c r="I93" s="130"/>
      <c r="J93" s="130"/>
      <c r="K93" s="145"/>
      <c r="L93" s="130"/>
      <c r="M93" s="130"/>
      <c r="N93" s="145"/>
      <c r="O93" s="130"/>
      <c r="P93" s="130"/>
      <c r="Q93" s="145"/>
      <c r="R93" s="130"/>
      <c r="S93" s="130"/>
      <c r="T93" s="145"/>
    </row>
    <row r="94" spans="3:23" s="9" customFormat="1" x14ac:dyDescent="0.35">
      <c r="C94" s="130"/>
      <c r="D94" s="130"/>
      <c r="E94" s="130"/>
      <c r="F94" s="130"/>
      <c r="G94" s="130"/>
      <c r="H94" s="145"/>
      <c r="I94" s="130"/>
      <c r="J94" s="130"/>
      <c r="K94" s="145"/>
      <c r="L94" s="130"/>
      <c r="M94" s="130"/>
      <c r="N94" s="145"/>
      <c r="O94" s="130"/>
      <c r="P94" s="130"/>
      <c r="Q94" s="145"/>
      <c r="R94" s="130"/>
      <c r="S94" s="130"/>
      <c r="T94" s="145"/>
    </row>
    <row r="95" spans="3:23" s="9" customFormat="1" x14ac:dyDescent="0.35">
      <c r="C95" s="130"/>
      <c r="D95" s="130"/>
      <c r="E95" s="130"/>
      <c r="F95" s="130"/>
      <c r="G95" s="130"/>
      <c r="H95" s="145"/>
      <c r="I95" s="130"/>
      <c r="J95" s="130"/>
      <c r="K95" s="145"/>
      <c r="L95" s="130"/>
      <c r="M95" s="130"/>
      <c r="N95" s="145"/>
      <c r="O95" s="130"/>
      <c r="P95" s="130"/>
      <c r="Q95" s="145"/>
      <c r="R95" s="130"/>
      <c r="S95" s="130"/>
      <c r="T95" s="145"/>
    </row>
    <row r="96" spans="3:23" s="9" customFormat="1" x14ac:dyDescent="0.35">
      <c r="C96" s="130"/>
      <c r="D96" s="130"/>
      <c r="E96" s="130"/>
      <c r="F96" s="130"/>
      <c r="G96" s="130"/>
      <c r="H96" s="145"/>
      <c r="I96" s="130"/>
      <c r="J96" s="130"/>
      <c r="K96" s="145"/>
      <c r="L96" s="130"/>
      <c r="M96" s="130"/>
      <c r="N96" s="145"/>
      <c r="O96" s="130"/>
      <c r="P96" s="130"/>
      <c r="Q96" s="145"/>
      <c r="R96" s="130"/>
      <c r="S96" s="130"/>
      <c r="T96" s="145"/>
    </row>
    <row r="97" spans="3:20" s="9" customFormat="1" x14ac:dyDescent="0.35">
      <c r="C97" s="130"/>
      <c r="D97" s="130"/>
      <c r="E97" s="130"/>
      <c r="F97" s="130"/>
      <c r="G97" s="130"/>
      <c r="H97" s="145"/>
      <c r="I97" s="130"/>
      <c r="J97" s="130"/>
      <c r="K97" s="145"/>
      <c r="L97" s="130"/>
      <c r="M97" s="130"/>
      <c r="N97" s="145"/>
      <c r="O97" s="130"/>
      <c r="P97" s="130"/>
      <c r="Q97" s="145"/>
      <c r="R97" s="130"/>
      <c r="S97" s="130"/>
      <c r="T97" s="145"/>
    </row>
    <row r="98" spans="3:20" s="9" customFormat="1" x14ac:dyDescent="0.35">
      <c r="C98" s="130"/>
      <c r="D98" s="130"/>
      <c r="E98" s="130"/>
      <c r="F98" s="130"/>
      <c r="G98" s="130"/>
      <c r="H98" s="145"/>
      <c r="I98" s="130"/>
      <c r="J98" s="130"/>
      <c r="K98" s="145"/>
      <c r="L98" s="130"/>
      <c r="M98" s="130"/>
      <c r="N98" s="145"/>
      <c r="O98" s="130"/>
      <c r="P98" s="130"/>
      <c r="Q98" s="145"/>
      <c r="R98" s="130"/>
      <c r="S98" s="130"/>
      <c r="T98" s="145"/>
    </row>
    <row r="99" spans="3:20" s="9" customFormat="1" x14ac:dyDescent="0.35">
      <c r="C99" s="130"/>
      <c r="D99" s="130"/>
      <c r="E99" s="130"/>
      <c r="F99" s="130"/>
      <c r="G99" s="130"/>
      <c r="H99" s="145"/>
      <c r="I99" s="130"/>
      <c r="J99" s="130"/>
      <c r="K99" s="145"/>
      <c r="L99" s="130"/>
      <c r="M99" s="130"/>
      <c r="N99" s="145"/>
      <c r="O99" s="130"/>
      <c r="P99" s="130"/>
      <c r="Q99" s="145"/>
      <c r="R99" s="130"/>
      <c r="S99" s="130"/>
      <c r="T99" s="145"/>
    </row>
    <row r="100" spans="3:20" s="9" customFormat="1" x14ac:dyDescent="0.35">
      <c r="C100" s="130"/>
      <c r="D100" s="130"/>
      <c r="E100" s="130"/>
      <c r="F100" s="130"/>
      <c r="G100" s="130"/>
      <c r="H100" s="145"/>
      <c r="I100" s="130"/>
      <c r="J100" s="130"/>
      <c r="K100" s="145"/>
      <c r="L100" s="130"/>
      <c r="M100" s="130"/>
      <c r="N100" s="145"/>
      <c r="O100" s="130"/>
      <c r="P100" s="130"/>
      <c r="Q100" s="145"/>
      <c r="R100" s="130"/>
      <c r="S100" s="130"/>
      <c r="T100" s="145"/>
    </row>
    <row r="101" spans="3:20" s="9" customFormat="1" x14ac:dyDescent="0.35">
      <c r="C101" s="130"/>
      <c r="D101" s="130"/>
      <c r="E101" s="130"/>
      <c r="F101" s="130"/>
      <c r="G101" s="130"/>
      <c r="H101" s="145"/>
      <c r="I101" s="130"/>
      <c r="J101" s="130"/>
      <c r="K101" s="145"/>
      <c r="L101" s="130"/>
      <c r="M101" s="130"/>
      <c r="N101" s="145"/>
      <c r="O101" s="130"/>
      <c r="P101" s="130"/>
      <c r="Q101" s="145"/>
      <c r="R101" s="130"/>
      <c r="S101" s="130"/>
      <c r="T101" s="145"/>
    </row>
    <row r="102" spans="3:20" s="9" customFormat="1" x14ac:dyDescent="0.35">
      <c r="C102" s="130"/>
      <c r="D102" s="130"/>
      <c r="E102" s="130"/>
      <c r="F102" s="130"/>
      <c r="G102" s="130"/>
      <c r="H102" s="145"/>
      <c r="I102" s="130"/>
      <c r="J102" s="130"/>
      <c r="K102" s="145"/>
      <c r="L102" s="130"/>
      <c r="M102" s="130"/>
      <c r="N102" s="145"/>
      <c r="O102" s="130"/>
      <c r="P102" s="130"/>
      <c r="Q102" s="145"/>
      <c r="R102" s="130"/>
      <c r="S102" s="130"/>
      <c r="T102" s="145"/>
    </row>
    <row r="103" spans="3:20" s="9" customFormat="1" x14ac:dyDescent="0.35">
      <c r="C103" s="130"/>
      <c r="D103" s="130"/>
      <c r="E103" s="130"/>
      <c r="F103" s="130"/>
      <c r="G103" s="130"/>
      <c r="H103" s="145"/>
      <c r="I103" s="130"/>
      <c r="J103" s="130"/>
      <c r="K103" s="145"/>
      <c r="L103" s="130"/>
      <c r="M103" s="130"/>
      <c r="N103" s="145"/>
      <c r="O103" s="130"/>
      <c r="P103" s="130"/>
      <c r="Q103" s="145"/>
      <c r="R103" s="130"/>
      <c r="S103" s="130"/>
      <c r="T103" s="145"/>
    </row>
    <row r="104" spans="3:20" s="9" customFormat="1" x14ac:dyDescent="0.35">
      <c r="C104" s="130"/>
      <c r="D104" s="130"/>
      <c r="E104" s="130"/>
      <c r="F104" s="130"/>
      <c r="G104" s="130"/>
      <c r="H104" s="145"/>
      <c r="I104" s="130"/>
      <c r="J104" s="130"/>
      <c r="K104" s="145"/>
      <c r="L104" s="130"/>
      <c r="M104" s="130"/>
      <c r="N104" s="145"/>
      <c r="O104" s="130"/>
      <c r="P104" s="130"/>
      <c r="Q104" s="145"/>
      <c r="R104" s="130"/>
      <c r="S104" s="130"/>
      <c r="T104" s="145"/>
    </row>
    <row r="105" spans="3:20" s="9" customFormat="1" x14ac:dyDescent="0.35">
      <c r="C105" s="130"/>
      <c r="D105" s="130"/>
      <c r="E105" s="130"/>
      <c r="F105" s="130"/>
      <c r="G105" s="130"/>
      <c r="H105" s="145"/>
      <c r="I105" s="130"/>
      <c r="J105" s="130"/>
      <c r="K105" s="145"/>
      <c r="L105" s="130"/>
      <c r="M105" s="130"/>
      <c r="N105" s="145"/>
      <c r="O105" s="130"/>
      <c r="P105" s="130"/>
      <c r="Q105" s="145"/>
      <c r="R105" s="130"/>
      <c r="S105" s="130"/>
      <c r="T105" s="145"/>
    </row>
    <row r="106" spans="3:20" s="9" customFormat="1" x14ac:dyDescent="0.35">
      <c r="C106" s="130"/>
      <c r="D106" s="130"/>
      <c r="E106" s="130"/>
      <c r="F106" s="130"/>
      <c r="G106" s="130"/>
      <c r="H106" s="145"/>
      <c r="I106" s="130"/>
      <c r="J106" s="130"/>
      <c r="K106" s="145"/>
      <c r="L106" s="130"/>
      <c r="M106" s="130"/>
      <c r="N106" s="145"/>
      <c r="O106" s="130"/>
      <c r="P106" s="130"/>
      <c r="Q106" s="145"/>
      <c r="R106" s="130"/>
      <c r="S106" s="130"/>
      <c r="T106" s="145"/>
    </row>
    <row r="107" spans="3:20" s="9" customFormat="1" x14ac:dyDescent="0.35">
      <c r="C107" s="130"/>
      <c r="D107" s="130"/>
      <c r="E107" s="130"/>
      <c r="F107" s="130"/>
      <c r="G107" s="130"/>
      <c r="H107" s="145"/>
      <c r="I107" s="130"/>
      <c r="J107" s="130"/>
      <c r="K107" s="145"/>
      <c r="L107" s="130"/>
      <c r="M107" s="130"/>
      <c r="N107" s="145"/>
      <c r="O107" s="130"/>
      <c r="P107" s="130"/>
      <c r="Q107" s="145"/>
      <c r="R107" s="130"/>
      <c r="S107" s="130"/>
      <c r="T107" s="145"/>
    </row>
    <row r="108" spans="3:20" s="9" customFormat="1" x14ac:dyDescent="0.35">
      <c r="C108" s="130"/>
      <c r="D108" s="130"/>
      <c r="E108" s="130"/>
      <c r="F108" s="130"/>
      <c r="G108" s="130"/>
      <c r="H108" s="145"/>
      <c r="I108" s="130"/>
      <c r="J108" s="130"/>
      <c r="K108" s="145"/>
      <c r="L108" s="130"/>
      <c r="M108" s="130"/>
      <c r="N108" s="145"/>
      <c r="O108" s="130"/>
      <c r="P108" s="130"/>
      <c r="Q108" s="145"/>
      <c r="R108" s="130"/>
      <c r="S108" s="130"/>
      <c r="T108" s="145"/>
    </row>
    <row r="109" spans="3:20" s="9" customFormat="1" x14ac:dyDescent="0.35">
      <c r="C109" s="130"/>
      <c r="D109" s="130"/>
      <c r="E109" s="130"/>
      <c r="F109" s="130"/>
      <c r="G109" s="130"/>
      <c r="H109" s="145"/>
      <c r="I109" s="130"/>
      <c r="J109" s="130"/>
      <c r="K109" s="145"/>
      <c r="L109" s="130"/>
      <c r="M109" s="130"/>
      <c r="N109" s="145"/>
      <c r="O109" s="130"/>
      <c r="P109" s="130"/>
      <c r="Q109" s="145"/>
      <c r="R109" s="130"/>
      <c r="S109" s="130"/>
      <c r="T109" s="145"/>
    </row>
    <row r="110" spans="3:20" s="9" customFormat="1" x14ac:dyDescent="0.35">
      <c r="C110" s="130"/>
      <c r="D110" s="130"/>
      <c r="E110" s="130"/>
      <c r="F110" s="130"/>
      <c r="G110" s="130"/>
      <c r="H110" s="145"/>
      <c r="I110" s="130"/>
      <c r="J110" s="130"/>
      <c r="K110" s="145"/>
      <c r="L110" s="130"/>
      <c r="M110" s="130"/>
      <c r="N110" s="145"/>
      <c r="O110" s="130"/>
      <c r="P110" s="130"/>
      <c r="Q110" s="145"/>
      <c r="R110" s="130"/>
      <c r="S110" s="130"/>
      <c r="T110" s="145"/>
    </row>
    <row r="111" spans="3:20" s="9" customFormat="1" x14ac:dyDescent="0.35">
      <c r="C111" s="130"/>
      <c r="D111" s="130"/>
      <c r="E111" s="130"/>
      <c r="F111" s="130"/>
      <c r="G111" s="130"/>
      <c r="H111" s="145"/>
      <c r="I111" s="130"/>
      <c r="J111" s="130"/>
      <c r="K111" s="145"/>
      <c r="L111" s="130"/>
      <c r="M111" s="130"/>
      <c r="N111" s="145"/>
      <c r="O111" s="130"/>
      <c r="P111" s="130"/>
      <c r="Q111" s="145"/>
      <c r="R111" s="130"/>
      <c r="S111" s="130"/>
      <c r="T111" s="145"/>
    </row>
    <row r="112" spans="3:20" s="9" customFormat="1" x14ac:dyDescent="0.35">
      <c r="C112" s="130"/>
      <c r="D112" s="130"/>
      <c r="E112" s="130"/>
      <c r="F112" s="130"/>
      <c r="G112" s="130"/>
      <c r="H112" s="145"/>
      <c r="I112" s="130"/>
      <c r="J112" s="130"/>
      <c r="K112" s="145"/>
      <c r="L112" s="130"/>
      <c r="M112" s="130"/>
      <c r="N112" s="145"/>
      <c r="O112" s="130"/>
      <c r="P112" s="130"/>
      <c r="Q112" s="145"/>
      <c r="R112" s="130"/>
      <c r="S112" s="130"/>
      <c r="T112" s="145"/>
    </row>
    <row r="113" spans="3:20" s="9" customFormat="1" x14ac:dyDescent="0.35">
      <c r="C113" s="130"/>
      <c r="D113" s="130"/>
      <c r="E113" s="130"/>
      <c r="F113" s="130"/>
      <c r="G113" s="130"/>
      <c r="H113" s="145"/>
      <c r="I113" s="130"/>
      <c r="J113" s="130"/>
      <c r="K113" s="145"/>
      <c r="L113" s="130"/>
      <c r="M113" s="130"/>
      <c r="N113" s="145"/>
      <c r="O113" s="130"/>
      <c r="P113" s="130"/>
      <c r="Q113" s="145"/>
      <c r="R113" s="130"/>
      <c r="S113" s="130"/>
      <c r="T113" s="145"/>
    </row>
    <row r="114" spans="3:20" s="9" customFormat="1" x14ac:dyDescent="0.35">
      <c r="C114" s="130"/>
      <c r="D114" s="130"/>
      <c r="E114" s="130"/>
      <c r="F114" s="130"/>
      <c r="G114" s="130"/>
      <c r="H114" s="145"/>
      <c r="I114" s="130"/>
      <c r="J114" s="130"/>
      <c r="K114" s="145"/>
      <c r="L114" s="130"/>
      <c r="M114" s="130"/>
      <c r="N114" s="145"/>
      <c r="O114" s="130"/>
      <c r="P114" s="130"/>
      <c r="Q114" s="145"/>
      <c r="R114" s="130"/>
      <c r="S114" s="130"/>
      <c r="T114" s="145"/>
    </row>
    <row r="115" spans="3:20" s="9" customFormat="1" x14ac:dyDescent="0.35">
      <c r="C115" s="130"/>
      <c r="D115" s="130"/>
      <c r="E115" s="130"/>
      <c r="F115" s="130"/>
      <c r="G115" s="130"/>
      <c r="H115" s="145"/>
      <c r="I115" s="130"/>
      <c r="J115" s="130"/>
      <c r="K115" s="145"/>
      <c r="L115" s="130"/>
      <c r="M115" s="130"/>
      <c r="N115" s="145"/>
      <c r="O115" s="130"/>
      <c r="P115" s="130"/>
      <c r="Q115" s="145"/>
      <c r="R115" s="130"/>
      <c r="S115" s="130"/>
      <c r="T115" s="145"/>
    </row>
    <row r="116" spans="3:20" s="9" customFormat="1" x14ac:dyDescent="0.35">
      <c r="C116" s="130"/>
      <c r="D116" s="130"/>
      <c r="E116" s="130"/>
      <c r="F116" s="130"/>
      <c r="G116" s="130"/>
      <c r="H116" s="145"/>
      <c r="I116" s="130"/>
      <c r="J116" s="130"/>
      <c r="K116" s="145"/>
      <c r="L116" s="130"/>
      <c r="M116" s="130"/>
      <c r="N116" s="145"/>
      <c r="O116" s="130"/>
      <c r="P116" s="130"/>
      <c r="Q116" s="145"/>
      <c r="R116" s="130"/>
      <c r="S116" s="130"/>
      <c r="T116" s="145"/>
    </row>
    <row r="117" spans="3:20" s="9" customFormat="1" x14ac:dyDescent="0.35">
      <c r="C117" s="130"/>
      <c r="D117" s="130"/>
      <c r="E117" s="130"/>
      <c r="F117" s="130"/>
      <c r="G117" s="130"/>
      <c r="H117" s="145"/>
      <c r="I117" s="130"/>
      <c r="J117" s="130"/>
      <c r="K117" s="145"/>
      <c r="L117" s="130"/>
      <c r="M117" s="130"/>
      <c r="N117" s="145"/>
      <c r="O117" s="130"/>
      <c r="P117" s="130"/>
      <c r="Q117" s="145"/>
      <c r="R117" s="130"/>
      <c r="S117" s="130"/>
      <c r="T117" s="145"/>
    </row>
    <row r="118" spans="3:20" s="9" customFormat="1" x14ac:dyDescent="0.35">
      <c r="C118" s="130"/>
      <c r="D118" s="130"/>
      <c r="E118" s="130"/>
      <c r="F118" s="130"/>
      <c r="G118" s="130"/>
      <c r="H118" s="145"/>
      <c r="I118" s="130"/>
      <c r="J118" s="130"/>
      <c r="K118" s="145"/>
      <c r="L118" s="130"/>
      <c r="M118" s="130"/>
      <c r="N118" s="145"/>
      <c r="O118" s="130"/>
      <c r="P118" s="130"/>
      <c r="Q118" s="145"/>
      <c r="R118" s="130"/>
      <c r="S118" s="130"/>
      <c r="T118" s="145"/>
    </row>
    <row r="119" spans="3:20" s="9" customFormat="1" x14ac:dyDescent="0.35">
      <c r="C119" s="130"/>
      <c r="D119" s="130"/>
      <c r="E119" s="130"/>
      <c r="F119" s="130"/>
      <c r="G119" s="130"/>
      <c r="H119" s="145"/>
      <c r="I119" s="130"/>
      <c r="J119" s="130"/>
      <c r="K119" s="145"/>
      <c r="L119" s="130"/>
      <c r="M119" s="130"/>
      <c r="N119" s="145"/>
      <c r="O119" s="130"/>
      <c r="P119" s="130"/>
      <c r="Q119" s="145"/>
      <c r="R119" s="130"/>
      <c r="S119" s="130"/>
      <c r="T119" s="145"/>
    </row>
    <row r="120" spans="3:20" s="9" customFormat="1" x14ac:dyDescent="0.35">
      <c r="C120" s="130"/>
      <c r="D120" s="130"/>
      <c r="E120" s="130"/>
      <c r="F120" s="130"/>
      <c r="G120" s="130"/>
      <c r="H120" s="145"/>
      <c r="I120" s="130"/>
      <c r="J120" s="130"/>
      <c r="K120" s="145"/>
      <c r="L120" s="130"/>
      <c r="M120" s="130"/>
      <c r="N120" s="145"/>
      <c r="O120" s="130"/>
      <c r="P120" s="130"/>
      <c r="Q120" s="145"/>
      <c r="R120" s="130"/>
      <c r="S120" s="130"/>
      <c r="T120" s="145"/>
    </row>
    <row r="121" spans="3:20" s="9" customFormat="1" x14ac:dyDescent="0.35">
      <c r="C121" s="130"/>
      <c r="D121" s="130"/>
      <c r="E121" s="130"/>
      <c r="F121" s="130"/>
      <c r="G121" s="130"/>
      <c r="H121" s="145"/>
      <c r="I121" s="130"/>
      <c r="J121" s="130"/>
      <c r="K121" s="145"/>
      <c r="L121" s="130"/>
      <c r="M121" s="130"/>
      <c r="N121" s="145"/>
      <c r="O121" s="130"/>
      <c r="P121" s="130"/>
      <c r="Q121" s="145"/>
      <c r="R121" s="130"/>
      <c r="S121" s="130"/>
      <c r="T121" s="145"/>
    </row>
    <row r="122" spans="3:20" s="9" customFormat="1" x14ac:dyDescent="0.35">
      <c r="C122" s="130"/>
      <c r="D122" s="130"/>
      <c r="E122" s="130"/>
      <c r="F122" s="130"/>
      <c r="G122" s="130"/>
      <c r="H122" s="145"/>
      <c r="I122" s="130"/>
      <c r="J122" s="130"/>
      <c r="K122" s="145"/>
      <c r="L122" s="130"/>
      <c r="M122" s="130"/>
      <c r="N122" s="145"/>
      <c r="O122" s="130"/>
      <c r="P122" s="130"/>
      <c r="Q122" s="145"/>
      <c r="R122" s="130"/>
      <c r="S122" s="130"/>
      <c r="T122" s="145"/>
    </row>
    <row r="123" spans="3:20" s="9" customFormat="1" x14ac:dyDescent="0.35">
      <c r="C123" s="130"/>
      <c r="D123" s="130"/>
      <c r="E123" s="130"/>
      <c r="F123" s="130"/>
      <c r="G123" s="130"/>
      <c r="H123" s="145"/>
      <c r="I123" s="130"/>
      <c r="J123" s="130"/>
      <c r="K123" s="145"/>
      <c r="L123" s="130"/>
      <c r="M123" s="130"/>
      <c r="N123" s="145"/>
      <c r="O123" s="130"/>
      <c r="P123" s="130"/>
      <c r="Q123" s="145"/>
      <c r="R123" s="130"/>
      <c r="S123" s="130"/>
      <c r="T123" s="145"/>
    </row>
    <row r="124" spans="3:20" s="9" customFormat="1" x14ac:dyDescent="0.35">
      <c r="C124" s="130"/>
      <c r="D124" s="130"/>
      <c r="E124" s="130"/>
      <c r="F124" s="130"/>
      <c r="G124" s="130"/>
      <c r="H124" s="145"/>
      <c r="I124" s="130"/>
      <c r="J124" s="130"/>
      <c r="K124" s="145"/>
      <c r="L124" s="130"/>
      <c r="M124" s="130"/>
      <c r="N124" s="145"/>
      <c r="O124" s="130"/>
      <c r="P124" s="130"/>
      <c r="Q124" s="145"/>
      <c r="R124" s="130"/>
      <c r="S124" s="130"/>
      <c r="T124" s="145"/>
    </row>
    <row r="125" spans="3:20" s="9" customFormat="1" x14ac:dyDescent="0.35">
      <c r="C125" s="130"/>
      <c r="D125" s="130"/>
      <c r="E125" s="130"/>
      <c r="F125" s="130"/>
      <c r="G125" s="130"/>
      <c r="H125" s="145"/>
      <c r="I125" s="130"/>
      <c r="J125" s="130"/>
      <c r="K125" s="145"/>
      <c r="L125" s="130"/>
      <c r="M125" s="130"/>
      <c r="N125" s="145"/>
      <c r="O125" s="130"/>
      <c r="P125" s="130"/>
      <c r="Q125" s="145"/>
      <c r="R125" s="130"/>
      <c r="S125" s="130"/>
      <c r="T125" s="145"/>
    </row>
    <row r="126" spans="3:20" s="9" customFormat="1" x14ac:dyDescent="0.35">
      <c r="C126" s="130"/>
      <c r="D126" s="130"/>
      <c r="E126" s="130"/>
      <c r="F126" s="130"/>
      <c r="G126" s="130"/>
      <c r="H126" s="145"/>
      <c r="I126" s="130"/>
      <c r="J126" s="130"/>
      <c r="K126" s="145"/>
      <c r="L126" s="130"/>
      <c r="M126" s="130"/>
      <c r="N126" s="145"/>
      <c r="O126" s="130"/>
      <c r="P126" s="130"/>
      <c r="Q126" s="145"/>
      <c r="R126" s="130"/>
      <c r="S126" s="130"/>
      <c r="T126" s="145"/>
    </row>
    <row r="127" spans="3:20" s="9" customFormat="1" x14ac:dyDescent="0.35">
      <c r="C127" s="130"/>
      <c r="D127" s="130"/>
      <c r="E127" s="130"/>
      <c r="F127" s="130"/>
      <c r="G127" s="130"/>
      <c r="H127" s="145"/>
      <c r="I127" s="130"/>
      <c r="J127" s="130"/>
      <c r="K127" s="145"/>
      <c r="L127" s="130"/>
      <c r="M127" s="130"/>
      <c r="N127" s="145"/>
      <c r="O127" s="130"/>
      <c r="P127" s="130"/>
      <c r="Q127" s="145"/>
      <c r="R127" s="130"/>
      <c r="S127" s="130"/>
      <c r="T127" s="145"/>
    </row>
    <row r="128" spans="3:20" s="9" customFormat="1" x14ac:dyDescent="0.35">
      <c r="C128" s="130"/>
      <c r="D128" s="130"/>
      <c r="E128" s="130"/>
      <c r="F128" s="130"/>
      <c r="G128" s="130"/>
      <c r="H128" s="145"/>
      <c r="I128" s="130"/>
      <c r="J128" s="130"/>
      <c r="K128" s="145"/>
      <c r="L128" s="130"/>
      <c r="M128" s="130"/>
      <c r="N128" s="145"/>
      <c r="O128" s="130"/>
      <c r="P128" s="130"/>
      <c r="Q128" s="145"/>
      <c r="R128" s="130"/>
      <c r="S128" s="130"/>
      <c r="T128" s="145"/>
    </row>
    <row r="129" spans="3:20" s="9" customFormat="1" x14ac:dyDescent="0.35">
      <c r="C129" s="130"/>
      <c r="D129" s="130"/>
      <c r="E129" s="130"/>
      <c r="F129" s="130"/>
      <c r="G129" s="130"/>
      <c r="H129" s="145"/>
      <c r="I129" s="130"/>
      <c r="J129" s="130"/>
      <c r="K129" s="145"/>
      <c r="L129" s="130"/>
      <c r="M129" s="130"/>
      <c r="N129" s="145"/>
      <c r="O129" s="130"/>
      <c r="P129" s="130"/>
      <c r="Q129" s="145"/>
      <c r="R129" s="130"/>
      <c r="S129" s="130"/>
      <c r="T129" s="145"/>
    </row>
    <row r="130" spans="3:20" s="9" customFormat="1" x14ac:dyDescent="0.35">
      <c r="C130" s="130"/>
      <c r="D130" s="130"/>
      <c r="E130" s="130"/>
      <c r="F130" s="130"/>
      <c r="G130" s="130"/>
      <c r="H130" s="145"/>
      <c r="I130" s="130"/>
      <c r="J130" s="130"/>
      <c r="K130" s="145"/>
      <c r="L130" s="130"/>
      <c r="M130" s="130"/>
      <c r="N130" s="145"/>
      <c r="O130" s="130"/>
      <c r="P130" s="130"/>
      <c r="Q130" s="145"/>
      <c r="R130" s="130"/>
      <c r="S130" s="130"/>
      <c r="T130" s="145"/>
    </row>
    <row r="131" spans="3:20" s="9" customFormat="1" x14ac:dyDescent="0.35">
      <c r="C131" s="130"/>
      <c r="D131" s="130"/>
      <c r="E131" s="130"/>
      <c r="F131" s="130"/>
      <c r="G131" s="130"/>
      <c r="H131" s="145"/>
      <c r="I131" s="130"/>
      <c r="J131" s="130"/>
      <c r="K131" s="145"/>
      <c r="L131" s="130"/>
      <c r="M131" s="130"/>
      <c r="N131" s="145"/>
      <c r="O131" s="130"/>
      <c r="P131" s="130"/>
      <c r="Q131" s="145"/>
      <c r="R131" s="130"/>
      <c r="S131" s="130"/>
      <c r="T131" s="145"/>
    </row>
    <row r="132" spans="3:20" s="9" customFormat="1" x14ac:dyDescent="0.35">
      <c r="C132" s="130"/>
      <c r="D132" s="130"/>
      <c r="E132" s="130"/>
      <c r="F132" s="130"/>
      <c r="G132" s="130"/>
      <c r="H132" s="145"/>
      <c r="I132" s="130"/>
      <c r="J132" s="130"/>
      <c r="K132" s="145"/>
      <c r="L132" s="130"/>
      <c r="M132" s="130"/>
      <c r="N132" s="145"/>
      <c r="O132" s="130"/>
      <c r="P132" s="130"/>
      <c r="Q132" s="145"/>
      <c r="R132" s="130"/>
      <c r="S132" s="130"/>
      <c r="T132" s="145"/>
    </row>
    <row r="133" spans="3:20" s="9" customFormat="1" x14ac:dyDescent="0.35">
      <c r="C133" s="130"/>
      <c r="D133" s="130"/>
      <c r="E133" s="130"/>
      <c r="F133" s="130"/>
      <c r="G133" s="130"/>
      <c r="H133" s="145"/>
      <c r="I133" s="130"/>
      <c r="J133" s="130"/>
      <c r="K133" s="145"/>
      <c r="L133" s="130"/>
      <c r="M133" s="130"/>
      <c r="N133" s="145"/>
      <c r="O133" s="130"/>
      <c r="P133" s="130"/>
      <c r="Q133" s="145"/>
      <c r="R133" s="130"/>
      <c r="S133" s="130"/>
      <c r="T133" s="145"/>
    </row>
    <row r="134" spans="3:20" s="9" customFormat="1" x14ac:dyDescent="0.35">
      <c r="C134" s="130"/>
      <c r="D134" s="130"/>
      <c r="E134" s="130"/>
      <c r="F134" s="130"/>
      <c r="G134" s="130"/>
      <c r="H134" s="145"/>
      <c r="I134" s="130"/>
      <c r="J134" s="130"/>
      <c r="K134" s="145"/>
      <c r="L134" s="130"/>
      <c r="M134" s="130"/>
      <c r="N134" s="145"/>
      <c r="O134" s="130"/>
      <c r="P134" s="130"/>
      <c r="Q134" s="145"/>
      <c r="R134" s="130"/>
      <c r="S134" s="130"/>
      <c r="T134" s="145"/>
    </row>
    <row r="135" spans="3:20" s="9" customFormat="1" x14ac:dyDescent="0.35">
      <c r="C135" s="130"/>
      <c r="D135" s="130"/>
      <c r="E135" s="130"/>
      <c r="F135" s="130"/>
      <c r="G135" s="130"/>
      <c r="H135" s="145"/>
      <c r="I135" s="130"/>
      <c r="J135" s="130"/>
      <c r="K135" s="145"/>
      <c r="L135" s="130"/>
      <c r="M135" s="130"/>
      <c r="N135" s="145"/>
      <c r="O135" s="130"/>
      <c r="P135" s="130"/>
      <c r="Q135" s="145"/>
      <c r="R135" s="130"/>
      <c r="S135" s="130"/>
      <c r="T135" s="145"/>
    </row>
    <row r="136" spans="3:20" s="9" customFormat="1" x14ac:dyDescent="0.35">
      <c r="C136" s="130"/>
      <c r="D136" s="130"/>
      <c r="E136" s="130"/>
      <c r="F136" s="130"/>
      <c r="G136" s="130"/>
      <c r="H136" s="145"/>
      <c r="I136" s="130"/>
      <c r="J136" s="130"/>
      <c r="K136" s="145"/>
      <c r="L136" s="130"/>
      <c r="M136" s="130"/>
      <c r="N136" s="145"/>
      <c r="O136" s="130"/>
      <c r="P136" s="130"/>
      <c r="Q136" s="145"/>
      <c r="R136" s="130"/>
      <c r="S136" s="130"/>
      <c r="T136" s="145"/>
    </row>
    <row r="137" spans="3:20" s="9" customFormat="1" x14ac:dyDescent="0.35">
      <c r="C137" s="130"/>
      <c r="D137" s="130"/>
      <c r="E137" s="130"/>
      <c r="F137" s="130"/>
      <c r="G137" s="130"/>
      <c r="H137" s="145"/>
      <c r="I137" s="130"/>
      <c r="J137" s="130"/>
      <c r="K137" s="145"/>
      <c r="L137" s="130"/>
      <c r="M137" s="130"/>
      <c r="N137" s="145"/>
      <c r="O137" s="130"/>
      <c r="P137" s="130"/>
      <c r="Q137" s="145"/>
      <c r="R137" s="130"/>
      <c r="S137" s="130"/>
      <c r="T137" s="145"/>
    </row>
    <row r="138" spans="3:20" s="9" customFormat="1" x14ac:dyDescent="0.35">
      <c r="C138" s="130"/>
      <c r="D138" s="130"/>
      <c r="E138" s="130"/>
      <c r="F138" s="130"/>
      <c r="G138" s="130"/>
      <c r="H138" s="145"/>
      <c r="I138" s="130"/>
      <c r="J138" s="130"/>
      <c r="K138" s="145"/>
      <c r="L138" s="130"/>
      <c r="M138" s="130"/>
      <c r="N138" s="145"/>
      <c r="O138" s="130"/>
      <c r="P138" s="130"/>
      <c r="Q138" s="145"/>
      <c r="R138" s="130"/>
      <c r="S138" s="130"/>
      <c r="T138" s="145"/>
    </row>
    <row r="139" spans="3:20" s="9" customFormat="1" x14ac:dyDescent="0.35">
      <c r="C139" s="130"/>
      <c r="D139" s="130"/>
      <c r="E139" s="130"/>
      <c r="F139" s="130"/>
      <c r="G139" s="130"/>
      <c r="H139" s="145"/>
      <c r="I139" s="130"/>
      <c r="J139" s="130"/>
      <c r="K139" s="145"/>
      <c r="L139" s="130"/>
      <c r="M139" s="130"/>
      <c r="N139" s="145"/>
      <c r="O139" s="130"/>
      <c r="P139" s="130"/>
      <c r="Q139" s="145"/>
      <c r="R139" s="130"/>
      <c r="S139" s="130"/>
      <c r="T139" s="145"/>
    </row>
    <row r="140" spans="3:20" s="9" customFormat="1" x14ac:dyDescent="0.35">
      <c r="C140" s="130"/>
      <c r="D140" s="130"/>
      <c r="E140" s="130"/>
      <c r="F140" s="130"/>
      <c r="G140" s="130"/>
      <c r="H140" s="145"/>
      <c r="I140" s="130"/>
      <c r="J140" s="130"/>
      <c r="K140" s="145"/>
      <c r="L140" s="130"/>
      <c r="M140" s="130"/>
      <c r="N140" s="145"/>
      <c r="O140" s="130"/>
      <c r="P140" s="130"/>
      <c r="Q140" s="145"/>
      <c r="R140" s="130"/>
      <c r="S140" s="130"/>
      <c r="T140" s="145"/>
    </row>
    <row r="141" spans="3:20" s="9" customFormat="1" x14ac:dyDescent="0.35">
      <c r="C141" s="130"/>
      <c r="D141" s="130"/>
      <c r="E141" s="130"/>
      <c r="F141" s="130"/>
      <c r="G141" s="130"/>
      <c r="H141" s="145"/>
      <c r="I141" s="130"/>
      <c r="J141" s="130"/>
      <c r="K141" s="145"/>
      <c r="L141" s="130"/>
      <c r="M141" s="130"/>
      <c r="N141" s="145"/>
      <c r="O141" s="130"/>
      <c r="P141" s="130"/>
      <c r="Q141" s="145"/>
      <c r="R141" s="130"/>
      <c r="S141" s="130"/>
      <c r="T141" s="145"/>
    </row>
    <row r="142" spans="3:20" s="9" customFormat="1" x14ac:dyDescent="0.35">
      <c r="C142" s="130"/>
      <c r="D142" s="130"/>
      <c r="E142" s="130"/>
      <c r="F142" s="130"/>
      <c r="G142" s="130"/>
      <c r="H142" s="145"/>
      <c r="I142" s="130"/>
      <c r="J142" s="130"/>
      <c r="K142" s="145"/>
      <c r="L142" s="130"/>
      <c r="M142" s="130"/>
      <c r="N142" s="145"/>
      <c r="O142" s="130"/>
      <c r="P142" s="130"/>
      <c r="Q142" s="145"/>
      <c r="R142" s="130"/>
      <c r="S142" s="130"/>
      <c r="T142" s="145"/>
    </row>
    <row r="143" spans="3:20" s="9" customFormat="1" x14ac:dyDescent="0.35">
      <c r="C143" s="130"/>
      <c r="D143" s="130"/>
      <c r="E143" s="130"/>
      <c r="F143" s="130"/>
      <c r="G143" s="130"/>
      <c r="H143" s="145"/>
      <c r="I143" s="130"/>
      <c r="J143" s="130"/>
      <c r="K143" s="145"/>
      <c r="L143" s="130"/>
      <c r="M143" s="130"/>
      <c r="N143" s="145"/>
      <c r="O143" s="130"/>
      <c r="P143" s="130"/>
      <c r="Q143" s="145"/>
      <c r="R143" s="130"/>
      <c r="S143" s="130"/>
      <c r="T143" s="145"/>
    </row>
    <row r="144" spans="3:20" s="9" customFormat="1" x14ac:dyDescent="0.35">
      <c r="C144" s="130"/>
      <c r="D144" s="130"/>
      <c r="E144" s="130"/>
      <c r="F144" s="130"/>
      <c r="G144" s="130"/>
      <c r="H144" s="145"/>
      <c r="I144" s="130"/>
      <c r="J144" s="130"/>
      <c r="K144" s="145"/>
      <c r="L144" s="130"/>
      <c r="M144" s="130"/>
      <c r="N144" s="145"/>
      <c r="O144" s="130"/>
      <c r="P144" s="130"/>
      <c r="Q144" s="145"/>
      <c r="R144" s="130"/>
      <c r="S144" s="130"/>
      <c r="T144" s="145"/>
    </row>
    <row r="145" spans="3:20" s="9" customFormat="1" x14ac:dyDescent="0.35">
      <c r="C145" s="130"/>
      <c r="D145" s="130"/>
      <c r="E145" s="130"/>
      <c r="F145" s="130"/>
      <c r="G145" s="130"/>
      <c r="H145" s="145"/>
      <c r="I145" s="130"/>
      <c r="J145" s="130"/>
      <c r="K145" s="145"/>
      <c r="L145" s="130"/>
      <c r="M145" s="130"/>
      <c r="N145" s="145"/>
      <c r="O145" s="130"/>
      <c r="P145" s="130"/>
      <c r="Q145" s="145"/>
      <c r="R145" s="130"/>
      <c r="S145" s="130"/>
      <c r="T145" s="145"/>
    </row>
    <row r="146" spans="3:20" s="9" customFormat="1" x14ac:dyDescent="0.35">
      <c r="C146" s="130"/>
      <c r="D146" s="130"/>
      <c r="E146" s="130"/>
      <c r="F146" s="130"/>
      <c r="G146" s="130"/>
      <c r="H146" s="145"/>
      <c r="I146" s="130"/>
      <c r="J146" s="130"/>
      <c r="K146" s="145"/>
      <c r="L146" s="130"/>
      <c r="M146" s="130"/>
      <c r="N146" s="145"/>
      <c r="O146" s="130"/>
      <c r="P146" s="130"/>
      <c r="Q146" s="145"/>
      <c r="R146" s="130"/>
      <c r="S146" s="130"/>
      <c r="T146" s="145"/>
    </row>
    <row r="147" spans="3:20" s="9" customFormat="1" x14ac:dyDescent="0.35">
      <c r="C147" s="130"/>
      <c r="D147" s="130"/>
      <c r="E147" s="130"/>
      <c r="F147" s="130"/>
      <c r="G147" s="130"/>
      <c r="H147" s="145"/>
      <c r="I147" s="130"/>
      <c r="J147" s="130"/>
      <c r="K147" s="145"/>
      <c r="L147" s="130"/>
      <c r="M147" s="130"/>
      <c r="N147" s="145"/>
      <c r="O147" s="130"/>
      <c r="P147" s="130"/>
      <c r="Q147" s="145"/>
      <c r="R147" s="130"/>
      <c r="S147" s="130"/>
      <c r="T147" s="145"/>
    </row>
    <row r="148" spans="3:20" s="9" customFormat="1" x14ac:dyDescent="0.35">
      <c r="C148" s="130"/>
      <c r="D148" s="130"/>
      <c r="E148" s="130"/>
      <c r="F148" s="130"/>
      <c r="G148" s="130"/>
      <c r="H148" s="145"/>
      <c r="I148" s="130"/>
      <c r="J148" s="130"/>
      <c r="K148" s="145"/>
      <c r="L148" s="130"/>
      <c r="M148" s="130"/>
      <c r="N148" s="145"/>
      <c r="O148" s="130"/>
      <c r="P148" s="130"/>
      <c r="Q148" s="145"/>
      <c r="R148" s="130"/>
      <c r="S148" s="130"/>
      <c r="T148" s="145"/>
    </row>
    <row r="149" spans="3:20" s="9" customFormat="1" x14ac:dyDescent="0.35">
      <c r="C149" s="130"/>
      <c r="D149" s="130"/>
      <c r="E149" s="130"/>
      <c r="F149" s="130"/>
      <c r="G149" s="130"/>
      <c r="H149" s="145"/>
      <c r="I149" s="130"/>
      <c r="J149" s="130"/>
      <c r="K149" s="145"/>
      <c r="L149" s="130"/>
      <c r="M149" s="130"/>
      <c r="N149" s="145"/>
      <c r="O149" s="130"/>
      <c r="P149" s="130"/>
      <c r="Q149" s="145"/>
      <c r="R149" s="130"/>
      <c r="S149" s="130"/>
      <c r="T149" s="145"/>
    </row>
    <row r="150" spans="3:20" s="9" customFormat="1" x14ac:dyDescent="0.35">
      <c r="C150" s="130"/>
      <c r="D150" s="130"/>
      <c r="E150" s="130"/>
      <c r="F150" s="130"/>
      <c r="G150" s="130"/>
      <c r="H150" s="145"/>
      <c r="I150" s="130"/>
      <c r="J150" s="130"/>
      <c r="K150" s="145"/>
      <c r="L150" s="130"/>
      <c r="M150" s="130"/>
      <c r="N150" s="145"/>
      <c r="O150" s="130"/>
      <c r="P150" s="130"/>
      <c r="Q150" s="145"/>
      <c r="R150" s="130"/>
      <c r="S150" s="130"/>
      <c r="T150" s="145"/>
    </row>
    <row r="151" spans="3:20" s="9" customFormat="1" x14ac:dyDescent="0.35">
      <c r="C151" s="130"/>
      <c r="D151" s="130"/>
      <c r="E151" s="130"/>
      <c r="F151" s="130"/>
      <c r="G151" s="130"/>
      <c r="H151" s="145"/>
      <c r="I151" s="130"/>
      <c r="J151" s="130"/>
      <c r="K151" s="145"/>
      <c r="L151" s="130"/>
      <c r="M151" s="130"/>
      <c r="N151" s="145"/>
      <c r="O151" s="130"/>
      <c r="P151" s="130"/>
      <c r="Q151" s="145"/>
      <c r="R151" s="130"/>
      <c r="S151" s="130"/>
      <c r="T151" s="145"/>
    </row>
    <row r="152" spans="3:20" s="9" customFormat="1" x14ac:dyDescent="0.35">
      <c r="C152" s="130"/>
      <c r="D152" s="130"/>
      <c r="E152" s="130"/>
      <c r="F152" s="130"/>
      <c r="G152" s="130"/>
      <c r="H152" s="145"/>
      <c r="I152" s="130"/>
      <c r="J152" s="130"/>
      <c r="K152" s="145"/>
      <c r="L152" s="130"/>
      <c r="M152" s="130"/>
      <c r="N152" s="145"/>
      <c r="O152" s="130"/>
      <c r="P152" s="130"/>
      <c r="Q152" s="145"/>
      <c r="R152" s="130"/>
      <c r="S152" s="130"/>
      <c r="T152" s="145"/>
    </row>
    <row r="153" spans="3:20" s="9" customFormat="1" x14ac:dyDescent="0.35">
      <c r="C153" s="130"/>
      <c r="D153" s="130"/>
      <c r="E153" s="130"/>
      <c r="F153" s="130"/>
      <c r="G153" s="130"/>
      <c r="H153" s="145"/>
      <c r="I153" s="130"/>
      <c r="J153" s="130"/>
      <c r="K153" s="145"/>
      <c r="L153" s="130"/>
      <c r="M153" s="130"/>
      <c r="N153" s="145"/>
      <c r="O153" s="130"/>
      <c r="P153" s="130"/>
      <c r="Q153" s="145"/>
      <c r="R153" s="130"/>
      <c r="S153" s="130"/>
      <c r="T153" s="145"/>
    </row>
    <row r="154" spans="3:20" s="9" customFormat="1" x14ac:dyDescent="0.35">
      <c r="C154" s="130"/>
      <c r="D154" s="130"/>
      <c r="E154" s="130"/>
      <c r="F154" s="130"/>
      <c r="G154" s="130"/>
      <c r="H154" s="145"/>
      <c r="I154" s="130"/>
      <c r="J154" s="130"/>
      <c r="K154" s="145"/>
      <c r="L154" s="130"/>
      <c r="M154" s="130"/>
      <c r="N154" s="145"/>
      <c r="O154" s="130"/>
      <c r="P154" s="130"/>
      <c r="Q154" s="145"/>
      <c r="R154" s="130"/>
      <c r="S154" s="130"/>
      <c r="T154" s="145"/>
    </row>
    <row r="155" spans="3:20" s="9" customFormat="1" x14ac:dyDescent="0.35">
      <c r="C155" s="130"/>
      <c r="D155" s="130"/>
      <c r="E155" s="130"/>
      <c r="F155" s="130"/>
      <c r="G155" s="130"/>
      <c r="H155" s="145"/>
      <c r="I155" s="130"/>
      <c r="J155" s="130"/>
      <c r="K155" s="145"/>
      <c r="L155" s="130"/>
      <c r="M155" s="130"/>
      <c r="N155" s="145"/>
      <c r="O155" s="130"/>
      <c r="P155" s="130"/>
      <c r="Q155" s="145"/>
      <c r="R155" s="130"/>
      <c r="S155" s="130"/>
      <c r="T155" s="145"/>
    </row>
    <row r="156" spans="3:20" s="9" customFormat="1" x14ac:dyDescent="0.35">
      <c r="C156" s="130"/>
      <c r="D156" s="130"/>
      <c r="E156" s="130"/>
      <c r="F156" s="130"/>
      <c r="G156" s="130"/>
      <c r="H156" s="145"/>
      <c r="I156" s="130"/>
      <c r="J156" s="130"/>
      <c r="K156" s="145"/>
      <c r="L156" s="130"/>
      <c r="M156" s="130"/>
      <c r="N156" s="145"/>
      <c r="O156" s="130"/>
      <c r="P156" s="130"/>
      <c r="Q156" s="145"/>
      <c r="R156" s="130"/>
      <c r="S156" s="130"/>
      <c r="T156" s="145"/>
    </row>
    <row r="157" spans="3:20" s="9" customFormat="1" x14ac:dyDescent="0.35">
      <c r="E157" s="146"/>
      <c r="H157" s="127"/>
      <c r="K157" s="127"/>
      <c r="N157" s="127"/>
      <c r="Q157" s="127"/>
      <c r="T157" s="127"/>
    </row>
    <row r="158" spans="3:20" s="9" customFormat="1" x14ac:dyDescent="0.35">
      <c r="H158" s="127"/>
      <c r="K158" s="127"/>
      <c r="N158" s="127"/>
      <c r="Q158" s="127"/>
      <c r="T158" s="127"/>
    </row>
    <row r="159" spans="3:20" s="9" customFormat="1" x14ac:dyDescent="0.35">
      <c r="H159" s="127"/>
      <c r="K159" s="127"/>
      <c r="N159" s="127"/>
      <c r="Q159" s="127"/>
      <c r="T159" s="127"/>
    </row>
    <row r="160" spans="3:20" s="9" customFormat="1" x14ac:dyDescent="0.35">
      <c r="H160" s="127"/>
      <c r="K160" s="127"/>
      <c r="N160" s="127"/>
      <c r="Q160" s="127"/>
      <c r="T160" s="127"/>
    </row>
    <row r="161" spans="8:20" s="9" customFormat="1" x14ac:dyDescent="0.35">
      <c r="H161" s="127"/>
      <c r="K161" s="127"/>
      <c r="N161" s="127"/>
      <c r="Q161" s="127"/>
      <c r="T161" s="127"/>
    </row>
    <row r="162" spans="8:20" s="9" customFormat="1" x14ac:dyDescent="0.35">
      <c r="H162" s="127"/>
      <c r="K162" s="127"/>
      <c r="N162" s="127"/>
      <c r="Q162" s="127"/>
      <c r="T162" s="127"/>
    </row>
    <row r="163" spans="8:20" s="9" customFormat="1" x14ac:dyDescent="0.35">
      <c r="H163" s="127"/>
      <c r="K163" s="127"/>
      <c r="N163" s="127"/>
      <c r="Q163" s="127"/>
      <c r="T163" s="127"/>
    </row>
    <row r="164" spans="8:20" s="9" customFormat="1" x14ac:dyDescent="0.35">
      <c r="H164" s="127"/>
      <c r="K164" s="127"/>
      <c r="N164" s="127"/>
      <c r="Q164" s="127"/>
      <c r="T164" s="127"/>
    </row>
    <row r="165" spans="8:20" s="9" customFormat="1" x14ac:dyDescent="0.35">
      <c r="H165" s="127"/>
      <c r="K165" s="127"/>
      <c r="N165" s="127"/>
      <c r="Q165" s="127"/>
      <c r="T165" s="127"/>
    </row>
    <row r="166" spans="8:20" s="9" customFormat="1" x14ac:dyDescent="0.35">
      <c r="H166" s="127"/>
      <c r="K166" s="127"/>
      <c r="N166" s="127"/>
      <c r="Q166" s="127"/>
      <c r="T166" s="127"/>
    </row>
    <row r="167" spans="8:20" s="9" customFormat="1" x14ac:dyDescent="0.35">
      <c r="H167" s="127"/>
      <c r="K167" s="127"/>
      <c r="N167" s="127"/>
      <c r="Q167" s="127"/>
      <c r="T167" s="127"/>
    </row>
    <row r="168" spans="8:20" s="9" customFormat="1" x14ac:dyDescent="0.35">
      <c r="H168" s="127"/>
      <c r="K168" s="127"/>
      <c r="N168" s="127"/>
      <c r="Q168" s="127"/>
      <c r="T168" s="127"/>
    </row>
    <row r="169" spans="8:20" s="9" customFormat="1" x14ac:dyDescent="0.35">
      <c r="H169" s="127"/>
      <c r="K169" s="127"/>
      <c r="N169" s="127"/>
      <c r="Q169" s="127"/>
      <c r="T169" s="127"/>
    </row>
    <row r="170" spans="8:20" s="9" customFormat="1" x14ac:dyDescent="0.35">
      <c r="H170" s="127"/>
      <c r="K170" s="127"/>
      <c r="N170" s="127"/>
      <c r="Q170" s="127"/>
      <c r="T170" s="127"/>
    </row>
    <row r="171" spans="8:20" s="9" customFormat="1" x14ac:dyDescent="0.35">
      <c r="H171" s="127"/>
      <c r="K171" s="127"/>
      <c r="N171" s="127"/>
      <c r="Q171" s="127"/>
      <c r="T171" s="127"/>
    </row>
    <row r="172" spans="8:20" s="9" customFormat="1" x14ac:dyDescent="0.35">
      <c r="H172" s="127"/>
      <c r="K172" s="127"/>
      <c r="N172" s="127"/>
      <c r="Q172" s="127"/>
      <c r="T172" s="127"/>
    </row>
    <row r="173" spans="8:20" s="9" customFormat="1" x14ac:dyDescent="0.35">
      <c r="H173" s="127"/>
      <c r="K173" s="127"/>
      <c r="N173" s="127"/>
      <c r="Q173" s="127"/>
      <c r="T173" s="127"/>
    </row>
    <row r="174" spans="8:20" s="9" customFormat="1" x14ac:dyDescent="0.35">
      <c r="H174" s="127"/>
      <c r="K174" s="127"/>
      <c r="N174" s="127"/>
      <c r="Q174" s="127"/>
      <c r="T174" s="127"/>
    </row>
    <row r="175" spans="8:20" s="9" customFormat="1" x14ac:dyDescent="0.35">
      <c r="H175" s="127"/>
      <c r="K175" s="127"/>
      <c r="N175" s="127"/>
      <c r="Q175" s="127"/>
      <c r="T175" s="127"/>
    </row>
    <row r="176" spans="8:20" s="9" customFormat="1" x14ac:dyDescent="0.35">
      <c r="H176" s="127"/>
      <c r="K176" s="127"/>
      <c r="N176" s="127"/>
      <c r="Q176" s="127"/>
      <c r="T176" s="127"/>
    </row>
    <row r="177" spans="8:20" s="9" customFormat="1" x14ac:dyDescent="0.35">
      <c r="H177" s="127"/>
      <c r="K177" s="127"/>
      <c r="N177" s="127"/>
      <c r="Q177" s="127"/>
      <c r="T177" s="127"/>
    </row>
    <row r="178" spans="8:20" s="9" customFormat="1" x14ac:dyDescent="0.35">
      <c r="H178" s="127"/>
      <c r="K178" s="127"/>
      <c r="N178" s="127"/>
      <c r="Q178" s="127"/>
      <c r="T178" s="127"/>
    </row>
    <row r="179" spans="8:20" s="9" customFormat="1" x14ac:dyDescent="0.35">
      <c r="H179" s="127"/>
      <c r="K179" s="127"/>
      <c r="N179" s="127"/>
      <c r="Q179" s="127"/>
      <c r="T179" s="127"/>
    </row>
    <row r="180" spans="8:20" s="9" customFormat="1" x14ac:dyDescent="0.35">
      <c r="H180" s="127"/>
      <c r="K180" s="127"/>
      <c r="N180" s="127"/>
      <c r="Q180" s="127"/>
      <c r="T180" s="127"/>
    </row>
    <row r="181" spans="8:20" s="9" customFormat="1" x14ac:dyDescent="0.35">
      <c r="H181" s="127"/>
      <c r="K181" s="127"/>
      <c r="N181" s="127"/>
      <c r="Q181" s="127"/>
      <c r="T181" s="127"/>
    </row>
    <row r="182" spans="8:20" s="9" customFormat="1" x14ac:dyDescent="0.35">
      <c r="H182" s="127"/>
      <c r="K182" s="127"/>
      <c r="N182" s="127"/>
      <c r="Q182" s="127"/>
      <c r="T182" s="127"/>
    </row>
    <row r="183" spans="8:20" s="9" customFormat="1" x14ac:dyDescent="0.35">
      <c r="H183" s="127"/>
      <c r="K183" s="127"/>
      <c r="N183" s="127"/>
      <c r="Q183" s="127"/>
      <c r="T183" s="127"/>
    </row>
    <row r="184" spans="8:20" s="9" customFormat="1" x14ac:dyDescent="0.35">
      <c r="H184" s="127"/>
      <c r="K184" s="127"/>
      <c r="N184" s="127"/>
      <c r="Q184" s="127"/>
      <c r="T184" s="127"/>
    </row>
    <row r="185" spans="8:20" s="9" customFormat="1" x14ac:dyDescent="0.35">
      <c r="H185" s="127"/>
      <c r="K185" s="127"/>
      <c r="N185" s="127"/>
      <c r="Q185" s="127"/>
      <c r="T185" s="127"/>
    </row>
    <row r="186" spans="8:20" s="9" customFormat="1" x14ac:dyDescent="0.35">
      <c r="H186" s="127"/>
      <c r="K186" s="127"/>
      <c r="N186" s="127"/>
      <c r="Q186" s="127"/>
      <c r="T186" s="127"/>
    </row>
    <row r="187" spans="8:20" s="9" customFormat="1" x14ac:dyDescent="0.35">
      <c r="H187" s="127"/>
      <c r="K187" s="127"/>
      <c r="N187" s="127"/>
      <c r="Q187" s="127"/>
      <c r="T187" s="127"/>
    </row>
    <row r="188" spans="8:20" s="9" customFormat="1" x14ac:dyDescent="0.35">
      <c r="H188" s="127"/>
      <c r="K188" s="127"/>
      <c r="N188" s="127"/>
      <c r="Q188" s="127"/>
      <c r="T188" s="127"/>
    </row>
    <row r="189" spans="8:20" s="9" customFormat="1" x14ac:dyDescent="0.35">
      <c r="H189" s="127"/>
      <c r="K189" s="127"/>
      <c r="N189" s="127"/>
      <c r="Q189" s="127"/>
      <c r="T189" s="127"/>
    </row>
    <row r="190" spans="8:20" s="9" customFormat="1" x14ac:dyDescent="0.35">
      <c r="H190" s="127"/>
      <c r="K190" s="127"/>
      <c r="N190" s="127"/>
      <c r="Q190" s="127"/>
      <c r="T190" s="127"/>
    </row>
    <row r="191" spans="8:20" s="9" customFormat="1" x14ac:dyDescent="0.35">
      <c r="H191" s="127"/>
      <c r="K191" s="127"/>
      <c r="N191" s="127"/>
      <c r="Q191" s="127"/>
      <c r="T191" s="127"/>
    </row>
    <row r="192" spans="8:20" s="9" customFormat="1" x14ac:dyDescent="0.35">
      <c r="H192" s="127"/>
      <c r="K192" s="127"/>
      <c r="N192" s="127"/>
      <c r="Q192" s="127"/>
      <c r="T192" s="127"/>
    </row>
    <row r="193" spans="8:20" s="9" customFormat="1" x14ac:dyDescent="0.35">
      <c r="H193" s="127"/>
      <c r="K193" s="127"/>
      <c r="N193" s="127"/>
      <c r="Q193" s="127"/>
      <c r="T193" s="127"/>
    </row>
    <row r="194" spans="8:20" s="9" customFormat="1" x14ac:dyDescent="0.35">
      <c r="H194" s="127"/>
      <c r="K194" s="127"/>
      <c r="N194" s="127"/>
      <c r="Q194" s="127"/>
      <c r="T194" s="127"/>
    </row>
    <row r="195" spans="8:20" s="9" customFormat="1" x14ac:dyDescent="0.35">
      <c r="H195" s="127"/>
      <c r="K195" s="127"/>
      <c r="N195" s="127"/>
      <c r="Q195" s="127"/>
      <c r="T195" s="127"/>
    </row>
    <row r="196" spans="8:20" s="9" customFormat="1" x14ac:dyDescent="0.35">
      <c r="H196" s="127"/>
      <c r="K196" s="127"/>
      <c r="N196" s="127"/>
      <c r="Q196" s="127"/>
      <c r="T196" s="127"/>
    </row>
    <row r="197" spans="8:20" s="9" customFormat="1" x14ac:dyDescent="0.35">
      <c r="H197" s="127"/>
      <c r="K197" s="127"/>
      <c r="N197" s="127"/>
      <c r="Q197" s="127"/>
      <c r="T197" s="127"/>
    </row>
    <row r="198" spans="8:20" s="9" customFormat="1" x14ac:dyDescent="0.35">
      <c r="H198" s="127"/>
      <c r="K198" s="127"/>
      <c r="N198" s="127"/>
      <c r="Q198" s="127"/>
      <c r="T198" s="127"/>
    </row>
    <row r="199" spans="8:20" s="9" customFormat="1" x14ac:dyDescent="0.35">
      <c r="H199" s="127"/>
      <c r="K199" s="127"/>
      <c r="N199" s="127"/>
      <c r="Q199" s="127"/>
      <c r="T199" s="127"/>
    </row>
    <row r="200" spans="8:20" s="9" customFormat="1" x14ac:dyDescent="0.35">
      <c r="H200" s="127"/>
      <c r="K200" s="127"/>
      <c r="N200" s="127"/>
      <c r="Q200" s="127"/>
      <c r="T200" s="127"/>
    </row>
    <row r="201" spans="8:20" s="9" customFormat="1" x14ac:dyDescent="0.35">
      <c r="H201" s="127"/>
      <c r="K201" s="127"/>
      <c r="N201" s="127"/>
      <c r="Q201" s="127"/>
      <c r="T201" s="127"/>
    </row>
    <row r="202" spans="8:20" s="9" customFormat="1" x14ac:dyDescent="0.35">
      <c r="H202" s="127"/>
      <c r="K202" s="127"/>
      <c r="N202" s="127"/>
      <c r="Q202" s="127"/>
      <c r="T202" s="127"/>
    </row>
    <row r="203" spans="8:20" s="9" customFormat="1" x14ac:dyDescent="0.35">
      <c r="H203" s="127"/>
      <c r="K203" s="127"/>
      <c r="N203" s="127"/>
      <c r="Q203" s="127"/>
      <c r="T203" s="127"/>
    </row>
    <row r="204" spans="8:20" s="9" customFormat="1" x14ac:dyDescent="0.35">
      <c r="H204" s="127"/>
      <c r="K204" s="127"/>
      <c r="N204" s="127"/>
      <c r="Q204" s="127"/>
      <c r="T204" s="127"/>
    </row>
    <row r="205" spans="8:20" s="9" customFormat="1" x14ac:dyDescent="0.35">
      <c r="H205" s="127"/>
      <c r="K205" s="127"/>
      <c r="N205" s="127"/>
      <c r="Q205" s="127"/>
      <c r="T205" s="127"/>
    </row>
    <row r="206" spans="8:20" s="9" customFormat="1" x14ac:dyDescent="0.35">
      <c r="H206" s="127"/>
      <c r="K206" s="127"/>
      <c r="N206" s="127"/>
      <c r="Q206" s="127"/>
      <c r="T206" s="127"/>
    </row>
    <row r="207" spans="8:20" s="9" customFormat="1" x14ac:dyDescent="0.35">
      <c r="H207" s="127"/>
      <c r="K207" s="127"/>
      <c r="N207" s="127"/>
      <c r="Q207" s="127"/>
      <c r="T207" s="127"/>
    </row>
    <row r="208" spans="8:20" s="9" customFormat="1" x14ac:dyDescent="0.35">
      <c r="H208" s="127"/>
      <c r="K208" s="127"/>
      <c r="N208" s="127"/>
      <c r="Q208" s="127"/>
      <c r="T208" s="127"/>
    </row>
    <row r="209" spans="8:20" s="9" customFormat="1" x14ac:dyDescent="0.35">
      <c r="H209" s="127"/>
      <c r="K209" s="127"/>
      <c r="N209" s="127"/>
      <c r="Q209" s="127"/>
      <c r="T209" s="127"/>
    </row>
    <row r="210" spans="8:20" s="9" customFormat="1" x14ac:dyDescent="0.35">
      <c r="H210" s="127"/>
      <c r="K210" s="127"/>
      <c r="N210" s="127"/>
      <c r="Q210" s="127"/>
      <c r="T210" s="127"/>
    </row>
    <row r="211" spans="8:20" s="9" customFormat="1" x14ac:dyDescent="0.35">
      <c r="H211" s="127"/>
      <c r="K211" s="127"/>
      <c r="N211" s="127"/>
      <c r="Q211" s="127"/>
      <c r="T211" s="127"/>
    </row>
    <row r="212" spans="8:20" s="9" customFormat="1" x14ac:dyDescent="0.35">
      <c r="H212" s="127"/>
      <c r="K212" s="127"/>
      <c r="N212" s="127"/>
      <c r="Q212" s="127"/>
      <c r="T212" s="127"/>
    </row>
    <row r="213" spans="8:20" s="9" customFormat="1" x14ac:dyDescent="0.35">
      <c r="H213" s="127"/>
      <c r="K213" s="127"/>
      <c r="N213" s="127"/>
      <c r="Q213" s="127"/>
      <c r="T213" s="127"/>
    </row>
    <row r="214" spans="8:20" s="9" customFormat="1" x14ac:dyDescent="0.35">
      <c r="H214" s="127"/>
      <c r="K214" s="127"/>
      <c r="N214" s="127"/>
      <c r="Q214" s="127"/>
      <c r="T214" s="127"/>
    </row>
    <row r="215" spans="8:20" s="9" customFormat="1" x14ac:dyDescent="0.35">
      <c r="H215" s="127"/>
      <c r="K215" s="127"/>
      <c r="N215" s="127"/>
      <c r="Q215" s="127"/>
      <c r="T215" s="127"/>
    </row>
    <row r="216" spans="8:20" s="9" customFormat="1" x14ac:dyDescent="0.35">
      <c r="H216" s="127"/>
      <c r="K216" s="127"/>
      <c r="N216" s="127"/>
      <c r="Q216" s="127"/>
      <c r="T216" s="127"/>
    </row>
    <row r="217" spans="8:20" s="9" customFormat="1" x14ac:dyDescent="0.35">
      <c r="H217" s="127"/>
      <c r="K217" s="127"/>
      <c r="N217" s="127"/>
      <c r="Q217" s="127"/>
      <c r="T217" s="127"/>
    </row>
    <row r="218" spans="8:20" s="9" customFormat="1" x14ac:dyDescent="0.35">
      <c r="H218" s="127"/>
      <c r="K218" s="127"/>
      <c r="N218" s="127"/>
      <c r="Q218" s="127"/>
      <c r="T218" s="127"/>
    </row>
    <row r="219" spans="8:20" s="9" customFormat="1" x14ac:dyDescent="0.35">
      <c r="H219" s="127"/>
      <c r="K219" s="127"/>
      <c r="N219" s="127"/>
      <c r="Q219" s="127"/>
      <c r="T219" s="127"/>
    </row>
    <row r="220" spans="8:20" s="9" customFormat="1" x14ac:dyDescent="0.35">
      <c r="H220" s="127"/>
      <c r="K220" s="127"/>
      <c r="N220" s="127"/>
      <c r="Q220" s="127"/>
      <c r="T220" s="127"/>
    </row>
    <row r="221" spans="8:20" s="9" customFormat="1" x14ac:dyDescent="0.35">
      <c r="H221" s="127"/>
      <c r="K221" s="127"/>
      <c r="N221" s="127"/>
      <c r="Q221" s="127"/>
      <c r="T221" s="127"/>
    </row>
    <row r="222" spans="8:20" s="9" customFormat="1" x14ac:dyDescent="0.35">
      <c r="H222" s="127"/>
      <c r="K222" s="127"/>
      <c r="N222" s="127"/>
      <c r="Q222" s="127"/>
      <c r="T222" s="127"/>
    </row>
    <row r="223" spans="8:20" s="9" customFormat="1" x14ac:dyDescent="0.35">
      <c r="H223" s="127"/>
      <c r="K223" s="127"/>
      <c r="N223" s="127"/>
      <c r="Q223" s="127"/>
      <c r="T223" s="127"/>
    </row>
    <row r="224" spans="8:20" s="9" customFormat="1" x14ac:dyDescent="0.35">
      <c r="H224" s="127"/>
      <c r="K224" s="127"/>
      <c r="N224" s="127"/>
      <c r="Q224" s="127"/>
      <c r="T224" s="127"/>
    </row>
    <row r="225" spans="8:20" s="9" customFormat="1" x14ac:dyDescent="0.35">
      <c r="H225" s="127"/>
      <c r="K225" s="127"/>
      <c r="N225" s="127"/>
      <c r="Q225" s="127"/>
      <c r="T225" s="127"/>
    </row>
    <row r="226" spans="8:20" s="9" customFormat="1" x14ac:dyDescent="0.35">
      <c r="H226" s="127"/>
      <c r="K226" s="127"/>
      <c r="N226" s="127"/>
      <c r="Q226" s="127"/>
      <c r="T226" s="127"/>
    </row>
    <row r="227" spans="8:20" s="9" customFormat="1" x14ac:dyDescent="0.35">
      <c r="H227" s="127"/>
      <c r="K227" s="127"/>
      <c r="N227" s="127"/>
      <c r="Q227" s="127"/>
      <c r="T227" s="127"/>
    </row>
    <row r="228" spans="8:20" s="9" customFormat="1" x14ac:dyDescent="0.35">
      <c r="H228" s="127"/>
      <c r="K228" s="127"/>
      <c r="N228" s="127"/>
      <c r="Q228" s="127"/>
      <c r="T228" s="127"/>
    </row>
    <row r="229" spans="8:20" s="9" customFormat="1" x14ac:dyDescent="0.35">
      <c r="H229" s="127"/>
      <c r="K229" s="127"/>
      <c r="N229" s="127"/>
      <c r="Q229" s="127"/>
      <c r="T229" s="127"/>
    </row>
    <row r="230" spans="8:20" s="9" customFormat="1" x14ac:dyDescent="0.35">
      <c r="H230" s="127"/>
      <c r="K230" s="127"/>
      <c r="N230" s="127"/>
      <c r="Q230" s="127"/>
      <c r="T230" s="127"/>
    </row>
    <row r="231" spans="8:20" s="9" customFormat="1" x14ac:dyDescent="0.35">
      <c r="H231" s="127"/>
      <c r="K231" s="127"/>
      <c r="N231" s="127"/>
      <c r="Q231" s="127"/>
      <c r="T231" s="127"/>
    </row>
    <row r="232" spans="8:20" s="9" customFormat="1" x14ac:dyDescent="0.35">
      <c r="H232" s="127"/>
      <c r="K232" s="127"/>
      <c r="N232" s="127"/>
      <c r="Q232" s="127"/>
      <c r="T232" s="127"/>
    </row>
    <row r="233" spans="8:20" s="9" customFormat="1" x14ac:dyDescent="0.35">
      <c r="H233" s="127"/>
      <c r="K233" s="127"/>
      <c r="N233" s="127"/>
      <c r="Q233" s="127"/>
      <c r="T233" s="127"/>
    </row>
    <row r="234" spans="8:20" s="9" customFormat="1" x14ac:dyDescent="0.35">
      <c r="H234" s="127"/>
      <c r="K234" s="127"/>
      <c r="N234" s="127"/>
      <c r="Q234" s="127"/>
      <c r="T234" s="127"/>
    </row>
    <row r="235" spans="8:20" s="9" customFormat="1" x14ac:dyDescent="0.35">
      <c r="H235" s="127"/>
      <c r="K235" s="127"/>
      <c r="N235" s="127"/>
      <c r="Q235" s="127"/>
      <c r="T235" s="127"/>
    </row>
  </sheetData>
  <mergeCells count="17">
    <mergeCell ref="C56:E56"/>
    <mergeCell ref="C65:E65"/>
    <mergeCell ref="C74:E74"/>
    <mergeCell ref="C77:E77"/>
    <mergeCell ref="C84:E84"/>
    <mergeCell ref="U5:W5"/>
    <mergeCell ref="C45:E45"/>
    <mergeCell ref="I5:K5"/>
    <mergeCell ref="L5:N5"/>
    <mergeCell ref="O5:Q5"/>
    <mergeCell ref="R5:T5"/>
    <mergeCell ref="F5:H5"/>
    <mergeCell ref="C14:E14"/>
    <mergeCell ref="C38:E38"/>
    <mergeCell ref="C21:E21"/>
    <mergeCell ref="C26:E26"/>
    <mergeCell ref="C33:E33"/>
  </mergeCells>
  <hyperlinks>
    <hyperlink ref="Y4" location="Data!A1" display="EDL Data"/>
    <hyperlink ref="Y5" location="'Summary Recommendations'!A1" display="Summary Recommendations"/>
    <hyperlink ref="Y3" location="'Table Of Contents - Order'!A1" display="Table of Contents"/>
  </hyperlinks>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crobat.Document.2015" dvAspect="DVASPECT_ICON" shapeId="20493" r:id="rId4">
          <objectPr defaultSize="0" r:id="rId5">
            <anchor moveWithCells="1">
              <from>
                <xdr:col>1</xdr:col>
                <xdr:colOff>0</xdr:colOff>
                <xdr:row>2</xdr:row>
                <xdr:rowOff>88900</xdr:rowOff>
              </from>
              <to>
                <xdr:col>1</xdr:col>
                <xdr:colOff>914400</xdr:colOff>
                <xdr:row>9</xdr:row>
                <xdr:rowOff>76200</xdr:rowOff>
              </to>
            </anchor>
          </objectPr>
        </oleObject>
      </mc:Choice>
      <mc:Fallback>
        <oleObject progId="Acrobat.Document.2015" dvAspect="DVASPECT_ICON" shapeId="20493"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D6"/>
  <sheetViews>
    <sheetView workbookViewId="0">
      <selection activeCell="E2" sqref="E2"/>
    </sheetView>
  </sheetViews>
  <sheetFormatPr defaultRowHeight="14.5" x14ac:dyDescent="0.35"/>
  <cols>
    <col min="1" max="1" width="16.26953125" customWidth="1"/>
    <col min="4" max="4" width="26.81640625" bestFit="1" customWidth="1"/>
  </cols>
  <sheetData>
    <row r="1" spans="1:4" x14ac:dyDescent="0.35">
      <c r="A1" s="5"/>
      <c r="D1" t="s">
        <v>233</v>
      </c>
    </row>
    <row r="2" spans="1:4" x14ac:dyDescent="0.35">
      <c r="D2" s="109" t="s">
        <v>179</v>
      </c>
    </row>
    <row r="3" spans="1:4" x14ac:dyDescent="0.35">
      <c r="D3" s="88" t="s">
        <v>167</v>
      </c>
    </row>
    <row r="4" spans="1:4" x14ac:dyDescent="0.35">
      <c r="D4" s="89" t="s">
        <v>168</v>
      </c>
    </row>
    <row r="5" spans="1:4" x14ac:dyDescent="0.35">
      <c r="D5" s="110"/>
    </row>
    <row r="6" spans="1:4" x14ac:dyDescent="0.35">
      <c r="A6" s="236" t="s">
        <v>17</v>
      </c>
      <c r="B6" s="236"/>
      <c r="C6" s="236"/>
    </row>
  </sheetData>
  <mergeCells count="1">
    <mergeCell ref="A6:C6"/>
  </mergeCells>
  <hyperlinks>
    <hyperlink ref="D3" location="Data!A1" display="EDL Data"/>
    <hyperlink ref="D4" location="'Summary Recommendations'!A1" display="Summary Recommendations"/>
    <hyperlink ref="D2" location="'Table Of Contents - Order'!A1" display="Table of Contents"/>
  </hyperlinks>
  <pageMargins left="0.7" right="0.7" top="0.75" bottom="0.75" header="0.3" footer="0.3"/>
  <pageSetup orientation="portrait" r:id="rId1"/>
  <drawing r:id="rId2"/>
  <legacyDrawing r:id="rId3"/>
  <oleObjects>
    <mc:AlternateContent xmlns:mc="http://schemas.openxmlformats.org/markup-compatibility/2006">
      <mc:Choice Requires="x14">
        <oleObject progId="Acrobat.Document.2015" dvAspect="DVASPECT_ICON" shapeId="3077" r:id="rId4">
          <objectPr defaultSize="0" r:id="rId5">
            <anchor moveWithCells="1">
              <from>
                <xdr:col>0</xdr:col>
                <xdr:colOff>641350</xdr:colOff>
                <xdr:row>0</xdr:row>
                <xdr:rowOff>69850</xdr:rowOff>
              </from>
              <to>
                <xdr:col>1</xdr:col>
                <xdr:colOff>469900</xdr:colOff>
                <xdr:row>4</xdr:row>
                <xdr:rowOff>76200</xdr:rowOff>
              </to>
            </anchor>
          </objectPr>
        </oleObject>
      </mc:Choice>
      <mc:Fallback>
        <oleObject progId="Acrobat.Document.2015" dvAspect="DVASPECT_ICON" shapeId="3077"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sheetPr>
  <dimension ref="A1:AC82"/>
  <sheetViews>
    <sheetView zoomScale="70" zoomScaleNormal="70" workbookViewId="0">
      <pane ySplit="1" topLeftCell="A53" activePane="bottomLeft" state="frozen"/>
      <selection pane="bottomLeft" activeCell="J46" sqref="J46"/>
    </sheetView>
  </sheetViews>
  <sheetFormatPr defaultRowHeight="14.5" x14ac:dyDescent="0.35"/>
  <cols>
    <col min="1" max="1" width="8.54296875" style="2" customWidth="1"/>
    <col min="2" max="2" width="9.54296875" style="34" customWidth="1"/>
    <col min="3" max="3" width="15.453125" style="2" hidden="1" customWidth="1"/>
    <col min="4" max="4" width="13.453125" style="2" hidden="1" customWidth="1"/>
    <col min="5" max="5" width="9.1796875" style="2" hidden="1" customWidth="1"/>
    <col min="6" max="6" width="11" style="32" customWidth="1"/>
    <col min="7" max="7" width="21.81640625" style="2" customWidth="1"/>
    <col min="8" max="8" width="23.453125" style="2" customWidth="1"/>
    <col min="9" max="9" width="11.26953125" style="2" bestFit="1" customWidth="1"/>
    <col min="10" max="10" width="34" style="2" customWidth="1"/>
    <col min="11" max="11" width="27.1796875" style="41" customWidth="1"/>
    <col min="12" max="12" width="124.453125" style="41" customWidth="1"/>
    <col min="13" max="13" width="4.54296875" style="41" customWidth="1"/>
    <col min="14" max="14" width="9.54296875" style="41" customWidth="1"/>
    <col min="15" max="15" width="11.453125" style="41" customWidth="1"/>
    <col min="16" max="16" width="15" style="41" customWidth="1"/>
    <col min="17" max="17" width="20.54296875" style="41" customWidth="1"/>
    <col min="18" max="18" width="20.1796875" style="2" customWidth="1"/>
    <col min="19" max="19" width="7.453125" style="41" customWidth="1"/>
    <col min="20" max="20" width="0.81640625" style="71" customWidth="1"/>
    <col min="21" max="21" width="21.81640625" style="41" customWidth="1"/>
    <col min="22" max="22" width="1.7265625" style="2" customWidth="1"/>
    <col min="23" max="23" width="9.1796875" style="2"/>
    <col min="27" max="27" width="1.7265625" customWidth="1"/>
  </cols>
  <sheetData>
    <row r="1" spans="1:29" x14ac:dyDescent="0.35">
      <c r="A1" s="30" t="s">
        <v>7</v>
      </c>
      <c r="B1" s="33" t="s">
        <v>0</v>
      </c>
      <c r="C1" s="30" t="s">
        <v>8</v>
      </c>
      <c r="D1" s="30" t="s">
        <v>9</v>
      </c>
      <c r="E1" s="30" t="s">
        <v>6</v>
      </c>
      <c r="F1" s="31" t="s">
        <v>1</v>
      </c>
      <c r="G1" s="30" t="s">
        <v>2</v>
      </c>
      <c r="H1" s="30" t="s">
        <v>10</v>
      </c>
      <c r="I1" s="30" t="s">
        <v>11</v>
      </c>
      <c r="J1" s="30" t="s">
        <v>3</v>
      </c>
      <c r="K1" s="30" t="s">
        <v>33</v>
      </c>
      <c r="L1" s="30" t="s">
        <v>16</v>
      </c>
      <c r="M1" s="30"/>
      <c r="N1" s="30" t="s">
        <v>114</v>
      </c>
      <c r="O1" s="30" t="s">
        <v>115</v>
      </c>
      <c r="P1" s="30" t="s">
        <v>116</v>
      </c>
      <c r="Q1" s="30" t="s">
        <v>14</v>
      </c>
      <c r="R1" s="30" t="s">
        <v>15</v>
      </c>
      <c r="S1" s="42"/>
      <c r="U1" s="42" t="s">
        <v>156</v>
      </c>
      <c r="V1" s="64"/>
      <c r="W1" s="2" t="s">
        <v>4</v>
      </c>
      <c r="X1" t="s">
        <v>117</v>
      </c>
      <c r="Y1" t="s">
        <v>12</v>
      </c>
      <c r="Z1" s="41" t="s">
        <v>149</v>
      </c>
      <c r="AA1" s="65"/>
      <c r="AB1" t="s">
        <v>13</v>
      </c>
      <c r="AC1" t="s">
        <v>155</v>
      </c>
    </row>
    <row r="2" spans="1:29" x14ac:dyDescent="0.35">
      <c r="A2" s="42">
        <v>2019</v>
      </c>
      <c r="B2" s="79">
        <v>43764</v>
      </c>
      <c r="C2" s="42" t="s">
        <v>352</v>
      </c>
      <c r="D2" s="42" t="s">
        <v>30</v>
      </c>
      <c r="E2" s="42"/>
      <c r="F2" s="80">
        <v>0.11361111112637445</v>
      </c>
      <c r="G2" s="42" t="s">
        <v>293</v>
      </c>
      <c r="H2" s="42" t="s">
        <v>296</v>
      </c>
      <c r="I2" s="42" t="s">
        <v>117</v>
      </c>
      <c r="J2" s="42" t="s">
        <v>353</v>
      </c>
      <c r="K2" s="42" t="str">
        <f>IF(Z2=1,"No Work Order Entered","")</f>
        <v>No Work Order Entered</v>
      </c>
      <c r="L2" s="42" t="str">
        <f>IF(Z2=1,"No Work Order Entered","")</f>
        <v>No Work Order Entered</v>
      </c>
      <c r="M2" s="64"/>
      <c r="N2" s="42"/>
      <c r="O2" s="42"/>
      <c r="P2" s="42"/>
      <c r="Q2" s="42"/>
      <c r="R2" s="42" t="s">
        <v>12</v>
      </c>
      <c r="S2" s="42"/>
      <c r="U2" s="41" t="s">
        <v>293</v>
      </c>
      <c r="V2" s="64"/>
      <c r="W2" s="2">
        <f>IF(I2=$W$1,1,0)</f>
        <v>0</v>
      </c>
      <c r="X2" s="41">
        <f>IF(I2=$X$1,1,0)</f>
        <v>1</v>
      </c>
      <c r="Y2" s="41">
        <f>IF(I2=$Y$1,1,0)</f>
        <v>0</v>
      </c>
      <c r="Z2">
        <f>SUM(W2:Y2)</f>
        <v>1</v>
      </c>
      <c r="AA2" s="65"/>
      <c r="AB2">
        <f>IF(N2=0,0,1)</f>
        <v>0</v>
      </c>
      <c r="AC2">
        <f>IF(L2="No Work Order Entered",0,IF(L2="",0,1)*1)</f>
        <v>0</v>
      </c>
    </row>
    <row r="3" spans="1:29" ht="29" x14ac:dyDescent="0.35">
      <c r="A3" s="42">
        <v>2019</v>
      </c>
      <c r="B3" s="79">
        <v>43767</v>
      </c>
      <c r="C3" s="42" t="s">
        <v>352</v>
      </c>
      <c r="D3" s="42" t="s">
        <v>30</v>
      </c>
      <c r="E3" s="42"/>
      <c r="F3" s="80">
        <v>1.6408333332510665</v>
      </c>
      <c r="G3" s="42" t="s">
        <v>293</v>
      </c>
      <c r="H3" s="42" t="s">
        <v>296</v>
      </c>
      <c r="I3" s="42">
        <v>309713</v>
      </c>
      <c r="J3" s="42" t="s">
        <v>354</v>
      </c>
      <c r="K3" s="42" t="s">
        <v>1205</v>
      </c>
      <c r="L3" s="42" t="s">
        <v>1206</v>
      </c>
      <c r="M3" s="64"/>
      <c r="N3" s="42">
        <v>0</v>
      </c>
      <c r="O3" s="42"/>
      <c r="P3" s="42"/>
      <c r="Q3" s="42"/>
      <c r="R3" s="42" t="s">
        <v>12</v>
      </c>
      <c r="S3" s="42"/>
      <c r="U3" s="41" t="s">
        <v>293</v>
      </c>
      <c r="V3" s="64"/>
      <c r="W3" s="41">
        <f t="shared" ref="W3:W56" si="0">IF(I3=$W$1,1,0)</f>
        <v>0</v>
      </c>
      <c r="X3" s="41">
        <f t="shared" ref="X3:X56" si="1">IF(I3=$X$1,1,0)</f>
        <v>0</v>
      </c>
      <c r="Y3" s="41">
        <f t="shared" ref="Y3:Y56" si="2">IF(I3=$Y$1,1,0)</f>
        <v>0</v>
      </c>
      <c r="Z3">
        <f t="shared" ref="Z3:Z56" si="3">SUM(W3:Y3)</f>
        <v>0</v>
      </c>
      <c r="AA3" s="65"/>
      <c r="AB3">
        <f t="shared" ref="AB3:AB63" si="4">IF(N3=0,0,1)</f>
        <v>0</v>
      </c>
      <c r="AC3">
        <f t="shared" ref="AC3:AC61" si="5">IF(L3="No Work Order Entered",0,IF(L3="",0,1)*1)</f>
        <v>1</v>
      </c>
    </row>
    <row r="4" spans="1:29" x14ac:dyDescent="0.35">
      <c r="A4" s="42">
        <v>2019</v>
      </c>
      <c r="B4" s="79">
        <v>43767</v>
      </c>
      <c r="C4" s="42" t="s">
        <v>352</v>
      </c>
      <c r="D4" s="42" t="s">
        <v>30</v>
      </c>
      <c r="E4" s="42"/>
      <c r="F4" s="80">
        <v>0.12194444448687136</v>
      </c>
      <c r="G4" s="42" t="s">
        <v>293</v>
      </c>
      <c r="H4" s="42" t="s">
        <v>296</v>
      </c>
      <c r="I4" s="42" t="s">
        <v>4</v>
      </c>
      <c r="J4" s="42" t="s">
        <v>12</v>
      </c>
      <c r="K4" s="42" t="str">
        <f>IF(Z4=1,"No Work Order Entered","")</f>
        <v>No Work Order Entered</v>
      </c>
      <c r="L4" s="42" t="str">
        <f>IF(Z4=1,"No Work Order Entered","")</f>
        <v>No Work Order Entered</v>
      </c>
      <c r="M4" s="64"/>
      <c r="N4" s="42"/>
      <c r="O4" s="42"/>
      <c r="P4" s="42"/>
      <c r="Q4" s="42"/>
      <c r="R4" s="42" t="s">
        <v>12</v>
      </c>
      <c r="S4" s="42"/>
      <c r="U4" s="41" t="s">
        <v>293</v>
      </c>
      <c r="V4" s="64"/>
      <c r="W4" s="41">
        <f t="shared" si="0"/>
        <v>1</v>
      </c>
      <c r="X4" s="41">
        <f t="shared" si="1"/>
        <v>0</v>
      </c>
      <c r="Y4" s="41">
        <f t="shared" si="2"/>
        <v>0</v>
      </c>
      <c r="Z4">
        <f t="shared" si="3"/>
        <v>1</v>
      </c>
      <c r="AA4" s="65"/>
      <c r="AB4">
        <f t="shared" si="4"/>
        <v>0</v>
      </c>
      <c r="AC4">
        <f t="shared" si="5"/>
        <v>0</v>
      </c>
    </row>
    <row r="5" spans="1:29" x14ac:dyDescent="0.35">
      <c r="A5" s="42">
        <v>2019</v>
      </c>
      <c r="B5" s="79">
        <v>43773</v>
      </c>
      <c r="C5" s="42" t="s">
        <v>352</v>
      </c>
      <c r="D5" s="42" t="s">
        <v>30</v>
      </c>
      <c r="E5" s="42"/>
      <c r="F5" s="80">
        <v>0.12722222227603197</v>
      </c>
      <c r="G5" s="42" t="s">
        <v>293</v>
      </c>
      <c r="H5" s="42" t="s">
        <v>296</v>
      </c>
      <c r="I5" s="42">
        <v>309717</v>
      </c>
      <c r="J5" s="42" t="s">
        <v>355</v>
      </c>
      <c r="K5" s="42" t="s">
        <v>1207</v>
      </c>
      <c r="L5" s="42" t="s">
        <v>1208</v>
      </c>
      <c r="M5" s="64"/>
      <c r="N5" s="42">
        <v>0</v>
      </c>
      <c r="O5" s="42"/>
      <c r="P5" s="42"/>
      <c r="Q5" s="42"/>
      <c r="R5" s="42" t="s">
        <v>12</v>
      </c>
      <c r="S5" s="42"/>
      <c r="U5" s="41" t="s">
        <v>293</v>
      </c>
      <c r="V5" s="64"/>
      <c r="W5" s="41">
        <f t="shared" si="0"/>
        <v>0</v>
      </c>
      <c r="X5" s="41">
        <f t="shared" si="1"/>
        <v>0</v>
      </c>
      <c r="Y5" s="41">
        <f t="shared" si="2"/>
        <v>0</v>
      </c>
      <c r="Z5">
        <f t="shared" si="3"/>
        <v>0</v>
      </c>
      <c r="AA5" s="65"/>
      <c r="AB5">
        <f t="shared" si="4"/>
        <v>0</v>
      </c>
      <c r="AC5">
        <f t="shared" si="5"/>
        <v>1</v>
      </c>
    </row>
    <row r="6" spans="1:29" ht="29" x14ac:dyDescent="0.35">
      <c r="A6" s="42">
        <v>2019</v>
      </c>
      <c r="B6" s="79">
        <v>43806</v>
      </c>
      <c r="C6" s="42" t="s">
        <v>352</v>
      </c>
      <c r="D6" s="42" t="s">
        <v>30</v>
      </c>
      <c r="E6" s="42"/>
      <c r="F6" s="80">
        <v>0.21833333338145167</v>
      </c>
      <c r="G6" s="42" t="s">
        <v>293</v>
      </c>
      <c r="H6" s="42" t="s">
        <v>296</v>
      </c>
      <c r="I6" s="42">
        <v>4796339</v>
      </c>
      <c r="J6" s="42" t="s">
        <v>356</v>
      </c>
      <c r="K6" s="42" t="s">
        <v>1209</v>
      </c>
      <c r="L6" s="42" t="s">
        <v>1210</v>
      </c>
      <c r="M6" s="64"/>
      <c r="N6" s="42">
        <v>0</v>
      </c>
      <c r="O6" s="42"/>
      <c r="P6" s="42"/>
      <c r="Q6" s="42"/>
      <c r="R6" s="42" t="s">
        <v>12</v>
      </c>
      <c r="S6" s="42"/>
      <c r="U6" s="41" t="s">
        <v>293</v>
      </c>
      <c r="V6" s="64"/>
      <c r="W6" s="41">
        <f t="shared" si="0"/>
        <v>0</v>
      </c>
      <c r="X6" s="41">
        <f t="shared" si="1"/>
        <v>0</v>
      </c>
      <c r="Y6" s="41">
        <f t="shared" si="2"/>
        <v>0</v>
      </c>
      <c r="Z6">
        <f t="shared" si="3"/>
        <v>0</v>
      </c>
      <c r="AA6" s="65"/>
      <c r="AB6">
        <f t="shared" si="4"/>
        <v>0</v>
      </c>
      <c r="AC6">
        <f t="shared" si="5"/>
        <v>1</v>
      </c>
    </row>
    <row r="7" spans="1:29" x14ac:dyDescent="0.35">
      <c r="A7" s="42">
        <v>2019</v>
      </c>
      <c r="B7" s="79">
        <v>43821</v>
      </c>
      <c r="C7" s="42" t="s">
        <v>352</v>
      </c>
      <c r="D7" s="42" t="s">
        <v>30</v>
      </c>
      <c r="E7" s="42"/>
      <c r="F7" s="80">
        <v>0.13333333341870457</v>
      </c>
      <c r="G7" s="42" t="s">
        <v>265</v>
      </c>
      <c r="H7" s="42" t="s">
        <v>228</v>
      </c>
      <c r="I7" s="42" t="s">
        <v>4</v>
      </c>
      <c r="J7" s="42" t="s">
        <v>234</v>
      </c>
      <c r="K7" s="42" t="str">
        <f>IF(Z7=1,"No Work Order Entered","")</f>
        <v>No Work Order Entered</v>
      </c>
      <c r="L7" s="42" t="str">
        <f>IF(Z7=1,"No Work Order Entered","")</f>
        <v>No Work Order Entered</v>
      </c>
      <c r="M7" s="64"/>
      <c r="N7" s="42"/>
      <c r="O7" s="42"/>
      <c r="P7" s="42"/>
      <c r="Q7" s="42"/>
      <c r="R7" s="42" t="s">
        <v>12</v>
      </c>
      <c r="S7" s="42"/>
      <c r="U7" s="41" t="s">
        <v>265</v>
      </c>
      <c r="V7" s="64"/>
      <c r="W7" s="41">
        <f t="shared" si="0"/>
        <v>1</v>
      </c>
      <c r="X7" s="41">
        <f t="shared" si="1"/>
        <v>0</v>
      </c>
      <c r="Y7" s="41">
        <f t="shared" si="2"/>
        <v>0</v>
      </c>
      <c r="Z7">
        <f t="shared" si="3"/>
        <v>1</v>
      </c>
      <c r="AA7" s="65"/>
      <c r="AB7">
        <f t="shared" si="4"/>
        <v>0</v>
      </c>
      <c r="AC7">
        <f t="shared" si="5"/>
        <v>0</v>
      </c>
    </row>
    <row r="8" spans="1:29" ht="87" x14ac:dyDescent="0.35">
      <c r="A8" s="42">
        <v>2019</v>
      </c>
      <c r="B8" s="79">
        <v>43825</v>
      </c>
      <c r="C8" s="42" t="s">
        <v>352</v>
      </c>
      <c r="D8" s="42" t="s">
        <v>30</v>
      </c>
      <c r="E8" s="42"/>
      <c r="F8" s="80">
        <v>2.9938888888573274</v>
      </c>
      <c r="G8" s="42" t="s">
        <v>293</v>
      </c>
      <c r="H8" s="42" t="s">
        <v>296</v>
      </c>
      <c r="I8" s="42">
        <v>4796739</v>
      </c>
      <c r="J8" s="42" t="s">
        <v>357</v>
      </c>
      <c r="K8" s="42" t="s">
        <v>1211</v>
      </c>
      <c r="L8" s="42" t="s">
        <v>1212</v>
      </c>
      <c r="M8" s="64"/>
      <c r="N8" s="42">
        <v>0</v>
      </c>
      <c r="O8" s="42"/>
      <c r="P8" s="42"/>
      <c r="Q8" s="42"/>
      <c r="R8" s="42" t="s">
        <v>1496</v>
      </c>
      <c r="S8" s="42"/>
      <c r="U8" s="41" t="s">
        <v>293</v>
      </c>
      <c r="V8" s="64"/>
      <c r="W8" s="41">
        <f t="shared" si="0"/>
        <v>0</v>
      </c>
      <c r="X8" s="41">
        <f t="shared" si="1"/>
        <v>0</v>
      </c>
      <c r="Y8" s="41">
        <f t="shared" si="2"/>
        <v>0</v>
      </c>
      <c r="Z8">
        <f t="shared" si="3"/>
        <v>0</v>
      </c>
      <c r="AA8" s="65"/>
      <c r="AB8">
        <f t="shared" si="4"/>
        <v>0</v>
      </c>
      <c r="AC8">
        <f t="shared" si="5"/>
        <v>1</v>
      </c>
    </row>
    <row r="9" spans="1:29" ht="29" x14ac:dyDescent="0.35">
      <c r="A9" s="42">
        <v>2019</v>
      </c>
      <c r="B9" s="79">
        <v>43826</v>
      </c>
      <c r="C9" s="42" t="s">
        <v>352</v>
      </c>
      <c r="D9" s="42" t="s">
        <v>30</v>
      </c>
      <c r="E9" s="42"/>
      <c r="F9" s="80">
        <v>0.46972222236217931</v>
      </c>
      <c r="G9" s="42" t="s">
        <v>293</v>
      </c>
      <c r="H9" s="42" t="s">
        <v>296</v>
      </c>
      <c r="I9" s="42">
        <v>309743</v>
      </c>
      <c r="J9" s="42" t="s">
        <v>358</v>
      </c>
      <c r="K9" s="42" t="s">
        <v>1213</v>
      </c>
      <c r="L9" s="42" t="s">
        <v>1214</v>
      </c>
      <c r="M9" s="64"/>
      <c r="N9" s="42">
        <v>0</v>
      </c>
      <c r="O9" s="42"/>
      <c r="P9" s="42"/>
      <c r="Q9" s="42"/>
      <c r="R9" s="42" t="s">
        <v>12</v>
      </c>
      <c r="S9" s="42"/>
      <c r="U9" s="41" t="s">
        <v>293</v>
      </c>
      <c r="V9" s="64"/>
      <c r="W9" s="41">
        <f t="shared" si="0"/>
        <v>0</v>
      </c>
      <c r="X9" s="41">
        <f t="shared" si="1"/>
        <v>0</v>
      </c>
      <c r="Y9" s="41">
        <f t="shared" si="2"/>
        <v>0</v>
      </c>
      <c r="Z9">
        <f t="shared" si="3"/>
        <v>0</v>
      </c>
      <c r="AA9" s="65"/>
      <c r="AB9">
        <f t="shared" si="4"/>
        <v>0</v>
      </c>
      <c r="AC9">
        <f t="shared" si="5"/>
        <v>1</v>
      </c>
    </row>
    <row r="10" spans="1:29" ht="29" x14ac:dyDescent="0.35">
      <c r="A10" s="42">
        <v>2019</v>
      </c>
      <c r="B10" s="79">
        <v>43826</v>
      </c>
      <c r="C10" s="42" t="s">
        <v>352</v>
      </c>
      <c r="D10" s="42" t="s">
        <v>30</v>
      </c>
      <c r="E10" s="42"/>
      <c r="F10" s="80">
        <v>1.3127777778427117</v>
      </c>
      <c r="G10" s="42" t="s">
        <v>293</v>
      </c>
      <c r="H10" s="42" t="s">
        <v>296</v>
      </c>
      <c r="I10" s="42">
        <v>309744</v>
      </c>
      <c r="J10" s="42" t="s">
        <v>359</v>
      </c>
      <c r="K10" s="42" t="s">
        <v>1215</v>
      </c>
      <c r="L10" s="42" t="s">
        <v>1216</v>
      </c>
      <c r="M10" s="64"/>
      <c r="N10" s="42">
        <v>0</v>
      </c>
      <c r="O10" s="42"/>
      <c r="P10" s="42"/>
      <c r="Q10" s="42"/>
      <c r="R10" s="42" t="s">
        <v>12</v>
      </c>
      <c r="S10" s="42"/>
      <c r="U10" s="41" t="s">
        <v>293</v>
      </c>
      <c r="V10" s="64"/>
      <c r="W10" s="41">
        <f t="shared" si="0"/>
        <v>0</v>
      </c>
      <c r="X10" s="41">
        <f t="shared" si="1"/>
        <v>0</v>
      </c>
      <c r="Y10" s="41">
        <f t="shared" si="2"/>
        <v>0</v>
      </c>
      <c r="Z10">
        <f t="shared" si="3"/>
        <v>0</v>
      </c>
      <c r="AA10" s="65"/>
      <c r="AB10">
        <f t="shared" si="4"/>
        <v>0</v>
      </c>
      <c r="AC10">
        <f t="shared" si="5"/>
        <v>1</v>
      </c>
    </row>
    <row r="11" spans="1:29" ht="29" x14ac:dyDescent="0.35">
      <c r="A11" s="42">
        <v>2019</v>
      </c>
      <c r="B11" s="79">
        <v>43826</v>
      </c>
      <c r="C11" s="42" t="s">
        <v>352</v>
      </c>
      <c r="D11" s="42" t="s">
        <v>30</v>
      </c>
      <c r="E11" s="42"/>
      <c r="F11" s="80">
        <v>1.5311111110495403</v>
      </c>
      <c r="G11" s="42" t="s">
        <v>293</v>
      </c>
      <c r="H11" s="42" t="s">
        <v>296</v>
      </c>
      <c r="I11" s="42">
        <v>309744</v>
      </c>
      <c r="J11" s="42" t="s">
        <v>12</v>
      </c>
      <c r="K11" s="42" t="s">
        <v>1215</v>
      </c>
      <c r="L11" s="42" t="s">
        <v>1216</v>
      </c>
      <c r="M11" s="64"/>
      <c r="N11" s="64"/>
      <c r="O11" s="64"/>
      <c r="P11" s="64"/>
      <c r="Q11" s="64"/>
      <c r="R11" s="64"/>
      <c r="S11" s="42"/>
      <c r="U11" s="41" t="s">
        <v>293</v>
      </c>
      <c r="V11" s="64"/>
      <c r="W11" s="41">
        <f t="shared" si="0"/>
        <v>0</v>
      </c>
      <c r="X11" s="41">
        <f t="shared" si="1"/>
        <v>0</v>
      </c>
      <c r="Y11" s="41">
        <f t="shared" si="2"/>
        <v>0</v>
      </c>
      <c r="Z11">
        <f t="shared" si="3"/>
        <v>0</v>
      </c>
      <c r="AA11" s="65"/>
      <c r="AB11">
        <f t="shared" si="4"/>
        <v>0</v>
      </c>
      <c r="AC11">
        <f t="shared" si="5"/>
        <v>1</v>
      </c>
    </row>
    <row r="12" spans="1:29" ht="29" x14ac:dyDescent="0.35">
      <c r="A12" s="42">
        <v>2019</v>
      </c>
      <c r="B12" s="79">
        <v>43827</v>
      </c>
      <c r="C12" s="42" t="s">
        <v>352</v>
      </c>
      <c r="D12" s="42" t="s">
        <v>30</v>
      </c>
      <c r="E12" s="42"/>
      <c r="F12" s="80">
        <v>8.0000000016298145E-2</v>
      </c>
      <c r="G12" s="42" t="s">
        <v>293</v>
      </c>
      <c r="H12" s="42" t="s">
        <v>296</v>
      </c>
      <c r="I12" s="42">
        <v>309745</v>
      </c>
      <c r="J12" s="42" t="s">
        <v>12</v>
      </c>
      <c r="K12" s="42" t="s">
        <v>1217</v>
      </c>
      <c r="L12" s="42" t="s">
        <v>1218</v>
      </c>
      <c r="M12" s="64"/>
      <c r="N12" s="42">
        <v>0</v>
      </c>
      <c r="O12" s="42"/>
      <c r="P12" s="42"/>
      <c r="Q12" s="42"/>
      <c r="R12" s="42" t="s">
        <v>12</v>
      </c>
      <c r="S12" s="42"/>
      <c r="U12" s="41" t="s">
        <v>293</v>
      </c>
      <c r="V12" s="64"/>
      <c r="W12" s="41">
        <f t="shared" si="0"/>
        <v>0</v>
      </c>
      <c r="X12" s="41">
        <f t="shared" si="1"/>
        <v>0</v>
      </c>
      <c r="Y12" s="41">
        <f t="shared" si="2"/>
        <v>0</v>
      </c>
      <c r="Z12">
        <f t="shared" si="3"/>
        <v>0</v>
      </c>
      <c r="AA12" s="65"/>
      <c r="AB12">
        <f t="shared" si="4"/>
        <v>0</v>
      </c>
      <c r="AC12">
        <f t="shared" si="5"/>
        <v>1</v>
      </c>
    </row>
    <row r="13" spans="1:29" ht="43.5" x14ac:dyDescent="0.35">
      <c r="A13" s="42">
        <v>2019</v>
      </c>
      <c r="B13" s="79">
        <v>43830</v>
      </c>
      <c r="C13" s="42" t="s">
        <v>352</v>
      </c>
      <c r="D13" s="42" t="s">
        <v>30</v>
      </c>
      <c r="E13" s="42"/>
      <c r="F13" s="80">
        <v>0.1813888888573274</v>
      </c>
      <c r="G13" s="42" t="s">
        <v>293</v>
      </c>
      <c r="H13" s="42" t="s">
        <v>296</v>
      </c>
      <c r="I13" s="42">
        <v>309750</v>
      </c>
      <c r="J13" s="42" t="s">
        <v>360</v>
      </c>
      <c r="K13" s="42" t="s">
        <v>1219</v>
      </c>
      <c r="L13" s="42" t="s">
        <v>1220</v>
      </c>
      <c r="M13" s="64"/>
      <c r="N13" s="42">
        <v>0</v>
      </c>
      <c r="O13" s="42"/>
      <c r="P13" s="42"/>
      <c r="Q13" s="42"/>
      <c r="R13" s="42" t="s">
        <v>12</v>
      </c>
      <c r="S13" s="42"/>
      <c r="U13" s="41" t="s">
        <v>293</v>
      </c>
      <c r="V13" s="64"/>
      <c r="W13" s="41">
        <f t="shared" si="0"/>
        <v>0</v>
      </c>
      <c r="X13" s="41">
        <f t="shared" si="1"/>
        <v>0</v>
      </c>
      <c r="Y13" s="41">
        <f t="shared" si="2"/>
        <v>0</v>
      </c>
      <c r="Z13">
        <f t="shared" si="3"/>
        <v>0</v>
      </c>
      <c r="AA13" s="65"/>
      <c r="AB13">
        <f t="shared" si="4"/>
        <v>0</v>
      </c>
      <c r="AC13">
        <v>0</v>
      </c>
    </row>
    <row r="14" spans="1:29" x14ac:dyDescent="0.35">
      <c r="A14" s="42">
        <v>2019</v>
      </c>
      <c r="B14" s="79">
        <v>43830</v>
      </c>
      <c r="C14" s="42" t="s">
        <v>352</v>
      </c>
      <c r="D14" s="42" t="s">
        <v>30</v>
      </c>
      <c r="E14" s="42"/>
      <c r="F14" s="80">
        <v>0.99444444448454306</v>
      </c>
      <c r="G14" s="42" t="s">
        <v>293</v>
      </c>
      <c r="H14" s="42" t="s">
        <v>296</v>
      </c>
      <c r="I14" s="42">
        <v>309750</v>
      </c>
      <c r="J14" s="42" t="s">
        <v>361</v>
      </c>
      <c r="K14" s="42" t="s">
        <v>1219</v>
      </c>
      <c r="L14" s="42" t="s">
        <v>1220</v>
      </c>
      <c r="M14" s="64"/>
      <c r="N14" s="42">
        <v>0</v>
      </c>
      <c r="O14" s="42"/>
      <c r="P14" s="42"/>
      <c r="Q14" s="42"/>
      <c r="R14" s="42" t="s">
        <v>12</v>
      </c>
      <c r="S14" s="42"/>
      <c r="U14" s="41" t="s">
        <v>293</v>
      </c>
      <c r="V14" s="64"/>
      <c r="W14" s="41">
        <f t="shared" si="0"/>
        <v>0</v>
      </c>
      <c r="X14" s="41">
        <f t="shared" si="1"/>
        <v>0</v>
      </c>
      <c r="Y14" s="41">
        <f t="shared" si="2"/>
        <v>0</v>
      </c>
      <c r="Z14">
        <f t="shared" si="3"/>
        <v>0</v>
      </c>
      <c r="AA14" s="65"/>
      <c r="AB14">
        <f t="shared" si="4"/>
        <v>0</v>
      </c>
      <c r="AC14">
        <v>0</v>
      </c>
    </row>
    <row r="15" spans="1:29" x14ac:dyDescent="0.35">
      <c r="A15" s="42">
        <v>2019</v>
      </c>
      <c r="B15" s="79">
        <v>43830</v>
      </c>
      <c r="C15" s="42" t="s">
        <v>352</v>
      </c>
      <c r="D15" s="42" t="s">
        <v>30</v>
      </c>
      <c r="E15" s="42"/>
      <c r="F15" s="80">
        <v>1.2527777777868323</v>
      </c>
      <c r="G15" s="42" t="s">
        <v>293</v>
      </c>
      <c r="H15" s="42" t="s">
        <v>296</v>
      </c>
      <c r="I15" s="42">
        <v>309750</v>
      </c>
      <c r="J15" s="42" t="s">
        <v>12</v>
      </c>
      <c r="K15" s="42" t="s">
        <v>1219</v>
      </c>
      <c r="L15" s="42" t="s">
        <v>1220</v>
      </c>
      <c r="M15" s="64"/>
      <c r="N15" s="42">
        <v>0</v>
      </c>
      <c r="O15" s="42"/>
      <c r="P15" s="42"/>
      <c r="Q15" s="42"/>
      <c r="R15" s="42" t="s">
        <v>12</v>
      </c>
      <c r="S15" s="42"/>
      <c r="U15" s="41" t="s">
        <v>293</v>
      </c>
      <c r="V15" s="64"/>
      <c r="W15" s="41">
        <f t="shared" si="0"/>
        <v>0</v>
      </c>
      <c r="X15" s="41">
        <f t="shared" si="1"/>
        <v>0</v>
      </c>
      <c r="Y15" s="41">
        <f t="shared" si="2"/>
        <v>0</v>
      </c>
      <c r="Z15">
        <f t="shared" si="3"/>
        <v>0</v>
      </c>
      <c r="AA15" s="65"/>
      <c r="AB15">
        <f t="shared" si="4"/>
        <v>0</v>
      </c>
      <c r="AC15">
        <v>0</v>
      </c>
    </row>
    <row r="16" spans="1:29" x14ac:dyDescent="0.35">
      <c r="A16" s="42">
        <v>2019</v>
      </c>
      <c r="B16" s="79">
        <v>43830</v>
      </c>
      <c r="C16" s="42" t="s">
        <v>352</v>
      </c>
      <c r="D16" s="42" t="s">
        <v>30</v>
      </c>
      <c r="E16" s="42"/>
      <c r="F16" s="80">
        <v>194.45388888887828</v>
      </c>
      <c r="G16" s="42" t="s">
        <v>293</v>
      </c>
      <c r="H16" s="42" t="s">
        <v>296</v>
      </c>
      <c r="I16" s="42">
        <v>309750</v>
      </c>
      <c r="J16" s="42" t="s">
        <v>12</v>
      </c>
      <c r="K16" s="42" t="s">
        <v>1219</v>
      </c>
      <c r="L16" s="42" t="s">
        <v>1220</v>
      </c>
      <c r="M16" s="64"/>
      <c r="N16" s="42">
        <v>0</v>
      </c>
      <c r="O16" s="42"/>
      <c r="P16" s="42"/>
      <c r="Q16" s="42"/>
      <c r="R16" s="42" t="s">
        <v>12</v>
      </c>
      <c r="S16" s="42"/>
      <c r="U16" s="41" t="s">
        <v>293</v>
      </c>
      <c r="V16" s="64"/>
      <c r="W16" s="41">
        <f t="shared" si="0"/>
        <v>0</v>
      </c>
      <c r="X16" s="41">
        <f t="shared" si="1"/>
        <v>0</v>
      </c>
      <c r="Y16" s="41">
        <f t="shared" si="2"/>
        <v>0</v>
      </c>
      <c r="Z16">
        <f t="shared" si="3"/>
        <v>0</v>
      </c>
      <c r="AA16" s="65"/>
      <c r="AB16">
        <f t="shared" si="4"/>
        <v>0</v>
      </c>
      <c r="AC16">
        <v>0</v>
      </c>
    </row>
    <row r="17" spans="1:29" x14ac:dyDescent="0.35">
      <c r="A17" s="42">
        <v>2020</v>
      </c>
      <c r="B17" s="79">
        <v>43845</v>
      </c>
      <c r="C17" s="42" t="s">
        <v>352</v>
      </c>
      <c r="D17" s="42" t="s">
        <v>30</v>
      </c>
      <c r="E17" s="42"/>
      <c r="F17" s="80">
        <v>0.16916666674660519</v>
      </c>
      <c r="G17" s="42" t="s">
        <v>265</v>
      </c>
      <c r="H17" s="42" t="s">
        <v>229</v>
      </c>
      <c r="I17" s="42" t="s">
        <v>4</v>
      </c>
      <c r="J17" s="42" t="s">
        <v>12</v>
      </c>
      <c r="K17" s="42" t="str">
        <f>IF(Z17=1,"No Work Order Entered","")</f>
        <v>No Work Order Entered</v>
      </c>
      <c r="L17" s="42" t="str">
        <f>IF(Z17=1,"No Work Order Entered","")</f>
        <v>No Work Order Entered</v>
      </c>
      <c r="M17" s="64"/>
      <c r="N17" s="42"/>
      <c r="O17" s="42"/>
      <c r="P17" s="42"/>
      <c r="Q17" s="42"/>
      <c r="R17" s="42" t="s">
        <v>12</v>
      </c>
      <c r="S17" s="42"/>
      <c r="U17" s="41" t="s">
        <v>265</v>
      </c>
      <c r="V17" s="64"/>
      <c r="W17" s="41">
        <f t="shared" si="0"/>
        <v>1</v>
      </c>
      <c r="X17" s="41">
        <f t="shared" si="1"/>
        <v>0</v>
      </c>
      <c r="Y17" s="41">
        <f t="shared" si="2"/>
        <v>0</v>
      </c>
      <c r="Z17">
        <f t="shared" si="3"/>
        <v>1</v>
      </c>
      <c r="AA17" s="65"/>
      <c r="AB17">
        <f t="shared" si="4"/>
        <v>0</v>
      </c>
      <c r="AC17">
        <f t="shared" si="5"/>
        <v>0</v>
      </c>
    </row>
    <row r="18" spans="1:29" x14ac:dyDescent="0.35">
      <c r="A18" s="42">
        <v>2020</v>
      </c>
      <c r="B18" s="79">
        <v>43847</v>
      </c>
      <c r="C18" s="42" t="s">
        <v>352</v>
      </c>
      <c r="D18" s="42" t="s">
        <v>30</v>
      </c>
      <c r="E18" s="42"/>
      <c r="F18" s="80">
        <v>0.3911111110355705</v>
      </c>
      <c r="G18" s="42" t="s">
        <v>281</v>
      </c>
      <c r="H18" s="42" t="s">
        <v>362</v>
      </c>
      <c r="I18" s="42" t="s">
        <v>4</v>
      </c>
      <c r="J18" s="42" t="s">
        <v>12</v>
      </c>
      <c r="K18" s="42" t="str">
        <f>IF(Z18=1,"No Work Order Entered","")</f>
        <v>No Work Order Entered</v>
      </c>
      <c r="L18" s="42" t="str">
        <f>IF(Z18=1,"No Work Order Entered","")</f>
        <v>No Work Order Entered</v>
      </c>
      <c r="M18" s="64"/>
      <c r="N18" s="42"/>
      <c r="O18" s="42"/>
      <c r="P18" s="42"/>
      <c r="Q18" s="42"/>
      <c r="R18" s="42" t="s">
        <v>12</v>
      </c>
      <c r="S18" s="42"/>
      <c r="U18" s="41" t="s">
        <v>281</v>
      </c>
      <c r="V18" s="64"/>
      <c r="W18" s="41">
        <f t="shared" si="0"/>
        <v>1</v>
      </c>
      <c r="X18" s="41">
        <f t="shared" si="1"/>
        <v>0</v>
      </c>
      <c r="Y18" s="41">
        <f t="shared" si="2"/>
        <v>0</v>
      </c>
      <c r="Z18">
        <f t="shared" si="3"/>
        <v>1</v>
      </c>
      <c r="AA18" s="65"/>
      <c r="AB18">
        <f t="shared" si="4"/>
        <v>0</v>
      </c>
      <c r="AC18">
        <f t="shared" si="5"/>
        <v>0</v>
      </c>
    </row>
    <row r="19" spans="1:29" ht="72.5" x14ac:dyDescent="0.35">
      <c r="A19" s="42">
        <v>2020</v>
      </c>
      <c r="B19" s="79">
        <v>43877</v>
      </c>
      <c r="C19" s="42" t="s">
        <v>352</v>
      </c>
      <c r="D19" s="42" t="s">
        <v>30</v>
      </c>
      <c r="E19" s="42"/>
      <c r="F19" s="80">
        <v>0.1355555554619059</v>
      </c>
      <c r="G19" s="42" t="s">
        <v>293</v>
      </c>
      <c r="H19" s="42" t="s">
        <v>296</v>
      </c>
      <c r="I19" s="42">
        <v>309757</v>
      </c>
      <c r="J19" s="42" t="s">
        <v>363</v>
      </c>
      <c r="K19" s="42" t="s">
        <v>1221</v>
      </c>
      <c r="L19" s="42" t="s">
        <v>1222</v>
      </c>
      <c r="M19" s="64"/>
      <c r="N19" s="42">
        <v>1</v>
      </c>
      <c r="O19" s="42" t="s">
        <v>1224</v>
      </c>
      <c r="P19" s="42" t="s">
        <v>1228</v>
      </c>
      <c r="Q19" s="42" t="s">
        <v>12</v>
      </c>
      <c r="R19" s="42" t="s">
        <v>12</v>
      </c>
      <c r="S19" s="42"/>
      <c r="U19" s="41" t="s">
        <v>293</v>
      </c>
      <c r="V19" s="64"/>
      <c r="W19" s="41">
        <f t="shared" si="0"/>
        <v>0</v>
      </c>
      <c r="X19" s="41">
        <f t="shared" si="1"/>
        <v>0</v>
      </c>
      <c r="Y19" s="41">
        <f t="shared" si="2"/>
        <v>0</v>
      </c>
      <c r="Z19">
        <f t="shared" si="3"/>
        <v>0</v>
      </c>
      <c r="AA19" s="65"/>
      <c r="AB19">
        <f t="shared" si="4"/>
        <v>1</v>
      </c>
      <c r="AC19">
        <f t="shared" si="5"/>
        <v>1</v>
      </c>
    </row>
    <row r="20" spans="1:29" ht="43.5" x14ac:dyDescent="0.35">
      <c r="A20" s="64">
        <v>2020</v>
      </c>
      <c r="B20" s="181">
        <v>43877</v>
      </c>
      <c r="C20" s="64"/>
      <c r="D20" s="64"/>
      <c r="E20" s="64"/>
      <c r="F20" s="182"/>
      <c r="G20" s="64" t="s">
        <v>293</v>
      </c>
      <c r="H20" s="64" t="s">
        <v>296</v>
      </c>
      <c r="I20" s="64"/>
      <c r="J20" s="64"/>
      <c r="K20" s="64"/>
      <c r="L20" s="64"/>
      <c r="M20" s="64" t="s">
        <v>1223</v>
      </c>
      <c r="N20" s="42">
        <v>1</v>
      </c>
      <c r="O20" s="42" t="s">
        <v>1225</v>
      </c>
      <c r="P20" s="42">
        <v>431003040</v>
      </c>
      <c r="Q20" s="42" t="s">
        <v>12</v>
      </c>
      <c r="R20" s="42" t="s">
        <v>12</v>
      </c>
      <c r="S20" s="42"/>
      <c r="U20" s="41" t="s">
        <v>293</v>
      </c>
      <c r="V20" s="64"/>
      <c r="W20" s="41"/>
      <c r="X20" s="41"/>
      <c r="Y20" s="41"/>
      <c r="AA20" s="65"/>
    </row>
    <row r="21" spans="1:29" ht="43.5" x14ac:dyDescent="0.35">
      <c r="A21" s="64">
        <v>2020</v>
      </c>
      <c r="B21" s="181">
        <v>43877</v>
      </c>
      <c r="C21" s="64"/>
      <c r="D21" s="64"/>
      <c r="E21" s="64"/>
      <c r="F21" s="182"/>
      <c r="G21" s="64" t="s">
        <v>293</v>
      </c>
      <c r="H21" s="64" t="s">
        <v>296</v>
      </c>
      <c r="I21" s="64"/>
      <c r="J21" s="64"/>
      <c r="K21" s="64"/>
      <c r="L21" s="64"/>
      <c r="M21" s="64" t="s">
        <v>1223</v>
      </c>
      <c r="N21" s="42">
        <v>1</v>
      </c>
      <c r="O21" s="42" t="s">
        <v>1226</v>
      </c>
      <c r="P21" s="42" t="s">
        <v>1227</v>
      </c>
      <c r="Q21" s="42" t="s">
        <v>1497</v>
      </c>
      <c r="R21" s="42" t="s">
        <v>12</v>
      </c>
      <c r="S21" s="42"/>
      <c r="U21" s="41" t="s">
        <v>293</v>
      </c>
      <c r="V21" s="64"/>
      <c r="W21" s="41"/>
      <c r="X21" s="41"/>
      <c r="Y21" s="41"/>
      <c r="AA21" s="65"/>
    </row>
    <row r="22" spans="1:29" ht="29" x14ac:dyDescent="0.35">
      <c r="A22" s="42">
        <v>2020</v>
      </c>
      <c r="B22" s="79">
        <v>43877</v>
      </c>
      <c r="C22" s="42" t="s">
        <v>352</v>
      </c>
      <c r="D22" s="42" t="s">
        <v>30</v>
      </c>
      <c r="E22" s="42"/>
      <c r="F22" s="80">
        <v>0.13111111102625728</v>
      </c>
      <c r="G22" s="42" t="s">
        <v>293</v>
      </c>
      <c r="H22" s="42" t="s">
        <v>296</v>
      </c>
      <c r="I22" s="42">
        <v>309757</v>
      </c>
      <c r="J22" s="42" t="s">
        <v>364</v>
      </c>
      <c r="K22" s="42" t="s">
        <v>1221</v>
      </c>
      <c r="L22" s="42" t="s">
        <v>1222</v>
      </c>
      <c r="M22" s="64"/>
      <c r="N22" s="64"/>
      <c r="O22" s="64"/>
      <c r="P22" s="64"/>
      <c r="Q22" s="64"/>
      <c r="R22" s="64"/>
      <c r="S22" s="42"/>
      <c r="U22" s="41" t="s">
        <v>293</v>
      </c>
      <c r="V22" s="64"/>
      <c r="W22" s="41">
        <f t="shared" si="0"/>
        <v>0</v>
      </c>
      <c r="X22" s="41">
        <f t="shared" si="1"/>
        <v>0</v>
      </c>
      <c r="Y22" s="41">
        <f t="shared" si="2"/>
        <v>0</v>
      </c>
      <c r="Z22">
        <f t="shared" si="3"/>
        <v>0</v>
      </c>
      <c r="AA22" s="65"/>
      <c r="AB22">
        <f t="shared" si="4"/>
        <v>0</v>
      </c>
      <c r="AC22">
        <f t="shared" si="5"/>
        <v>1</v>
      </c>
    </row>
    <row r="23" spans="1:29" ht="29" x14ac:dyDescent="0.35">
      <c r="A23" s="42">
        <v>2020</v>
      </c>
      <c r="B23" s="79">
        <v>43877</v>
      </c>
      <c r="C23" s="42" t="s">
        <v>352</v>
      </c>
      <c r="D23" s="42" t="s">
        <v>30</v>
      </c>
      <c r="E23" s="42"/>
      <c r="F23" s="80">
        <v>0.93972222221782431</v>
      </c>
      <c r="G23" s="42" t="s">
        <v>293</v>
      </c>
      <c r="H23" s="42" t="s">
        <v>296</v>
      </c>
      <c r="I23" s="42">
        <v>309757</v>
      </c>
      <c r="J23" s="42" t="s">
        <v>364</v>
      </c>
      <c r="K23" s="42" t="s">
        <v>1221</v>
      </c>
      <c r="L23" s="42" t="s">
        <v>1222</v>
      </c>
      <c r="M23" s="64"/>
      <c r="N23" s="64"/>
      <c r="O23" s="64"/>
      <c r="P23" s="64"/>
      <c r="Q23" s="64"/>
      <c r="R23" s="64"/>
      <c r="S23" s="42"/>
      <c r="U23" s="41" t="s">
        <v>293</v>
      </c>
      <c r="V23" s="64"/>
      <c r="W23" s="41">
        <f t="shared" si="0"/>
        <v>0</v>
      </c>
      <c r="X23" s="41">
        <f t="shared" si="1"/>
        <v>0</v>
      </c>
      <c r="Y23" s="41">
        <f t="shared" si="2"/>
        <v>0</v>
      </c>
      <c r="Z23">
        <f t="shared" si="3"/>
        <v>0</v>
      </c>
      <c r="AA23" s="65"/>
      <c r="AB23">
        <f t="shared" si="4"/>
        <v>0</v>
      </c>
      <c r="AC23">
        <f t="shared" si="5"/>
        <v>1</v>
      </c>
    </row>
    <row r="24" spans="1:29" ht="29" x14ac:dyDescent="0.35">
      <c r="A24" s="42">
        <v>2020</v>
      </c>
      <c r="B24" s="79">
        <v>43877</v>
      </c>
      <c r="C24" s="42" t="s">
        <v>352</v>
      </c>
      <c r="D24" s="42" t="s">
        <v>30</v>
      </c>
      <c r="E24" s="42"/>
      <c r="F24" s="80">
        <v>0.30111111112637445</v>
      </c>
      <c r="G24" s="42" t="s">
        <v>293</v>
      </c>
      <c r="H24" s="42" t="s">
        <v>296</v>
      </c>
      <c r="I24" s="42">
        <v>309757</v>
      </c>
      <c r="J24" s="42" t="s">
        <v>364</v>
      </c>
      <c r="K24" s="42" t="s">
        <v>1221</v>
      </c>
      <c r="L24" s="42" t="s">
        <v>1222</v>
      </c>
      <c r="M24" s="64"/>
      <c r="N24" s="64"/>
      <c r="O24" s="64"/>
      <c r="P24" s="64"/>
      <c r="Q24" s="64"/>
      <c r="R24" s="64"/>
      <c r="S24" s="42"/>
      <c r="U24" s="41" t="s">
        <v>293</v>
      </c>
      <c r="V24" s="64"/>
      <c r="W24" s="41">
        <f t="shared" si="0"/>
        <v>0</v>
      </c>
      <c r="X24" s="41">
        <f t="shared" si="1"/>
        <v>0</v>
      </c>
      <c r="Y24" s="41">
        <f t="shared" si="2"/>
        <v>0</v>
      </c>
      <c r="Z24">
        <f t="shared" si="3"/>
        <v>0</v>
      </c>
      <c r="AA24" s="65"/>
      <c r="AB24">
        <f t="shared" si="4"/>
        <v>0</v>
      </c>
      <c r="AC24">
        <f t="shared" si="5"/>
        <v>1</v>
      </c>
    </row>
    <row r="25" spans="1:29" ht="29" x14ac:dyDescent="0.35">
      <c r="A25" s="42">
        <v>2020</v>
      </c>
      <c r="B25" s="79">
        <v>43877</v>
      </c>
      <c r="C25" s="42" t="s">
        <v>352</v>
      </c>
      <c r="D25" s="42" t="s">
        <v>30</v>
      </c>
      <c r="E25" s="42"/>
      <c r="F25" s="80">
        <v>1.0294444444589317</v>
      </c>
      <c r="G25" s="42" t="s">
        <v>293</v>
      </c>
      <c r="H25" s="42" t="s">
        <v>296</v>
      </c>
      <c r="I25" s="42">
        <v>309757</v>
      </c>
      <c r="J25" s="42" t="s">
        <v>364</v>
      </c>
      <c r="K25" s="42" t="s">
        <v>1221</v>
      </c>
      <c r="L25" s="42" t="s">
        <v>1222</v>
      </c>
      <c r="M25" s="64"/>
      <c r="N25" s="64"/>
      <c r="O25" s="64"/>
      <c r="P25" s="64"/>
      <c r="Q25" s="64"/>
      <c r="R25" s="64"/>
      <c r="S25" s="42"/>
      <c r="U25" s="41" t="s">
        <v>293</v>
      </c>
      <c r="V25" s="64"/>
      <c r="W25" s="41">
        <f t="shared" si="0"/>
        <v>0</v>
      </c>
      <c r="X25" s="41">
        <f t="shared" si="1"/>
        <v>0</v>
      </c>
      <c r="Y25" s="41">
        <f t="shared" si="2"/>
        <v>0</v>
      </c>
      <c r="Z25">
        <f t="shared" si="3"/>
        <v>0</v>
      </c>
      <c r="AA25" s="65"/>
      <c r="AB25">
        <f t="shared" si="4"/>
        <v>0</v>
      </c>
      <c r="AC25">
        <f t="shared" si="5"/>
        <v>1</v>
      </c>
    </row>
    <row r="26" spans="1:29" ht="43.5" x14ac:dyDescent="0.35">
      <c r="A26" s="42">
        <v>2020</v>
      </c>
      <c r="B26" s="79">
        <v>43883</v>
      </c>
      <c r="C26" s="42" t="s">
        <v>352</v>
      </c>
      <c r="D26" s="42" t="s">
        <v>30</v>
      </c>
      <c r="E26" s="42"/>
      <c r="F26" s="80">
        <v>1.7216666667954996</v>
      </c>
      <c r="G26" s="42" t="s">
        <v>293</v>
      </c>
      <c r="H26" s="42" t="s">
        <v>296</v>
      </c>
      <c r="I26" s="42">
        <v>309760</v>
      </c>
      <c r="J26" s="42" t="s">
        <v>365</v>
      </c>
      <c r="K26" s="42" t="s">
        <v>1229</v>
      </c>
      <c r="L26" s="42" t="s">
        <v>1230</v>
      </c>
      <c r="M26" s="64"/>
      <c r="N26" s="42">
        <v>4</v>
      </c>
      <c r="O26" s="42" t="s">
        <v>1244</v>
      </c>
      <c r="P26" s="42" t="s">
        <v>1231</v>
      </c>
      <c r="Q26" s="42" t="s">
        <v>12</v>
      </c>
      <c r="R26" s="42" t="s">
        <v>12</v>
      </c>
      <c r="S26" s="42"/>
      <c r="U26" s="41" t="s">
        <v>293</v>
      </c>
      <c r="V26" s="64"/>
      <c r="W26" s="41">
        <f t="shared" si="0"/>
        <v>0</v>
      </c>
      <c r="X26" s="41">
        <f t="shared" si="1"/>
        <v>0</v>
      </c>
      <c r="Y26" s="41">
        <f t="shared" si="2"/>
        <v>0</v>
      </c>
      <c r="Z26">
        <f t="shared" si="3"/>
        <v>0</v>
      </c>
      <c r="AA26" s="65"/>
      <c r="AB26">
        <f t="shared" si="4"/>
        <v>1</v>
      </c>
      <c r="AC26">
        <f t="shared" si="5"/>
        <v>1</v>
      </c>
    </row>
    <row r="27" spans="1:29" ht="29" x14ac:dyDescent="0.35">
      <c r="A27" s="42">
        <v>2020</v>
      </c>
      <c r="B27" s="79">
        <v>44172</v>
      </c>
      <c r="C27" s="42" t="s">
        <v>352</v>
      </c>
      <c r="D27" s="42" t="s">
        <v>30</v>
      </c>
      <c r="E27" s="42"/>
      <c r="F27" s="80">
        <v>18.018333333428018</v>
      </c>
      <c r="G27" s="42" t="s">
        <v>265</v>
      </c>
      <c r="H27" s="42" t="s">
        <v>228</v>
      </c>
      <c r="I27" s="42">
        <v>4804543</v>
      </c>
      <c r="J27" s="42" t="s">
        <v>366</v>
      </c>
      <c r="K27" s="42" t="s">
        <v>1232</v>
      </c>
      <c r="L27" s="42" t="s">
        <v>1233</v>
      </c>
      <c r="M27" s="64"/>
      <c r="N27" s="42">
        <v>0</v>
      </c>
      <c r="O27" s="42"/>
      <c r="P27" s="42"/>
      <c r="Q27" s="42"/>
      <c r="R27" s="42" t="s">
        <v>12</v>
      </c>
      <c r="S27" s="42"/>
      <c r="U27" s="41" t="s">
        <v>265</v>
      </c>
      <c r="V27" s="64"/>
      <c r="W27" s="41">
        <f t="shared" si="0"/>
        <v>0</v>
      </c>
      <c r="X27" s="41">
        <f t="shared" si="1"/>
        <v>0</v>
      </c>
      <c r="Y27" s="41">
        <f t="shared" si="2"/>
        <v>0</v>
      </c>
      <c r="Z27">
        <f t="shared" si="3"/>
        <v>0</v>
      </c>
      <c r="AA27" s="65"/>
      <c r="AB27">
        <f t="shared" si="4"/>
        <v>0</v>
      </c>
      <c r="AC27">
        <f t="shared" si="5"/>
        <v>1</v>
      </c>
    </row>
    <row r="28" spans="1:29" x14ac:dyDescent="0.35">
      <c r="A28" s="42">
        <v>2020</v>
      </c>
      <c r="B28" s="79">
        <v>44173</v>
      </c>
      <c r="C28" s="42" t="s">
        <v>352</v>
      </c>
      <c r="D28" s="42" t="s">
        <v>30</v>
      </c>
      <c r="E28" s="42"/>
      <c r="F28" s="80">
        <v>0.13000000000465661</v>
      </c>
      <c r="G28" s="42" t="s">
        <v>293</v>
      </c>
      <c r="H28" s="42" t="s">
        <v>296</v>
      </c>
      <c r="I28" s="42" t="s">
        <v>4</v>
      </c>
      <c r="J28" s="42" t="s">
        <v>367</v>
      </c>
      <c r="K28" s="42" t="str">
        <f>IF(Z28=1,"No Work Order Entered","")</f>
        <v>No Work Order Entered</v>
      </c>
      <c r="L28" s="42" t="str">
        <f>IF(Z28=1,"No Work Order Entered","")</f>
        <v>No Work Order Entered</v>
      </c>
      <c r="M28" s="64"/>
      <c r="N28" s="42"/>
      <c r="O28" s="42"/>
      <c r="P28" s="42"/>
      <c r="Q28" s="42"/>
      <c r="R28" s="42" t="s">
        <v>12</v>
      </c>
      <c r="S28" s="42"/>
      <c r="U28" s="41" t="s">
        <v>293</v>
      </c>
      <c r="V28" s="64"/>
      <c r="W28" s="41">
        <f t="shared" si="0"/>
        <v>1</v>
      </c>
      <c r="X28" s="41">
        <f t="shared" si="1"/>
        <v>0</v>
      </c>
      <c r="Y28" s="41">
        <f t="shared" si="2"/>
        <v>0</v>
      </c>
      <c r="Z28">
        <f t="shared" si="3"/>
        <v>1</v>
      </c>
      <c r="AA28" s="65"/>
      <c r="AB28">
        <f t="shared" si="4"/>
        <v>0</v>
      </c>
      <c r="AC28">
        <f t="shared" si="5"/>
        <v>0</v>
      </c>
    </row>
    <row r="29" spans="1:29" ht="29" x14ac:dyDescent="0.35">
      <c r="A29" s="42">
        <v>2020</v>
      </c>
      <c r="B29" s="79">
        <v>44173</v>
      </c>
      <c r="C29" s="42" t="s">
        <v>352</v>
      </c>
      <c r="D29" s="42" t="s">
        <v>30</v>
      </c>
      <c r="E29" s="42"/>
      <c r="F29" s="80">
        <v>0.39055555552477017</v>
      </c>
      <c r="G29" s="42" t="s">
        <v>293</v>
      </c>
      <c r="H29" s="42" t="s">
        <v>296</v>
      </c>
      <c r="I29" s="42">
        <v>4804544</v>
      </c>
      <c r="J29" s="42" t="s">
        <v>367</v>
      </c>
      <c r="K29" s="42" t="s">
        <v>1234</v>
      </c>
      <c r="L29" s="42" t="s">
        <v>1235</v>
      </c>
      <c r="M29" s="64"/>
      <c r="N29" s="42">
        <v>0</v>
      </c>
      <c r="O29" s="42"/>
      <c r="P29" s="42"/>
      <c r="Q29" s="42"/>
      <c r="R29" s="42" t="s">
        <v>12</v>
      </c>
      <c r="S29" s="42"/>
      <c r="U29" s="41" t="s">
        <v>293</v>
      </c>
      <c r="V29" s="64"/>
      <c r="W29" s="41">
        <f t="shared" si="0"/>
        <v>0</v>
      </c>
      <c r="X29" s="41">
        <f t="shared" si="1"/>
        <v>0</v>
      </c>
      <c r="Y29" s="41">
        <f t="shared" si="2"/>
        <v>0</v>
      </c>
      <c r="Z29">
        <f t="shared" si="3"/>
        <v>0</v>
      </c>
      <c r="AA29" s="65"/>
      <c r="AB29">
        <f t="shared" si="4"/>
        <v>0</v>
      </c>
      <c r="AC29">
        <f t="shared" si="5"/>
        <v>1</v>
      </c>
    </row>
    <row r="30" spans="1:29" ht="29" x14ac:dyDescent="0.35">
      <c r="A30" s="42">
        <v>2020</v>
      </c>
      <c r="B30" s="79">
        <v>44173</v>
      </c>
      <c r="C30" s="42" t="s">
        <v>352</v>
      </c>
      <c r="D30" s="42" t="s">
        <v>30</v>
      </c>
      <c r="E30" s="42"/>
      <c r="F30" s="80">
        <v>0.47805555554805323</v>
      </c>
      <c r="G30" s="42" t="s">
        <v>293</v>
      </c>
      <c r="H30" s="42" t="s">
        <v>296</v>
      </c>
      <c r="I30" s="42">
        <v>4804545</v>
      </c>
      <c r="J30" s="42" t="s">
        <v>12</v>
      </c>
      <c r="K30" s="42" t="s">
        <v>1236</v>
      </c>
      <c r="L30" s="42" t="s">
        <v>1237</v>
      </c>
      <c r="M30" s="64"/>
      <c r="N30" s="42">
        <v>0</v>
      </c>
      <c r="O30" s="42"/>
      <c r="P30" s="42"/>
      <c r="Q30" s="42"/>
      <c r="R30" s="42" t="s">
        <v>12</v>
      </c>
      <c r="S30" s="42"/>
      <c r="U30" s="41" t="s">
        <v>293</v>
      </c>
      <c r="V30" s="64"/>
      <c r="W30" s="41"/>
      <c r="X30" s="41"/>
      <c r="Y30" s="41"/>
      <c r="AA30" s="65"/>
      <c r="AB30">
        <f t="shared" si="4"/>
        <v>0</v>
      </c>
      <c r="AC30">
        <f t="shared" si="5"/>
        <v>1</v>
      </c>
    </row>
    <row r="31" spans="1:29" ht="43.5" x14ac:dyDescent="0.35">
      <c r="A31" s="42">
        <v>2020</v>
      </c>
      <c r="B31" s="79">
        <v>44176</v>
      </c>
      <c r="C31" s="42" t="s">
        <v>352</v>
      </c>
      <c r="D31" s="42" t="s">
        <v>30</v>
      </c>
      <c r="E31" s="42"/>
      <c r="F31" s="80">
        <v>1.0869444444542751</v>
      </c>
      <c r="G31" s="42" t="s">
        <v>293</v>
      </c>
      <c r="H31" s="42" t="s">
        <v>296</v>
      </c>
      <c r="I31" s="42">
        <v>4804549</v>
      </c>
      <c r="J31" s="42" t="s">
        <v>368</v>
      </c>
      <c r="K31" s="42" t="s">
        <v>1238</v>
      </c>
      <c r="L31" s="42" t="s">
        <v>1239</v>
      </c>
      <c r="M31" s="64"/>
      <c r="N31" s="42">
        <v>0</v>
      </c>
      <c r="O31" s="42"/>
      <c r="P31" s="42"/>
      <c r="Q31" s="42"/>
      <c r="R31" s="42" t="s">
        <v>12</v>
      </c>
      <c r="S31" s="42"/>
      <c r="U31" s="41" t="s">
        <v>293</v>
      </c>
      <c r="V31" s="64"/>
      <c r="W31" s="41">
        <f t="shared" si="0"/>
        <v>0</v>
      </c>
      <c r="X31" s="41">
        <f t="shared" si="1"/>
        <v>0</v>
      </c>
      <c r="Y31" s="41">
        <f t="shared" si="2"/>
        <v>0</v>
      </c>
      <c r="Z31">
        <f t="shared" si="3"/>
        <v>0</v>
      </c>
      <c r="AA31" s="65"/>
      <c r="AB31">
        <f t="shared" si="4"/>
        <v>0</v>
      </c>
      <c r="AC31">
        <f t="shared" si="5"/>
        <v>1</v>
      </c>
    </row>
    <row r="32" spans="1:29" ht="58" x14ac:dyDescent="0.35">
      <c r="A32" s="42">
        <v>2020</v>
      </c>
      <c r="B32" s="79">
        <v>44184</v>
      </c>
      <c r="C32" s="42" t="s">
        <v>352</v>
      </c>
      <c r="D32" s="42" t="s">
        <v>30</v>
      </c>
      <c r="E32" s="42"/>
      <c r="F32" s="80">
        <v>2.7383333332836628</v>
      </c>
      <c r="G32" s="42" t="s">
        <v>265</v>
      </c>
      <c r="H32" s="42" t="s">
        <v>228</v>
      </c>
      <c r="I32" s="42">
        <v>4805080</v>
      </c>
      <c r="J32" s="42" t="s">
        <v>12</v>
      </c>
      <c r="K32" s="42" t="s">
        <v>1240</v>
      </c>
      <c r="L32" s="42" t="s">
        <v>1220</v>
      </c>
      <c r="M32" s="64"/>
      <c r="N32" s="42">
        <v>0</v>
      </c>
      <c r="O32" s="42"/>
      <c r="P32" s="42"/>
      <c r="Q32" s="42"/>
      <c r="R32" s="42" t="s">
        <v>1494</v>
      </c>
      <c r="S32" s="42"/>
      <c r="U32" s="41" t="s">
        <v>265</v>
      </c>
      <c r="V32" s="64"/>
      <c r="W32" s="41">
        <f t="shared" si="0"/>
        <v>0</v>
      </c>
      <c r="X32" s="41">
        <f t="shared" si="1"/>
        <v>0</v>
      </c>
      <c r="Y32" s="41">
        <f t="shared" si="2"/>
        <v>0</v>
      </c>
      <c r="Z32">
        <f t="shared" si="3"/>
        <v>0</v>
      </c>
      <c r="AA32" s="65"/>
      <c r="AB32">
        <f t="shared" si="4"/>
        <v>0</v>
      </c>
      <c r="AC32">
        <v>0</v>
      </c>
    </row>
    <row r="33" spans="1:29" ht="29" x14ac:dyDescent="0.35">
      <c r="A33" s="42">
        <v>2021</v>
      </c>
      <c r="B33" s="79">
        <v>44199</v>
      </c>
      <c r="C33" s="42" t="s">
        <v>352</v>
      </c>
      <c r="D33" s="42" t="s">
        <v>30</v>
      </c>
      <c r="E33" s="42"/>
      <c r="F33" s="80">
        <v>2.6972222221666016</v>
      </c>
      <c r="G33" s="42" t="s">
        <v>265</v>
      </c>
      <c r="H33" s="42" t="s">
        <v>228</v>
      </c>
      <c r="I33" s="42">
        <v>4805082</v>
      </c>
      <c r="J33" s="42" t="s">
        <v>12</v>
      </c>
      <c r="K33" s="42" t="s">
        <v>1241</v>
      </c>
      <c r="L33" s="42" t="s">
        <v>1242</v>
      </c>
      <c r="M33" s="64"/>
      <c r="N33" s="42">
        <v>0</v>
      </c>
      <c r="O33" s="42"/>
      <c r="P33" s="42"/>
      <c r="Q33" s="42"/>
      <c r="R33" s="42" t="s">
        <v>12</v>
      </c>
      <c r="S33" s="42"/>
      <c r="U33" s="41" t="s">
        <v>265</v>
      </c>
      <c r="V33" s="64"/>
      <c r="W33" s="41">
        <f t="shared" si="0"/>
        <v>0</v>
      </c>
      <c r="X33" s="41">
        <f t="shared" si="1"/>
        <v>0</v>
      </c>
      <c r="Y33" s="41">
        <f t="shared" si="2"/>
        <v>0</v>
      </c>
      <c r="Z33">
        <f t="shared" si="3"/>
        <v>0</v>
      </c>
      <c r="AA33" s="65"/>
      <c r="AB33">
        <f t="shared" si="4"/>
        <v>0</v>
      </c>
      <c r="AC33">
        <f t="shared" si="5"/>
        <v>1</v>
      </c>
    </row>
    <row r="34" spans="1:29" x14ac:dyDescent="0.35">
      <c r="A34" s="42">
        <v>2021</v>
      </c>
      <c r="B34" s="79">
        <v>44200</v>
      </c>
      <c r="C34" s="42" t="s">
        <v>352</v>
      </c>
      <c r="D34" s="42" t="s">
        <v>30</v>
      </c>
      <c r="E34" s="42"/>
      <c r="F34" s="80">
        <v>0.11055555555503815</v>
      </c>
      <c r="G34" s="42" t="s">
        <v>293</v>
      </c>
      <c r="H34" s="42" t="s">
        <v>296</v>
      </c>
      <c r="I34" s="42" t="s">
        <v>4</v>
      </c>
      <c r="J34" s="42" t="s">
        <v>369</v>
      </c>
      <c r="K34" s="42" t="str">
        <f>IF(Z34=1,"No Work Order Entered","")</f>
        <v>No Work Order Entered</v>
      </c>
      <c r="L34" s="42" t="str">
        <f>IF(Z34=1,"No Work Order Entered","")</f>
        <v>No Work Order Entered</v>
      </c>
      <c r="M34" s="64"/>
      <c r="N34" s="42"/>
      <c r="O34" s="42"/>
      <c r="P34" s="42"/>
      <c r="Q34" s="42"/>
      <c r="R34" s="42" t="s">
        <v>12</v>
      </c>
      <c r="S34" s="42"/>
      <c r="U34" s="41" t="s">
        <v>293</v>
      </c>
      <c r="V34" s="64"/>
      <c r="W34" s="41">
        <f t="shared" si="0"/>
        <v>1</v>
      </c>
      <c r="X34" s="41">
        <f t="shared" si="1"/>
        <v>0</v>
      </c>
      <c r="Y34" s="41">
        <f t="shared" si="2"/>
        <v>0</v>
      </c>
      <c r="Z34">
        <f t="shared" si="3"/>
        <v>1</v>
      </c>
      <c r="AA34" s="65"/>
      <c r="AB34">
        <f t="shared" si="4"/>
        <v>0</v>
      </c>
      <c r="AC34">
        <f t="shared" si="5"/>
        <v>0</v>
      </c>
    </row>
    <row r="35" spans="1:29" x14ac:dyDescent="0.35">
      <c r="A35" s="42">
        <v>2021</v>
      </c>
      <c r="B35" s="79">
        <v>44213</v>
      </c>
      <c r="C35" s="42" t="s">
        <v>352</v>
      </c>
      <c r="D35" s="42" t="s">
        <v>30</v>
      </c>
      <c r="E35" s="42"/>
      <c r="F35" s="80">
        <v>0.35000000009313226</v>
      </c>
      <c r="G35" s="42" t="s">
        <v>265</v>
      </c>
      <c r="H35" s="42" t="s">
        <v>228</v>
      </c>
      <c r="I35" s="42" t="s">
        <v>4</v>
      </c>
      <c r="J35" s="42" t="s">
        <v>12</v>
      </c>
      <c r="K35" s="42" t="str">
        <f>IF(Z35=1,"No Work Order Entered","")</f>
        <v>No Work Order Entered</v>
      </c>
      <c r="L35" s="42" t="str">
        <f>IF(Z35=1,"No Work Order Entered","")</f>
        <v>No Work Order Entered</v>
      </c>
      <c r="M35" s="64"/>
      <c r="N35" s="42"/>
      <c r="O35" s="42"/>
      <c r="P35" s="42"/>
      <c r="Q35" s="42"/>
      <c r="R35" s="42" t="s">
        <v>12</v>
      </c>
      <c r="S35" s="42"/>
      <c r="U35" s="41" t="s">
        <v>265</v>
      </c>
      <c r="V35" s="64"/>
      <c r="W35" s="41">
        <f t="shared" si="0"/>
        <v>1</v>
      </c>
      <c r="X35" s="41">
        <f t="shared" si="1"/>
        <v>0</v>
      </c>
      <c r="Y35" s="41">
        <f t="shared" si="2"/>
        <v>0</v>
      </c>
      <c r="Z35">
        <f t="shared" si="3"/>
        <v>1</v>
      </c>
      <c r="AA35" s="65"/>
      <c r="AB35">
        <f t="shared" si="4"/>
        <v>0</v>
      </c>
      <c r="AC35">
        <f t="shared" si="5"/>
        <v>0</v>
      </c>
    </row>
    <row r="36" spans="1:29" ht="43.5" x14ac:dyDescent="0.35">
      <c r="A36" s="42">
        <v>2021</v>
      </c>
      <c r="B36" s="79">
        <v>44228</v>
      </c>
      <c r="C36" s="42" t="s">
        <v>352</v>
      </c>
      <c r="D36" s="42" t="s">
        <v>30</v>
      </c>
      <c r="E36" s="42"/>
      <c r="F36" s="80">
        <v>1.5633333332953043</v>
      </c>
      <c r="G36" s="42" t="s">
        <v>293</v>
      </c>
      <c r="H36" s="42" t="s">
        <v>296</v>
      </c>
      <c r="I36" s="42">
        <v>4805735</v>
      </c>
      <c r="J36" s="42" t="s">
        <v>370</v>
      </c>
      <c r="K36" s="42" t="s">
        <v>1243</v>
      </c>
      <c r="L36" s="42" t="s">
        <v>1220</v>
      </c>
      <c r="M36" s="64"/>
      <c r="N36" s="42">
        <v>3</v>
      </c>
      <c r="O36" s="42" t="s">
        <v>1245</v>
      </c>
      <c r="P36" s="42" t="s">
        <v>1231</v>
      </c>
      <c r="Q36" s="42" t="s">
        <v>12</v>
      </c>
      <c r="R36" s="42" t="s">
        <v>12</v>
      </c>
      <c r="S36" s="42"/>
      <c r="U36" s="41" t="s">
        <v>293</v>
      </c>
      <c r="V36" s="64"/>
      <c r="W36" s="41">
        <f t="shared" si="0"/>
        <v>0</v>
      </c>
      <c r="X36" s="41">
        <f t="shared" si="1"/>
        <v>0</v>
      </c>
      <c r="Y36" s="41">
        <f t="shared" si="2"/>
        <v>0</v>
      </c>
      <c r="Z36">
        <f t="shared" si="3"/>
        <v>0</v>
      </c>
      <c r="AA36" s="65"/>
      <c r="AB36">
        <f t="shared" si="4"/>
        <v>1</v>
      </c>
      <c r="AC36">
        <v>0</v>
      </c>
    </row>
    <row r="37" spans="1:29" x14ac:dyDescent="0.35">
      <c r="A37" s="42">
        <v>2021</v>
      </c>
      <c r="B37" s="79">
        <v>44230</v>
      </c>
      <c r="C37" s="42" t="s">
        <v>352</v>
      </c>
      <c r="D37" s="42" t="s">
        <v>30</v>
      </c>
      <c r="E37" s="42"/>
      <c r="F37" s="80">
        <v>0.4552777778590098</v>
      </c>
      <c r="G37" s="42" t="s">
        <v>265</v>
      </c>
      <c r="H37" s="42" t="s">
        <v>228</v>
      </c>
      <c r="I37" s="42" t="s">
        <v>4</v>
      </c>
      <c r="J37" s="42" t="s">
        <v>371</v>
      </c>
      <c r="K37" s="42" t="str">
        <f>IF(Z37=1,"No Work Order Entered","")</f>
        <v>No Work Order Entered</v>
      </c>
      <c r="L37" s="42" t="str">
        <f>IF(Z37=1,"No Work Order Entered","")</f>
        <v>No Work Order Entered</v>
      </c>
      <c r="M37" s="64"/>
      <c r="N37" s="42"/>
      <c r="O37" s="42"/>
      <c r="P37" s="42"/>
      <c r="Q37" s="42"/>
      <c r="R37" s="42" t="s">
        <v>12</v>
      </c>
      <c r="S37" s="42"/>
      <c r="U37" s="41" t="s">
        <v>265</v>
      </c>
      <c r="V37" s="64"/>
      <c r="W37" s="41">
        <f t="shared" si="0"/>
        <v>1</v>
      </c>
      <c r="X37" s="41">
        <f t="shared" si="1"/>
        <v>0</v>
      </c>
      <c r="Y37" s="41">
        <f t="shared" si="2"/>
        <v>0</v>
      </c>
      <c r="Z37">
        <f t="shared" si="3"/>
        <v>1</v>
      </c>
      <c r="AA37" s="65"/>
      <c r="AB37">
        <f t="shared" si="4"/>
        <v>0</v>
      </c>
      <c r="AC37">
        <f t="shared" si="5"/>
        <v>0</v>
      </c>
    </row>
    <row r="38" spans="1:29" ht="43.5" x14ac:dyDescent="0.35">
      <c r="A38" s="42">
        <v>2021</v>
      </c>
      <c r="B38" s="79">
        <v>44236</v>
      </c>
      <c r="C38" s="42" t="s">
        <v>352</v>
      </c>
      <c r="D38" s="42" t="s">
        <v>30</v>
      </c>
      <c r="E38" s="42"/>
      <c r="F38" s="80">
        <v>5.7483333333511837</v>
      </c>
      <c r="G38" s="42" t="s">
        <v>293</v>
      </c>
      <c r="H38" s="42" t="s">
        <v>296</v>
      </c>
      <c r="I38" s="42">
        <v>4806024</v>
      </c>
      <c r="J38" s="42" t="s">
        <v>372</v>
      </c>
      <c r="K38" s="42" t="s">
        <v>1246</v>
      </c>
      <c r="L38" s="42" t="s">
        <v>1247</v>
      </c>
      <c r="M38" s="64"/>
      <c r="N38" s="42">
        <v>1</v>
      </c>
      <c r="O38" s="42" t="s">
        <v>1249</v>
      </c>
      <c r="P38" s="42" t="s">
        <v>1251</v>
      </c>
      <c r="Q38" s="42" t="s">
        <v>1498</v>
      </c>
      <c r="R38" s="42" t="s">
        <v>12</v>
      </c>
      <c r="S38" s="42"/>
      <c r="U38" s="41" t="s">
        <v>293</v>
      </c>
      <c r="V38" s="64"/>
      <c r="W38" s="41">
        <f t="shared" si="0"/>
        <v>0</v>
      </c>
      <c r="X38" s="41">
        <f t="shared" si="1"/>
        <v>0</v>
      </c>
      <c r="Y38" s="41">
        <f t="shared" si="2"/>
        <v>0</v>
      </c>
      <c r="Z38">
        <f t="shared" si="3"/>
        <v>0</v>
      </c>
      <c r="AA38" s="65"/>
      <c r="AB38">
        <f t="shared" si="4"/>
        <v>1</v>
      </c>
      <c r="AC38">
        <f t="shared" si="5"/>
        <v>1</v>
      </c>
    </row>
    <row r="39" spans="1:29" ht="43.5" x14ac:dyDescent="0.35">
      <c r="A39" s="64">
        <v>2021</v>
      </c>
      <c r="B39" s="181">
        <v>44236</v>
      </c>
      <c r="C39" s="64"/>
      <c r="D39" s="64"/>
      <c r="E39" s="64"/>
      <c r="F39" s="182" t="s">
        <v>1248</v>
      </c>
      <c r="G39" s="64" t="s">
        <v>293</v>
      </c>
      <c r="H39" s="64" t="s">
        <v>296</v>
      </c>
      <c r="I39" s="64"/>
      <c r="J39" s="64"/>
      <c r="K39" s="64"/>
      <c r="L39" s="64"/>
      <c r="M39" s="64" t="s">
        <v>1223</v>
      </c>
      <c r="N39" s="42">
        <v>1</v>
      </c>
      <c r="O39" s="42" t="s">
        <v>1250</v>
      </c>
      <c r="P39" s="42" t="s">
        <v>1252</v>
      </c>
      <c r="Q39" s="42" t="s">
        <v>1498</v>
      </c>
      <c r="R39" s="64"/>
      <c r="S39" s="42"/>
      <c r="U39" s="41" t="s">
        <v>293</v>
      </c>
      <c r="V39" s="64"/>
      <c r="W39" s="41"/>
      <c r="X39" s="41"/>
      <c r="Y39" s="41"/>
      <c r="AA39" s="65"/>
    </row>
    <row r="40" spans="1:29" ht="130.5" x14ac:dyDescent="0.35">
      <c r="A40" s="42">
        <v>2021</v>
      </c>
      <c r="B40" s="79">
        <v>44240</v>
      </c>
      <c r="C40" s="42" t="s">
        <v>352</v>
      </c>
      <c r="D40" s="42" t="s">
        <v>30</v>
      </c>
      <c r="E40" s="42"/>
      <c r="F40" s="80">
        <v>1.6227777776657604</v>
      </c>
      <c r="G40" s="42" t="s">
        <v>265</v>
      </c>
      <c r="H40" s="42" t="s">
        <v>229</v>
      </c>
      <c r="I40" s="42">
        <v>4806086</v>
      </c>
      <c r="J40" s="42" t="s">
        <v>373</v>
      </c>
      <c r="K40" s="42" t="s">
        <v>1253</v>
      </c>
      <c r="L40" s="42" t="s">
        <v>1220</v>
      </c>
      <c r="M40" s="64"/>
      <c r="N40" s="42">
        <v>2</v>
      </c>
      <c r="O40" s="42" t="s">
        <v>1255</v>
      </c>
      <c r="P40" s="42">
        <v>8419674</v>
      </c>
      <c r="Q40" s="42" t="s">
        <v>12</v>
      </c>
      <c r="R40" s="42" t="s">
        <v>1495</v>
      </c>
      <c r="S40" s="42"/>
      <c r="U40" s="41" t="s">
        <v>265</v>
      </c>
      <c r="V40" s="64"/>
      <c r="W40" s="41">
        <f t="shared" si="0"/>
        <v>0</v>
      </c>
      <c r="X40" s="41">
        <f t="shared" si="1"/>
        <v>0</v>
      </c>
      <c r="Y40" s="41">
        <f t="shared" si="2"/>
        <v>0</v>
      </c>
      <c r="Z40">
        <f t="shared" si="3"/>
        <v>0</v>
      </c>
      <c r="AA40" s="65"/>
      <c r="AB40">
        <f t="shared" si="4"/>
        <v>1</v>
      </c>
      <c r="AC40">
        <v>0</v>
      </c>
    </row>
    <row r="41" spans="1:29" ht="29" x14ac:dyDescent="0.35">
      <c r="A41" s="64">
        <v>2021</v>
      </c>
      <c r="B41" s="181">
        <v>44240</v>
      </c>
      <c r="C41" s="64"/>
      <c r="D41" s="64"/>
      <c r="E41" s="64"/>
      <c r="F41" s="182"/>
      <c r="G41" s="64" t="s">
        <v>265</v>
      </c>
      <c r="H41" s="64" t="s">
        <v>229</v>
      </c>
      <c r="I41" s="64"/>
      <c r="J41" s="64"/>
      <c r="K41" s="64"/>
      <c r="L41" s="64"/>
      <c r="M41" s="64" t="s">
        <v>1223</v>
      </c>
      <c r="N41" s="42">
        <v>2</v>
      </c>
      <c r="O41" s="42" t="s">
        <v>1254</v>
      </c>
      <c r="P41" s="42">
        <v>40024936</v>
      </c>
      <c r="Q41" s="42" t="s">
        <v>12</v>
      </c>
      <c r="R41" s="64"/>
      <c r="S41" s="42"/>
      <c r="U41" s="41" t="s">
        <v>265</v>
      </c>
      <c r="V41" s="64"/>
      <c r="W41" s="41"/>
      <c r="X41" s="41"/>
      <c r="Y41" s="41"/>
      <c r="AA41" s="65"/>
    </row>
    <row r="42" spans="1:29" ht="29" x14ac:dyDescent="0.35">
      <c r="A42" s="42">
        <v>2021</v>
      </c>
      <c r="B42" s="79">
        <v>44241</v>
      </c>
      <c r="C42" s="42" t="s">
        <v>352</v>
      </c>
      <c r="D42" s="42" t="s">
        <v>30</v>
      </c>
      <c r="E42" s="42"/>
      <c r="F42" s="80">
        <v>4.0555555606260896E-2</v>
      </c>
      <c r="G42" s="42" t="s">
        <v>293</v>
      </c>
      <c r="H42" s="42" t="s">
        <v>296</v>
      </c>
      <c r="I42" s="42">
        <v>309791</v>
      </c>
      <c r="J42" s="42" t="s">
        <v>374</v>
      </c>
      <c r="K42" s="42" t="s">
        <v>1256</v>
      </c>
      <c r="L42" s="42" t="s">
        <v>1257</v>
      </c>
      <c r="M42" s="64"/>
      <c r="N42" s="42">
        <v>0</v>
      </c>
      <c r="O42" s="42"/>
      <c r="P42" s="42"/>
      <c r="Q42" s="42"/>
      <c r="R42" s="42" t="s">
        <v>12</v>
      </c>
      <c r="S42" s="42"/>
      <c r="U42" s="41" t="s">
        <v>265</v>
      </c>
      <c r="V42" s="64"/>
      <c r="W42" s="41">
        <f t="shared" si="0"/>
        <v>0</v>
      </c>
      <c r="X42" s="41">
        <f t="shared" si="1"/>
        <v>0</v>
      </c>
      <c r="Y42" s="41">
        <f t="shared" si="2"/>
        <v>0</v>
      </c>
      <c r="Z42">
        <f t="shared" si="3"/>
        <v>0</v>
      </c>
      <c r="AA42" s="65"/>
      <c r="AB42">
        <f t="shared" si="4"/>
        <v>0</v>
      </c>
      <c r="AC42">
        <f t="shared" si="5"/>
        <v>1</v>
      </c>
    </row>
    <row r="43" spans="1:29" ht="29" x14ac:dyDescent="0.35">
      <c r="A43" s="42">
        <v>2021</v>
      </c>
      <c r="B43" s="79">
        <v>44241</v>
      </c>
      <c r="C43" s="42" t="s">
        <v>352</v>
      </c>
      <c r="D43" s="42" t="s">
        <v>30</v>
      </c>
      <c r="E43" s="42"/>
      <c r="F43" s="80">
        <v>0.12888888898305595</v>
      </c>
      <c r="G43" s="42" t="s">
        <v>293</v>
      </c>
      <c r="H43" s="42" t="s">
        <v>296</v>
      </c>
      <c r="I43" s="42">
        <v>309791</v>
      </c>
      <c r="J43" s="42" t="s">
        <v>12</v>
      </c>
      <c r="K43" s="42" t="s">
        <v>1256</v>
      </c>
      <c r="L43" s="42" t="s">
        <v>1257</v>
      </c>
      <c r="M43" s="64"/>
      <c r="N43" s="42">
        <v>0</v>
      </c>
      <c r="O43" s="42"/>
      <c r="P43" s="42"/>
      <c r="Q43" s="42"/>
      <c r="R43" s="42" t="s">
        <v>12</v>
      </c>
      <c r="S43" s="42"/>
      <c r="U43" s="41" t="s">
        <v>293</v>
      </c>
      <c r="V43" s="64"/>
      <c r="W43" s="41">
        <f t="shared" si="0"/>
        <v>0</v>
      </c>
      <c r="X43" s="41">
        <f t="shared" si="1"/>
        <v>0</v>
      </c>
      <c r="Y43" s="41">
        <f t="shared" si="2"/>
        <v>0</v>
      </c>
      <c r="Z43">
        <f t="shared" si="3"/>
        <v>0</v>
      </c>
      <c r="AA43" s="65"/>
      <c r="AB43">
        <f t="shared" si="4"/>
        <v>0</v>
      </c>
      <c r="AC43">
        <f t="shared" si="5"/>
        <v>1</v>
      </c>
    </row>
    <row r="44" spans="1:29" ht="29" x14ac:dyDescent="0.35">
      <c r="A44" s="42">
        <v>2021</v>
      </c>
      <c r="B44" s="79">
        <v>44243</v>
      </c>
      <c r="C44" s="42" t="s">
        <v>352</v>
      </c>
      <c r="D44" s="42" t="s">
        <v>30</v>
      </c>
      <c r="E44" s="42"/>
      <c r="F44" s="80">
        <v>1.3036111111287028</v>
      </c>
      <c r="G44" s="42" t="s">
        <v>293</v>
      </c>
      <c r="H44" s="42" t="s">
        <v>296</v>
      </c>
      <c r="I44" s="42">
        <v>309792</v>
      </c>
      <c r="J44" s="42" t="s">
        <v>375</v>
      </c>
      <c r="K44" s="42" t="s">
        <v>1258</v>
      </c>
      <c r="L44" s="42" t="s">
        <v>1259</v>
      </c>
      <c r="M44" s="64"/>
      <c r="N44" s="42">
        <v>0</v>
      </c>
      <c r="O44" s="42"/>
      <c r="P44" s="42"/>
      <c r="Q44" s="42"/>
      <c r="R44" s="42" t="s">
        <v>12</v>
      </c>
      <c r="S44" s="42"/>
      <c r="U44" s="41" t="s">
        <v>293</v>
      </c>
      <c r="V44" s="64"/>
      <c r="W44" s="41">
        <f t="shared" si="0"/>
        <v>0</v>
      </c>
      <c r="X44" s="41">
        <f t="shared" si="1"/>
        <v>0</v>
      </c>
      <c r="Y44" s="41">
        <f t="shared" si="2"/>
        <v>0</v>
      </c>
      <c r="Z44">
        <f t="shared" si="3"/>
        <v>0</v>
      </c>
      <c r="AA44" s="65"/>
      <c r="AB44">
        <f t="shared" si="4"/>
        <v>0</v>
      </c>
      <c r="AC44">
        <f t="shared" si="5"/>
        <v>1</v>
      </c>
    </row>
    <row r="45" spans="1:29" x14ac:dyDescent="0.35">
      <c r="A45" s="42">
        <v>2021</v>
      </c>
      <c r="B45" s="79">
        <v>44243</v>
      </c>
      <c r="C45" s="42" t="s">
        <v>352</v>
      </c>
      <c r="D45" s="42" t="s">
        <v>30</v>
      </c>
      <c r="E45" s="42"/>
      <c r="F45" s="80">
        <v>0.33722222229698673</v>
      </c>
      <c r="G45" s="42" t="s">
        <v>281</v>
      </c>
      <c r="H45" s="42" t="s">
        <v>362</v>
      </c>
      <c r="I45" s="42" t="s">
        <v>4</v>
      </c>
      <c r="J45" s="42" t="s">
        <v>12</v>
      </c>
      <c r="K45" s="42" t="str">
        <f>IF(Z45=1,"No Work Order Entered","")</f>
        <v>No Work Order Entered</v>
      </c>
      <c r="L45" s="42" t="str">
        <f>IF(Z45=1,"No Work Order Entered","")</f>
        <v>No Work Order Entered</v>
      </c>
      <c r="M45" s="64"/>
      <c r="N45" s="42"/>
      <c r="O45" s="42"/>
      <c r="P45" s="42"/>
      <c r="Q45" s="42"/>
      <c r="R45" s="42" t="s">
        <v>12</v>
      </c>
      <c r="S45" s="42"/>
      <c r="U45" s="41" t="s">
        <v>281</v>
      </c>
      <c r="V45" s="64"/>
      <c r="W45" s="41">
        <f t="shared" si="0"/>
        <v>1</v>
      </c>
      <c r="X45" s="41">
        <f t="shared" si="1"/>
        <v>0</v>
      </c>
      <c r="Y45" s="41">
        <f t="shared" si="2"/>
        <v>0</v>
      </c>
      <c r="Z45">
        <f t="shared" si="3"/>
        <v>1</v>
      </c>
      <c r="AA45" s="65"/>
      <c r="AB45">
        <f t="shared" si="4"/>
        <v>0</v>
      </c>
      <c r="AC45">
        <f t="shared" si="5"/>
        <v>0</v>
      </c>
    </row>
    <row r="46" spans="1:29" ht="29" x14ac:dyDescent="0.35">
      <c r="A46" s="42">
        <v>2021</v>
      </c>
      <c r="B46" s="79">
        <v>44245</v>
      </c>
      <c r="C46" s="42" t="s">
        <v>352</v>
      </c>
      <c r="D46" s="42" t="s">
        <v>30</v>
      </c>
      <c r="E46" s="42"/>
      <c r="F46" s="80">
        <v>0.32999999995809048</v>
      </c>
      <c r="G46" s="42" t="s">
        <v>293</v>
      </c>
      <c r="H46" s="42" t="s">
        <v>296</v>
      </c>
      <c r="I46" s="42">
        <v>309795</v>
      </c>
      <c r="J46" s="42" t="s">
        <v>376</v>
      </c>
      <c r="K46" s="42" t="s">
        <v>1260</v>
      </c>
      <c r="L46" s="42" t="s">
        <v>1261</v>
      </c>
      <c r="M46" s="64"/>
      <c r="N46" s="42">
        <v>0</v>
      </c>
      <c r="O46" s="42"/>
      <c r="P46" s="42"/>
      <c r="Q46" s="42"/>
      <c r="R46" s="42" t="s">
        <v>12</v>
      </c>
      <c r="S46" s="42"/>
      <c r="U46" s="41" t="s">
        <v>293</v>
      </c>
      <c r="V46" s="64"/>
      <c r="W46" s="41">
        <f t="shared" si="0"/>
        <v>0</v>
      </c>
      <c r="X46" s="41">
        <f t="shared" si="1"/>
        <v>0</v>
      </c>
      <c r="Y46" s="41">
        <f t="shared" si="2"/>
        <v>0</v>
      </c>
      <c r="Z46">
        <f t="shared" si="3"/>
        <v>0</v>
      </c>
      <c r="AA46" s="65"/>
      <c r="AB46">
        <f t="shared" si="4"/>
        <v>0</v>
      </c>
      <c r="AC46">
        <f t="shared" si="5"/>
        <v>1</v>
      </c>
    </row>
    <row r="47" spans="1:29" ht="43.5" x14ac:dyDescent="0.35">
      <c r="A47" s="42">
        <v>2021</v>
      </c>
      <c r="B47" s="79">
        <v>44246</v>
      </c>
      <c r="C47" s="42" t="s">
        <v>352</v>
      </c>
      <c r="D47" s="42" t="s">
        <v>30</v>
      </c>
      <c r="E47" s="42"/>
      <c r="F47" s="80">
        <v>1.0741666666581295</v>
      </c>
      <c r="G47" s="42" t="s">
        <v>265</v>
      </c>
      <c r="H47" s="42" t="s">
        <v>228</v>
      </c>
      <c r="I47" s="42">
        <v>309796</v>
      </c>
      <c r="J47" s="42" t="s">
        <v>12</v>
      </c>
      <c r="K47" s="42" t="s">
        <v>1262</v>
      </c>
      <c r="L47" s="42" t="s">
        <v>1220</v>
      </c>
      <c r="M47" s="64"/>
      <c r="N47" s="42">
        <v>0</v>
      </c>
      <c r="O47" s="42"/>
      <c r="P47" s="42"/>
      <c r="Q47" s="42"/>
      <c r="R47" s="42" t="s">
        <v>12</v>
      </c>
      <c r="S47" s="42"/>
      <c r="U47" s="41" t="s">
        <v>265</v>
      </c>
      <c r="V47" s="64"/>
      <c r="W47" s="41">
        <f t="shared" si="0"/>
        <v>0</v>
      </c>
      <c r="X47" s="41">
        <f t="shared" si="1"/>
        <v>0</v>
      </c>
      <c r="Y47" s="41">
        <f t="shared" si="2"/>
        <v>0</v>
      </c>
      <c r="Z47">
        <f t="shared" si="3"/>
        <v>0</v>
      </c>
      <c r="AA47" s="65"/>
      <c r="AB47">
        <f t="shared" si="4"/>
        <v>0</v>
      </c>
      <c r="AC47">
        <v>0</v>
      </c>
    </row>
    <row r="48" spans="1:29" ht="43.5" x14ac:dyDescent="0.35">
      <c r="A48" s="42">
        <v>2021</v>
      </c>
      <c r="B48" s="79">
        <v>44269</v>
      </c>
      <c r="C48" s="42" t="s">
        <v>352</v>
      </c>
      <c r="D48" s="42" t="s">
        <v>30</v>
      </c>
      <c r="E48" s="42"/>
      <c r="F48" s="80">
        <v>0.76999999996041879</v>
      </c>
      <c r="G48" s="42" t="s">
        <v>265</v>
      </c>
      <c r="H48" s="42" t="s">
        <v>228</v>
      </c>
      <c r="I48" s="42">
        <v>4806678</v>
      </c>
      <c r="J48" s="42" t="s">
        <v>371</v>
      </c>
      <c r="K48" s="42" t="s">
        <v>1263</v>
      </c>
      <c r="L48" s="42" t="s">
        <v>1264</v>
      </c>
      <c r="M48" s="64"/>
      <c r="N48" s="42">
        <v>0</v>
      </c>
      <c r="O48" s="42"/>
      <c r="P48" s="42"/>
      <c r="Q48" s="42"/>
      <c r="R48" s="42" t="s">
        <v>12</v>
      </c>
      <c r="S48" s="42"/>
      <c r="U48" s="41" t="s">
        <v>265</v>
      </c>
      <c r="V48" s="64"/>
      <c r="W48" s="41">
        <f t="shared" si="0"/>
        <v>0</v>
      </c>
      <c r="X48" s="41">
        <f t="shared" si="1"/>
        <v>0</v>
      </c>
      <c r="Y48" s="41">
        <f t="shared" si="2"/>
        <v>0</v>
      </c>
      <c r="Z48">
        <f t="shared" si="3"/>
        <v>0</v>
      </c>
      <c r="AA48" s="65"/>
      <c r="AB48">
        <f t="shared" si="4"/>
        <v>0</v>
      </c>
      <c r="AC48">
        <f t="shared" si="5"/>
        <v>1</v>
      </c>
    </row>
    <row r="49" spans="1:29" ht="43.5" x14ac:dyDescent="0.35">
      <c r="A49" s="42">
        <v>2021</v>
      </c>
      <c r="B49" s="79">
        <v>44270</v>
      </c>
      <c r="C49" s="42" t="s">
        <v>352</v>
      </c>
      <c r="D49" s="42" t="s">
        <v>30</v>
      </c>
      <c r="E49" s="42"/>
      <c r="F49" s="80">
        <v>0.30500000005122274</v>
      </c>
      <c r="G49" s="42" t="s">
        <v>265</v>
      </c>
      <c r="H49" s="42" t="s">
        <v>228</v>
      </c>
      <c r="I49" s="42">
        <v>4806678</v>
      </c>
      <c r="J49" s="42" t="s">
        <v>371</v>
      </c>
      <c r="K49" s="42" t="s">
        <v>1263</v>
      </c>
      <c r="L49" s="42" t="s">
        <v>1264</v>
      </c>
      <c r="M49" s="64"/>
      <c r="N49" s="42">
        <v>0</v>
      </c>
      <c r="O49" s="42"/>
      <c r="P49" s="42"/>
      <c r="Q49" s="42"/>
      <c r="R49" s="42" t="s">
        <v>12</v>
      </c>
      <c r="S49" s="42"/>
      <c r="U49" s="41" t="s">
        <v>265</v>
      </c>
      <c r="V49" s="64"/>
      <c r="W49" s="41">
        <f t="shared" si="0"/>
        <v>0</v>
      </c>
      <c r="X49" s="41">
        <f t="shared" si="1"/>
        <v>0</v>
      </c>
      <c r="Y49" s="41">
        <f t="shared" si="2"/>
        <v>0</v>
      </c>
      <c r="Z49">
        <f t="shared" si="3"/>
        <v>0</v>
      </c>
      <c r="AA49" s="65"/>
      <c r="AB49">
        <f t="shared" si="4"/>
        <v>0</v>
      </c>
      <c r="AC49">
        <f t="shared" si="5"/>
        <v>1</v>
      </c>
    </row>
    <row r="50" spans="1:29" x14ac:dyDescent="0.35">
      <c r="A50" s="42">
        <v>2021</v>
      </c>
      <c r="B50" s="79">
        <v>44272</v>
      </c>
      <c r="C50" s="42" t="s">
        <v>352</v>
      </c>
      <c r="D50" s="42" t="s">
        <v>30</v>
      </c>
      <c r="E50" s="42"/>
      <c r="F50" s="80">
        <v>3.1363888888154179</v>
      </c>
      <c r="G50" s="42" t="s">
        <v>293</v>
      </c>
      <c r="H50" s="42" t="s">
        <v>296</v>
      </c>
      <c r="I50" s="42">
        <v>309801</v>
      </c>
      <c r="J50" s="42" t="s">
        <v>12</v>
      </c>
      <c r="K50" s="42" t="s">
        <v>1265</v>
      </c>
      <c r="L50" s="42" t="s">
        <v>1220</v>
      </c>
      <c r="M50" s="64"/>
      <c r="N50" s="42">
        <v>0</v>
      </c>
      <c r="O50" s="42"/>
      <c r="P50" s="42"/>
      <c r="Q50" s="42"/>
      <c r="R50" s="42" t="s">
        <v>12</v>
      </c>
      <c r="S50" s="42"/>
      <c r="U50" s="41" t="s">
        <v>293</v>
      </c>
      <c r="V50" s="64"/>
      <c r="W50" s="41">
        <f t="shared" si="0"/>
        <v>0</v>
      </c>
      <c r="X50" s="41">
        <f t="shared" si="1"/>
        <v>0</v>
      </c>
      <c r="Y50" s="41">
        <f t="shared" si="2"/>
        <v>0</v>
      </c>
      <c r="Z50">
        <f t="shared" si="3"/>
        <v>0</v>
      </c>
      <c r="AA50" s="65"/>
      <c r="AB50">
        <f t="shared" si="4"/>
        <v>0</v>
      </c>
      <c r="AC50">
        <v>0</v>
      </c>
    </row>
    <row r="51" spans="1:29" x14ac:dyDescent="0.35">
      <c r="A51" s="42">
        <v>2021</v>
      </c>
      <c r="B51" s="79">
        <v>44273</v>
      </c>
      <c r="C51" s="42" t="s">
        <v>352</v>
      </c>
      <c r="D51" s="42" t="s">
        <v>30</v>
      </c>
      <c r="E51" s="42"/>
      <c r="F51" s="80">
        <v>0.15194444434018806</v>
      </c>
      <c r="G51" s="42" t="s">
        <v>293</v>
      </c>
      <c r="H51" s="42" t="s">
        <v>296</v>
      </c>
      <c r="I51" s="42" t="s">
        <v>4</v>
      </c>
      <c r="J51" s="42" t="s">
        <v>377</v>
      </c>
      <c r="K51" s="42" t="str">
        <f>IF(Z51=1,"No Work Order Entered","")</f>
        <v>No Work Order Entered</v>
      </c>
      <c r="L51" s="42" t="str">
        <f>IF(Z51=1,"No Work Order Entered","")</f>
        <v>No Work Order Entered</v>
      </c>
      <c r="M51" s="64"/>
      <c r="N51" s="42"/>
      <c r="O51" s="42"/>
      <c r="P51" s="42"/>
      <c r="Q51" s="42"/>
      <c r="R51" s="42" t="s">
        <v>12</v>
      </c>
      <c r="S51" s="42"/>
      <c r="U51" s="41" t="s">
        <v>293</v>
      </c>
      <c r="V51" s="64"/>
      <c r="W51" s="41">
        <f t="shared" si="0"/>
        <v>1</v>
      </c>
      <c r="X51" s="41">
        <f t="shared" si="1"/>
        <v>0</v>
      </c>
      <c r="Y51" s="41">
        <f t="shared" si="2"/>
        <v>0</v>
      </c>
      <c r="Z51">
        <f t="shared" si="3"/>
        <v>1</v>
      </c>
      <c r="AA51" s="65"/>
      <c r="AB51">
        <f t="shared" si="4"/>
        <v>0</v>
      </c>
      <c r="AC51">
        <f t="shared" si="5"/>
        <v>0</v>
      </c>
    </row>
    <row r="52" spans="1:29" x14ac:dyDescent="0.35">
      <c r="A52" s="42">
        <v>2021</v>
      </c>
      <c r="B52" s="79">
        <v>44273</v>
      </c>
      <c r="C52" s="42" t="s">
        <v>352</v>
      </c>
      <c r="D52" s="42" t="s">
        <v>30</v>
      </c>
      <c r="E52" s="42"/>
      <c r="F52" s="80">
        <v>0.51416666671866551</v>
      </c>
      <c r="G52" s="42" t="s">
        <v>293</v>
      </c>
      <c r="H52" s="42" t="s">
        <v>296</v>
      </c>
      <c r="I52" s="42" t="s">
        <v>4</v>
      </c>
      <c r="J52" s="42" t="s">
        <v>12</v>
      </c>
      <c r="K52" s="42" t="str">
        <f>IF(Z52=1,"No Work Order Entered","")</f>
        <v>No Work Order Entered</v>
      </c>
      <c r="L52" s="42" t="str">
        <f>IF(Z52=1,"No Work Order Entered","")</f>
        <v>No Work Order Entered</v>
      </c>
      <c r="M52" s="64"/>
      <c r="N52" s="42"/>
      <c r="O52" s="42"/>
      <c r="P52" s="42"/>
      <c r="Q52" s="42"/>
      <c r="R52" s="42" t="s">
        <v>12</v>
      </c>
      <c r="S52" s="42"/>
      <c r="U52" s="41" t="s">
        <v>293</v>
      </c>
      <c r="V52" s="64"/>
      <c r="W52" s="41">
        <f t="shared" si="0"/>
        <v>1</v>
      </c>
      <c r="X52" s="41">
        <f t="shared" si="1"/>
        <v>0</v>
      </c>
      <c r="Y52" s="41">
        <f t="shared" si="2"/>
        <v>0</v>
      </c>
      <c r="Z52">
        <f t="shared" si="3"/>
        <v>1</v>
      </c>
      <c r="AA52" s="65"/>
      <c r="AB52">
        <f t="shared" si="4"/>
        <v>0</v>
      </c>
      <c r="AC52">
        <f t="shared" si="5"/>
        <v>0</v>
      </c>
    </row>
    <row r="53" spans="1:29" x14ac:dyDescent="0.35">
      <c r="A53" s="42">
        <v>2021</v>
      </c>
      <c r="B53" s="79">
        <v>44273</v>
      </c>
      <c r="C53" s="42" t="s">
        <v>352</v>
      </c>
      <c r="D53" s="42" t="s">
        <v>30</v>
      </c>
      <c r="E53" s="42"/>
      <c r="F53" s="80">
        <v>0.40138888894580305</v>
      </c>
      <c r="G53" s="42" t="s">
        <v>293</v>
      </c>
      <c r="H53" s="42" t="s">
        <v>296</v>
      </c>
      <c r="I53" s="42">
        <v>309801</v>
      </c>
      <c r="J53" s="42" t="s">
        <v>12</v>
      </c>
      <c r="K53" s="42" t="s">
        <v>1265</v>
      </c>
      <c r="L53" s="42" t="s">
        <v>1220</v>
      </c>
      <c r="M53" s="64"/>
      <c r="N53" s="42">
        <v>0</v>
      </c>
      <c r="O53" s="42"/>
      <c r="P53" s="42"/>
      <c r="Q53" s="42"/>
      <c r="R53" s="42" t="s">
        <v>12</v>
      </c>
      <c r="S53" s="42"/>
      <c r="U53" s="41" t="s">
        <v>293</v>
      </c>
      <c r="V53" s="64"/>
      <c r="W53" s="41">
        <f t="shared" si="0"/>
        <v>0</v>
      </c>
      <c r="X53" s="41">
        <f t="shared" si="1"/>
        <v>0</v>
      </c>
      <c r="Y53" s="41">
        <f t="shared" si="2"/>
        <v>0</v>
      </c>
      <c r="Z53">
        <f t="shared" si="3"/>
        <v>0</v>
      </c>
      <c r="AA53" s="65"/>
      <c r="AB53">
        <f t="shared" si="4"/>
        <v>0</v>
      </c>
      <c r="AC53">
        <v>0</v>
      </c>
    </row>
    <row r="54" spans="1:29" x14ac:dyDescent="0.35">
      <c r="A54" s="42">
        <v>2021</v>
      </c>
      <c r="B54" s="79">
        <v>44279</v>
      </c>
      <c r="C54" s="42" t="s">
        <v>352</v>
      </c>
      <c r="D54" s="42" t="s">
        <v>30</v>
      </c>
      <c r="E54" s="42"/>
      <c r="F54" s="80">
        <v>6.6111111198551953E-2</v>
      </c>
      <c r="G54" s="42" t="s">
        <v>293</v>
      </c>
      <c r="H54" s="42" t="s">
        <v>296</v>
      </c>
      <c r="I54" s="42" t="s">
        <v>4</v>
      </c>
      <c r="J54" s="42" t="s">
        <v>378</v>
      </c>
      <c r="K54" s="42" t="str">
        <f>IF(Z54=1,"No Work Order Entered","")</f>
        <v>No Work Order Entered</v>
      </c>
      <c r="L54" s="42" t="str">
        <f>IF(Z54=1,"No Work Order Entered","")</f>
        <v>No Work Order Entered</v>
      </c>
      <c r="M54" s="64"/>
      <c r="N54" s="42"/>
      <c r="O54" s="42"/>
      <c r="P54" s="42"/>
      <c r="Q54" s="42"/>
      <c r="R54" s="42" t="s">
        <v>12</v>
      </c>
      <c r="S54" s="42"/>
      <c r="U54" s="41" t="s">
        <v>293</v>
      </c>
      <c r="V54" s="64"/>
      <c r="W54" s="41">
        <f t="shared" si="0"/>
        <v>1</v>
      </c>
      <c r="X54" s="41">
        <f t="shared" si="1"/>
        <v>0</v>
      </c>
      <c r="Y54" s="41">
        <f t="shared" si="2"/>
        <v>0</v>
      </c>
      <c r="Z54">
        <f t="shared" si="3"/>
        <v>1</v>
      </c>
      <c r="AA54" s="65"/>
      <c r="AB54">
        <f t="shared" si="4"/>
        <v>0</v>
      </c>
      <c r="AC54">
        <f t="shared" si="5"/>
        <v>0</v>
      </c>
    </row>
    <row r="55" spans="1:29" ht="29" x14ac:dyDescent="0.35">
      <c r="A55" s="42">
        <v>2021</v>
      </c>
      <c r="B55" s="79">
        <v>44279</v>
      </c>
      <c r="C55" s="42" t="s">
        <v>352</v>
      </c>
      <c r="D55" s="42" t="s">
        <v>30</v>
      </c>
      <c r="E55" s="42"/>
      <c r="F55" s="80">
        <v>2.4272222222643904</v>
      </c>
      <c r="G55" s="42" t="s">
        <v>293</v>
      </c>
      <c r="H55" s="42" t="s">
        <v>296</v>
      </c>
      <c r="I55" s="42">
        <v>309805</v>
      </c>
      <c r="J55" s="42" t="s">
        <v>379</v>
      </c>
      <c r="K55" s="42" t="s">
        <v>1266</v>
      </c>
      <c r="L55" s="42" t="s">
        <v>1267</v>
      </c>
      <c r="M55" s="64"/>
      <c r="N55" s="42">
        <v>0</v>
      </c>
      <c r="O55" s="42"/>
      <c r="P55" s="42"/>
      <c r="Q55" s="42"/>
      <c r="R55" s="42" t="s">
        <v>12</v>
      </c>
      <c r="S55" s="42"/>
      <c r="U55" s="41" t="s">
        <v>293</v>
      </c>
      <c r="V55" s="64"/>
      <c r="W55" s="41">
        <f t="shared" si="0"/>
        <v>0</v>
      </c>
      <c r="X55" s="41">
        <f t="shared" si="1"/>
        <v>0</v>
      </c>
      <c r="Y55" s="41">
        <f t="shared" si="2"/>
        <v>0</v>
      </c>
      <c r="Z55">
        <f t="shared" si="3"/>
        <v>0</v>
      </c>
      <c r="AA55" s="65"/>
      <c r="AB55">
        <f t="shared" si="4"/>
        <v>0</v>
      </c>
      <c r="AC55">
        <f t="shared" si="5"/>
        <v>1</v>
      </c>
    </row>
    <row r="56" spans="1:29" ht="29" x14ac:dyDescent="0.35">
      <c r="A56" s="42">
        <v>2021</v>
      </c>
      <c r="B56" s="79">
        <v>44279</v>
      </c>
      <c r="C56" s="42" t="s">
        <v>352</v>
      </c>
      <c r="D56" s="42" t="s">
        <v>30</v>
      </c>
      <c r="E56" s="42"/>
      <c r="F56" s="80">
        <v>0.30666666658362374</v>
      </c>
      <c r="G56" s="42" t="s">
        <v>265</v>
      </c>
      <c r="H56" s="42" t="s">
        <v>228</v>
      </c>
      <c r="I56" s="42">
        <v>309806</v>
      </c>
      <c r="J56" s="42" t="s">
        <v>12</v>
      </c>
      <c r="K56" s="42" t="s">
        <v>1268</v>
      </c>
      <c r="L56" s="42" t="s">
        <v>1220</v>
      </c>
      <c r="M56" s="64"/>
      <c r="N56" s="42">
        <v>0</v>
      </c>
      <c r="O56" s="42"/>
      <c r="P56" s="42"/>
      <c r="Q56" s="42"/>
      <c r="R56" s="42" t="s">
        <v>12</v>
      </c>
      <c r="S56" s="42"/>
      <c r="U56" s="41" t="s">
        <v>265</v>
      </c>
      <c r="V56" s="64"/>
      <c r="W56" s="41">
        <f t="shared" si="0"/>
        <v>0</v>
      </c>
      <c r="X56" s="41">
        <f t="shared" si="1"/>
        <v>0</v>
      </c>
      <c r="Y56" s="41">
        <f t="shared" si="2"/>
        <v>0</v>
      </c>
      <c r="Z56">
        <f t="shared" si="3"/>
        <v>0</v>
      </c>
      <c r="AA56" s="65"/>
      <c r="AB56">
        <f t="shared" si="4"/>
        <v>0</v>
      </c>
      <c r="AC56">
        <v>0</v>
      </c>
    </row>
    <row r="57" spans="1:29" x14ac:dyDescent="0.35">
      <c r="A57" s="42">
        <v>2021</v>
      </c>
      <c r="B57" s="79">
        <v>44285</v>
      </c>
      <c r="C57" s="42" t="s">
        <v>352</v>
      </c>
      <c r="D57" s="42" t="s">
        <v>30</v>
      </c>
      <c r="E57" s="42"/>
      <c r="F57" s="80">
        <v>0.56805555563187227</v>
      </c>
      <c r="G57" s="42" t="s">
        <v>293</v>
      </c>
      <c r="H57" s="42" t="s">
        <v>296</v>
      </c>
      <c r="I57" s="42" t="s">
        <v>4</v>
      </c>
      <c r="J57" s="42" t="s">
        <v>12</v>
      </c>
      <c r="K57" s="42" t="str">
        <f>IF(Z57=1,"No Work Order Entered","")</f>
        <v>No Work Order Entered</v>
      </c>
      <c r="L57" s="42" t="str">
        <f>IF(Z57=1,"No Work Order Entered","")</f>
        <v>No Work Order Entered</v>
      </c>
      <c r="M57" s="64"/>
      <c r="N57" s="42"/>
      <c r="O57" s="42"/>
      <c r="P57" s="42"/>
      <c r="Q57" s="42"/>
      <c r="R57" s="42" t="s">
        <v>12</v>
      </c>
      <c r="S57" s="42"/>
      <c r="U57" s="41" t="s">
        <v>293</v>
      </c>
      <c r="V57" s="64"/>
      <c r="W57" s="41">
        <f t="shared" ref="W57:W63" si="6">IF(I57=$W$1,1,0)</f>
        <v>1</v>
      </c>
      <c r="X57" s="41">
        <f t="shared" ref="X57:X63" si="7">IF(I57=$X$1,1,0)</f>
        <v>0</v>
      </c>
      <c r="Y57" s="41">
        <f t="shared" ref="Y57:Y63" si="8">IF(I57=$Y$1,1,0)</f>
        <v>0</v>
      </c>
      <c r="Z57">
        <f t="shared" ref="Z57:Z63" si="9">SUM(W57:Y57)</f>
        <v>1</v>
      </c>
      <c r="AA57" s="65"/>
      <c r="AB57">
        <f t="shared" si="4"/>
        <v>0</v>
      </c>
      <c r="AC57">
        <f t="shared" si="5"/>
        <v>0</v>
      </c>
    </row>
    <row r="58" spans="1:29" x14ac:dyDescent="0.35">
      <c r="A58" s="42">
        <v>2021</v>
      </c>
      <c r="B58" s="79">
        <v>44287</v>
      </c>
      <c r="C58" s="42" t="s">
        <v>352</v>
      </c>
      <c r="D58" s="42" t="s">
        <v>30</v>
      </c>
      <c r="E58" s="42"/>
      <c r="F58" s="80">
        <v>0.11944444442633539</v>
      </c>
      <c r="G58" s="42" t="s">
        <v>293</v>
      </c>
      <c r="H58" s="42" t="s">
        <v>296</v>
      </c>
      <c r="I58" s="42">
        <v>4807142</v>
      </c>
      <c r="J58" s="42" t="s">
        <v>380</v>
      </c>
      <c r="K58" s="42" t="s">
        <v>1269</v>
      </c>
      <c r="L58" s="42" t="s">
        <v>1220</v>
      </c>
      <c r="M58" s="64"/>
      <c r="N58" s="42">
        <v>0</v>
      </c>
      <c r="O58" s="42"/>
      <c r="P58" s="42"/>
      <c r="Q58" s="42"/>
      <c r="R58" s="42" t="s">
        <v>12</v>
      </c>
      <c r="S58" s="42"/>
      <c r="U58" s="41" t="s">
        <v>293</v>
      </c>
      <c r="V58" s="64"/>
      <c r="W58" s="41">
        <f t="shared" si="6"/>
        <v>0</v>
      </c>
      <c r="X58" s="41">
        <f t="shared" si="7"/>
        <v>0</v>
      </c>
      <c r="Y58" s="41">
        <f t="shared" si="8"/>
        <v>0</v>
      </c>
      <c r="Z58">
        <f t="shared" si="9"/>
        <v>0</v>
      </c>
      <c r="AA58" s="65"/>
      <c r="AB58">
        <f t="shared" si="4"/>
        <v>0</v>
      </c>
      <c r="AC58">
        <v>0</v>
      </c>
    </row>
    <row r="59" spans="1:29" x14ac:dyDescent="0.35">
      <c r="A59" s="42">
        <v>2021</v>
      </c>
      <c r="B59" s="79">
        <v>44299</v>
      </c>
      <c r="C59" s="42" t="s">
        <v>352</v>
      </c>
      <c r="D59" s="42" t="s">
        <v>30</v>
      </c>
      <c r="E59" s="42"/>
      <c r="F59" s="80">
        <v>2.8888888831716031E-2</v>
      </c>
      <c r="G59" s="42" t="s">
        <v>293</v>
      </c>
      <c r="H59" s="42" t="s">
        <v>296</v>
      </c>
      <c r="I59" s="42" t="s">
        <v>4</v>
      </c>
      <c r="J59" s="42" t="s">
        <v>381</v>
      </c>
      <c r="K59" s="42" t="str">
        <f>IF(Z59=1,"No Work Order Entered","")</f>
        <v>No Work Order Entered</v>
      </c>
      <c r="L59" s="42" t="str">
        <f>IF(Z59=1,"No Work Order Entered","")</f>
        <v>No Work Order Entered</v>
      </c>
      <c r="M59" s="64"/>
      <c r="N59" s="42"/>
      <c r="O59" s="42"/>
      <c r="P59" s="42"/>
      <c r="Q59" s="42"/>
      <c r="R59" s="42" t="s">
        <v>12</v>
      </c>
      <c r="S59" s="42"/>
      <c r="U59" s="41" t="s">
        <v>293</v>
      </c>
      <c r="V59" s="64"/>
      <c r="W59" s="41">
        <f t="shared" si="6"/>
        <v>1</v>
      </c>
      <c r="X59" s="41">
        <f t="shared" si="7"/>
        <v>0</v>
      </c>
      <c r="Y59" s="41">
        <f t="shared" si="8"/>
        <v>0</v>
      </c>
      <c r="Z59">
        <f t="shared" si="9"/>
        <v>1</v>
      </c>
      <c r="AA59" s="65"/>
      <c r="AB59">
        <f t="shared" si="4"/>
        <v>0</v>
      </c>
      <c r="AC59">
        <f t="shared" si="5"/>
        <v>0</v>
      </c>
    </row>
    <row r="60" spans="1:29" x14ac:dyDescent="0.35">
      <c r="A60" s="42">
        <v>2021</v>
      </c>
      <c r="B60" s="79">
        <v>44311</v>
      </c>
      <c r="C60" s="42" t="s">
        <v>352</v>
      </c>
      <c r="D60" s="42" t="s">
        <v>30</v>
      </c>
      <c r="E60" s="42"/>
      <c r="F60" s="80">
        <v>0.11472222214797512</v>
      </c>
      <c r="G60" s="42" t="s">
        <v>293</v>
      </c>
      <c r="H60" s="42" t="s">
        <v>296</v>
      </c>
      <c r="I60" s="42" t="s">
        <v>4</v>
      </c>
      <c r="J60" s="42" t="s">
        <v>382</v>
      </c>
      <c r="K60" s="42" t="str">
        <f>IF(Z60=1,"No Work Order Entered","")</f>
        <v>No Work Order Entered</v>
      </c>
      <c r="L60" s="42" t="str">
        <f>IF(Z60=1,"No Work Order Entered","")</f>
        <v>No Work Order Entered</v>
      </c>
      <c r="M60" s="64"/>
      <c r="N60" s="42"/>
      <c r="O60" s="42"/>
      <c r="P60" s="42"/>
      <c r="Q60" s="42"/>
      <c r="R60" s="42" t="s">
        <v>12</v>
      </c>
      <c r="S60" s="42"/>
      <c r="U60" s="41" t="s">
        <v>293</v>
      </c>
      <c r="V60" s="64"/>
      <c r="W60" s="41">
        <f t="shared" si="6"/>
        <v>1</v>
      </c>
      <c r="X60" s="41">
        <f t="shared" si="7"/>
        <v>0</v>
      </c>
      <c r="Y60" s="41">
        <f t="shared" si="8"/>
        <v>0</v>
      </c>
      <c r="Z60">
        <f t="shared" si="9"/>
        <v>1</v>
      </c>
      <c r="AA60" s="65"/>
      <c r="AB60">
        <f t="shared" si="4"/>
        <v>0</v>
      </c>
      <c r="AC60">
        <f t="shared" si="5"/>
        <v>0</v>
      </c>
    </row>
    <row r="61" spans="1:29" x14ac:dyDescent="0.35">
      <c r="A61" s="42">
        <v>2021</v>
      </c>
      <c r="B61" s="79">
        <v>44338</v>
      </c>
      <c r="C61" s="42" t="s">
        <v>352</v>
      </c>
      <c r="D61" s="42" t="s">
        <v>30</v>
      </c>
      <c r="E61" s="42"/>
      <c r="F61" s="80">
        <v>0.14722222223645076</v>
      </c>
      <c r="G61" s="42" t="s">
        <v>293</v>
      </c>
      <c r="H61" s="42" t="s">
        <v>296</v>
      </c>
      <c r="I61" s="42" t="s">
        <v>4</v>
      </c>
      <c r="J61" s="42" t="s">
        <v>383</v>
      </c>
      <c r="K61" s="42" t="str">
        <f>IF(Z61=1,"No Work Order Entered","")</f>
        <v>No Work Order Entered</v>
      </c>
      <c r="L61" s="42" t="str">
        <f>IF(Z61=1,"No Work Order Entered","")</f>
        <v>No Work Order Entered</v>
      </c>
      <c r="M61" s="64"/>
      <c r="N61" s="42"/>
      <c r="O61" s="42"/>
      <c r="P61" s="42"/>
      <c r="Q61" s="42"/>
      <c r="R61" s="42" t="s">
        <v>12</v>
      </c>
      <c r="S61" s="42"/>
      <c r="U61" s="41" t="s">
        <v>293</v>
      </c>
      <c r="V61" s="64"/>
      <c r="W61" s="41">
        <f t="shared" si="6"/>
        <v>1</v>
      </c>
      <c r="X61" s="41">
        <f t="shared" si="7"/>
        <v>0</v>
      </c>
      <c r="Y61" s="41">
        <f t="shared" si="8"/>
        <v>0</v>
      </c>
      <c r="Z61">
        <f t="shared" si="9"/>
        <v>1</v>
      </c>
      <c r="AA61" s="65"/>
      <c r="AB61">
        <f t="shared" si="4"/>
        <v>0</v>
      </c>
      <c r="AC61">
        <f t="shared" si="5"/>
        <v>0</v>
      </c>
    </row>
    <row r="62" spans="1:29" x14ac:dyDescent="0.35">
      <c r="A62" s="42">
        <v>2021</v>
      </c>
      <c r="B62" s="79">
        <v>44341</v>
      </c>
      <c r="C62" s="42" t="s">
        <v>352</v>
      </c>
      <c r="D62" s="42" t="s">
        <v>30</v>
      </c>
      <c r="E62" s="42"/>
      <c r="F62" s="80">
        <v>2.933888888801448</v>
      </c>
      <c r="G62" s="42" t="s">
        <v>293</v>
      </c>
      <c r="H62" s="42" t="s">
        <v>296</v>
      </c>
      <c r="I62" s="42">
        <v>4807891</v>
      </c>
      <c r="J62" s="42" t="s">
        <v>384</v>
      </c>
      <c r="K62" s="42" t="s">
        <v>1270</v>
      </c>
      <c r="L62" s="42" t="s">
        <v>1220</v>
      </c>
      <c r="M62" s="42"/>
      <c r="N62" s="42"/>
      <c r="O62" s="42"/>
      <c r="P62" s="42"/>
      <c r="Q62" s="42"/>
      <c r="R62" s="42"/>
      <c r="S62" s="42"/>
      <c r="U62" s="41" t="s">
        <v>293</v>
      </c>
      <c r="V62" s="64"/>
      <c r="W62" s="41">
        <f t="shared" si="6"/>
        <v>0</v>
      </c>
      <c r="X62" s="41">
        <f t="shared" si="7"/>
        <v>0</v>
      </c>
      <c r="Y62" s="41">
        <f t="shared" si="8"/>
        <v>0</v>
      </c>
      <c r="Z62">
        <f t="shared" si="9"/>
        <v>0</v>
      </c>
      <c r="AA62" s="65"/>
      <c r="AB62">
        <f t="shared" si="4"/>
        <v>0</v>
      </c>
      <c r="AC62">
        <v>0</v>
      </c>
    </row>
    <row r="63" spans="1:29" x14ac:dyDescent="0.35">
      <c r="A63" s="42"/>
      <c r="B63" s="79"/>
      <c r="C63" s="42"/>
      <c r="D63" s="42"/>
      <c r="E63" s="42"/>
      <c r="F63" s="80"/>
      <c r="G63" s="42"/>
      <c r="H63" s="42"/>
      <c r="I63" s="42"/>
      <c r="J63" s="42"/>
      <c r="K63" s="42"/>
      <c r="L63" s="42"/>
      <c r="M63" s="42"/>
      <c r="N63" s="42"/>
      <c r="O63" s="42"/>
      <c r="P63" s="42"/>
      <c r="Q63" s="42"/>
      <c r="R63" s="42"/>
      <c r="S63" s="42"/>
      <c r="U63" s="41" t="s">
        <v>162</v>
      </c>
      <c r="V63" s="64"/>
      <c r="W63" s="41">
        <f t="shared" si="6"/>
        <v>0</v>
      </c>
      <c r="X63" s="41">
        <f t="shared" si="7"/>
        <v>0</v>
      </c>
      <c r="Y63" s="41">
        <f t="shared" si="8"/>
        <v>0</v>
      </c>
      <c r="Z63">
        <f t="shared" si="9"/>
        <v>0</v>
      </c>
      <c r="AA63" s="65"/>
      <c r="AB63">
        <f t="shared" si="4"/>
        <v>0</v>
      </c>
      <c r="AC63">
        <f>IF(L63="No Work Order Entered",0,IF(L63="",0,1)*1)</f>
        <v>0</v>
      </c>
    </row>
    <row r="65" spans="1:29" ht="3" customHeight="1" x14ac:dyDescent="0.35">
      <c r="A65" s="71"/>
      <c r="B65" s="81"/>
      <c r="C65" s="71"/>
      <c r="D65" s="71"/>
      <c r="E65" s="71"/>
      <c r="F65" s="82"/>
      <c r="G65" s="71"/>
      <c r="H65" s="71"/>
      <c r="I65" s="71"/>
      <c r="J65" s="71"/>
      <c r="K65" s="71"/>
      <c r="L65" s="71"/>
      <c r="M65" s="71"/>
      <c r="N65" s="71"/>
      <c r="O65" s="71"/>
      <c r="P65" s="71"/>
      <c r="Q65" s="71"/>
      <c r="R65" s="71"/>
      <c r="S65" s="71"/>
      <c r="U65" s="71"/>
      <c r="V65" s="71"/>
      <c r="W65" s="71"/>
      <c r="X65" s="83"/>
      <c r="Y65" s="83"/>
      <c r="Z65" s="83"/>
      <c r="AA65" s="83"/>
      <c r="AB65" s="83"/>
      <c r="AC65" s="83"/>
    </row>
    <row r="66" spans="1:29" ht="15" thickBot="1" x14ac:dyDescent="0.4"/>
    <row r="67" spans="1:29" x14ac:dyDescent="0.35">
      <c r="J67" s="53">
        <f>COUNTIF(I:I,"None")</f>
        <v>0</v>
      </c>
      <c r="K67" s="54" t="s">
        <v>164</v>
      </c>
    </row>
    <row r="68" spans="1:29" x14ac:dyDescent="0.35">
      <c r="J68" s="55">
        <f>COUNTIF(I:I,"N/A")</f>
        <v>16</v>
      </c>
      <c r="K68" s="56" t="s">
        <v>4</v>
      </c>
    </row>
    <row r="69" spans="1:29" ht="15" thickBot="1" x14ac:dyDescent="0.4">
      <c r="J69" s="57">
        <f>COUNTIF(I:I,"NA")</f>
        <v>1</v>
      </c>
      <c r="K69" s="58" t="s">
        <v>117</v>
      </c>
    </row>
    <row r="70" spans="1:29" ht="15" thickBot="1" x14ac:dyDescent="0.4">
      <c r="A70" s="41"/>
      <c r="B70" s="43"/>
      <c r="C70" s="41"/>
      <c r="D70" s="41"/>
      <c r="E70" s="41"/>
      <c r="F70" s="44"/>
      <c r="G70" s="41"/>
      <c r="H70" s="41"/>
      <c r="I70" s="41"/>
      <c r="J70" s="41"/>
      <c r="R70" s="41"/>
      <c r="V70" s="41"/>
      <c r="W70" s="41"/>
    </row>
    <row r="71" spans="1:29" x14ac:dyDescent="0.35">
      <c r="J71" s="53">
        <f>SUM(J67:J69)</f>
        <v>17</v>
      </c>
      <c r="K71" s="54" t="s">
        <v>146</v>
      </c>
    </row>
    <row r="72" spans="1:29" x14ac:dyDescent="0.35">
      <c r="J72" s="55">
        <f>J73-J71</f>
        <v>40</v>
      </c>
      <c r="K72" s="56" t="s">
        <v>147</v>
      </c>
    </row>
    <row r="73" spans="1:29" ht="15" thickBot="1" x14ac:dyDescent="0.4">
      <c r="J73" s="69">
        <f>COUNT(F:F)</f>
        <v>57</v>
      </c>
      <c r="K73" s="68" t="s">
        <v>118</v>
      </c>
    </row>
    <row r="74" spans="1:29" ht="15" thickBot="1" x14ac:dyDescent="0.4">
      <c r="J74" s="70" t="s">
        <v>25</v>
      </c>
      <c r="K74" s="70" t="s">
        <v>148</v>
      </c>
      <c r="L74" s="70" t="s">
        <v>2</v>
      </c>
      <c r="M74" s="70" t="s">
        <v>397</v>
      </c>
      <c r="O74" s="70" t="s">
        <v>165</v>
      </c>
      <c r="P74" s="70" t="s">
        <v>166</v>
      </c>
    </row>
    <row r="75" spans="1:29" x14ac:dyDescent="0.35">
      <c r="J75" s="61">
        <f>COUNTIFS(G:G,L75) - COUNTIFS(G:G,L75,M:M,"w")</f>
        <v>12</v>
      </c>
      <c r="K75" s="59">
        <f>SUMIFS(F:F,G:G,L75)</f>
        <v>28.640277777914889</v>
      </c>
      <c r="L75" s="77" t="s">
        <v>265</v>
      </c>
      <c r="M75" s="179">
        <f>SUMIFS(N:N,N:N,"&gt;0",U:U,L75)</f>
        <v>4</v>
      </c>
      <c r="O75" s="53">
        <f>COUNTIFS($G:$G,L75,$AB:$AB,1)</f>
        <v>1</v>
      </c>
      <c r="P75" s="54">
        <f>COUNTIFS($G:$G,L75,$AC:$AC,1)</f>
        <v>4</v>
      </c>
    </row>
    <row r="76" spans="1:29" x14ac:dyDescent="0.35">
      <c r="J76" s="62">
        <f>COUNTIFS(G:G,L76) - COUNTIFS(G:G,L76,M:M,"w")</f>
        <v>43</v>
      </c>
      <c r="K76" s="60">
        <f>SUMIFS(F:F,G:G,L76)</f>
        <v>231.67083333351184</v>
      </c>
      <c r="L76" s="78" t="s">
        <v>293</v>
      </c>
      <c r="M76" s="179">
        <f t="shared" ref="M76:M77" si="10">SUMIFS(N:N,N:N,"&gt;0",U:U,L76)</f>
        <v>12</v>
      </c>
      <c r="O76" s="55">
        <f>COUNTIFS($G:$G,L76,$AB:$AB,1)</f>
        <v>4</v>
      </c>
      <c r="P76" s="56">
        <f>COUNTIFS($G:$G,L76,$AC:$AC,1)</f>
        <v>23</v>
      </c>
    </row>
    <row r="77" spans="1:29" x14ac:dyDescent="0.35">
      <c r="J77" s="62">
        <f>COUNTIFS(G:G,L77) - COUNTIFS(G:G,L77,M:M,"w")</f>
        <v>2</v>
      </c>
      <c r="K77" s="60">
        <f>SUMIFS(F:F,G:G,L77)</f>
        <v>0.72833333333255723</v>
      </c>
      <c r="L77" s="78" t="s">
        <v>281</v>
      </c>
      <c r="M77" s="179">
        <f t="shared" si="10"/>
        <v>0</v>
      </c>
      <c r="O77" s="55">
        <f>COUNTIFS($G:$G,L77,$AB:$AB,1)</f>
        <v>0</v>
      </c>
      <c r="P77" s="56">
        <f>COUNTIFS($G:$G,L77,$AC:$AC,1)</f>
        <v>0</v>
      </c>
    </row>
    <row r="78" spans="1:29" ht="15" thickBot="1" x14ac:dyDescent="0.4">
      <c r="J78" s="66">
        <f>SUM(J75:J77)</f>
        <v>57</v>
      </c>
      <c r="K78" s="67">
        <f>SUM(F:F)</f>
        <v>261.03944444475928</v>
      </c>
      <c r="L78" s="68" t="s">
        <v>118</v>
      </c>
      <c r="M78" s="180">
        <f>SUM(M75:M77)</f>
        <v>16</v>
      </c>
      <c r="O78" s="69">
        <f>SUM(O75:O77)</f>
        <v>5</v>
      </c>
      <c r="P78" s="68">
        <f>SUM(P75:P77)</f>
        <v>27</v>
      </c>
    </row>
    <row r="79" spans="1:29" x14ac:dyDescent="0.35">
      <c r="A79" s="41"/>
      <c r="B79" s="43"/>
      <c r="C79" s="41"/>
      <c r="D79" s="41"/>
      <c r="E79" s="41"/>
      <c r="F79" s="44"/>
      <c r="G79" s="41"/>
      <c r="H79" s="41"/>
      <c r="I79" s="41"/>
      <c r="J79" s="112"/>
      <c r="K79" s="113"/>
      <c r="L79" s="114"/>
      <c r="M79" s="114"/>
      <c r="N79" s="42"/>
      <c r="O79" s="114"/>
      <c r="P79" s="114"/>
      <c r="Q79" s="42"/>
      <c r="R79" s="42"/>
      <c r="S79" s="42"/>
      <c r="V79" s="41"/>
      <c r="W79" s="41"/>
    </row>
    <row r="80" spans="1:29" x14ac:dyDescent="0.35">
      <c r="A80" s="41"/>
      <c r="B80" s="43"/>
      <c r="C80" s="41"/>
      <c r="D80" s="41"/>
      <c r="E80" s="41"/>
      <c r="F80" s="44"/>
      <c r="G80" s="41"/>
      <c r="H80" s="41"/>
      <c r="I80" s="41"/>
      <c r="J80" s="112"/>
      <c r="K80" s="113"/>
      <c r="L80" s="114" t="s">
        <v>233</v>
      </c>
      <c r="M80" s="114"/>
      <c r="N80" s="42"/>
      <c r="O80" s="114"/>
      <c r="P80" s="114"/>
      <c r="Q80" s="42"/>
      <c r="R80" s="41"/>
      <c r="V80" s="41"/>
      <c r="W80" s="41"/>
    </row>
    <row r="81" spans="12:13" x14ac:dyDescent="0.35">
      <c r="L81" s="111" t="s">
        <v>179</v>
      </c>
      <c r="M81" s="111"/>
    </row>
    <row r="82" spans="12:13" x14ac:dyDescent="0.35">
      <c r="L82" s="90" t="s">
        <v>169</v>
      </c>
      <c r="M82" s="90"/>
    </row>
  </sheetData>
  <autoFilter ref="A1:R62"/>
  <conditionalFormatting sqref="K1:M1048576">
    <cfRule type="cellIs" dxfId="10" priority="1" operator="equal">
      <formula>"No Work Order Entered"</formula>
    </cfRule>
  </conditionalFormatting>
  <hyperlinks>
    <hyperlink ref="L82" location="'Summary Recommendations'!A1" display="Recommendations Tab"/>
    <hyperlink ref="L81" location="'Table Of Contents - Order'!A1" display="Table of Contents"/>
  </hyperlink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39997558519241921"/>
  </sheetPr>
  <dimension ref="A2:O15"/>
  <sheetViews>
    <sheetView workbookViewId="0">
      <selection activeCell="C2" sqref="C2:O15"/>
    </sheetView>
  </sheetViews>
  <sheetFormatPr defaultRowHeight="14.5" x14ac:dyDescent="0.35"/>
  <cols>
    <col min="1" max="1" width="16.7265625" bestFit="1" customWidth="1"/>
    <col min="2" max="2" width="13.81640625" bestFit="1" customWidth="1"/>
    <col min="3" max="3" width="13.1796875" bestFit="1" customWidth="1"/>
    <col min="4" max="4" width="11.453125" customWidth="1"/>
    <col min="5" max="5" width="55.7265625" customWidth="1"/>
    <col min="6" max="6" width="37.26953125" customWidth="1"/>
    <col min="7" max="7" width="13.7265625" bestFit="1" customWidth="1"/>
    <col min="8" max="8" width="11.453125" bestFit="1" customWidth="1"/>
    <col min="9" max="9" width="12.54296875" customWidth="1"/>
    <col min="10" max="10" width="23.1796875" customWidth="1"/>
    <col min="11" max="11" width="19.26953125" customWidth="1"/>
    <col min="12" max="12" width="38.453125" bestFit="1" customWidth="1"/>
    <col min="13" max="13" width="64.453125" customWidth="1"/>
    <col min="14" max="14" width="14.26953125" customWidth="1"/>
    <col min="15" max="15" width="10.81640625" customWidth="1"/>
  </cols>
  <sheetData>
    <row r="2" spans="1:15" x14ac:dyDescent="0.35">
      <c r="C2" t="s">
        <v>1271</v>
      </c>
      <c r="D2" t="s">
        <v>1272</v>
      </c>
      <c r="E2" t="s">
        <v>1273</v>
      </c>
      <c r="F2" t="s">
        <v>1274</v>
      </c>
      <c r="G2" t="s">
        <v>1275</v>
      </c>
      <c r="H2" t="s">
        <v>1276</v>
      </c>
      <c r="I2" t="s">
        <v>1277</v>
      </c>
      <c r="J2" t="s">
        <v>1278</v>
      </c>
      <c r="K2" t="s">
        <v>1279</v>
      </c>
      <c r="L2" t="s">
        <v>1280</v>
      </c>
      <c r="M2" t="s">
        <v>1281</v>
      </c>
      <c r="N2" t="s">
        <v>1282</v>
      </c>
      <c r="O2" t="s">
        <v>1283</v>
      </c>
    </row>
    <row r="3" spans="1:15" x14ac:dyDescent="0.35">
      <c r="A3" t="s">
        <v>233</v>
      </c>
      <c r="C3" t="s">
        <v>352</v>
      </c>
      <c r="D3" t="s">
        <v>1013</v>
      </c>
      <c r="E3" t="s">
        <v>1284</v>
      </c>
      <c r="F3" t="s">
        <v>1285</v>
      </c>
      <c r="G3" t="s">
        <v>1286</v>
      </c>
      <c r="H3" t="s">
        <v>1287</v>
      </c>
      <c r="I3" t="s">
        <v>1288</v>
      </c>
      <c r="J3" t="s">
        <v>1289</v>
      </c>
      <c r="K3" t="s">
        <v>1290</v>
      </c>
      <c r="L3" t="s">
        <v>1285</v>
      </c>
      <c r="M3" t="s">
        <v>1291</v>
      </c>
      <c r="N3" t="s">
        <v>265</v>
      </c>
      <c r="O3" t="s">
        <v>66</v>
      </c>
    </row>
    <row r="4" spans="1:15" x14ac:dyDescent="0.35">
      <c r="A4" s="111" t="s">
        <v>179</v>
      </c>
      <c r="C4" t="s">
        <v>352</v>
      </c>
      <c r="D4" t="s">
        <v>1013</v>
      </c>
      <c r="E4" t="s">
        <v>1292</v>
      </c>
      <c r="F4" t="s">
        <v>228</v>
      </c>
      <c r="G4" t="s">
        <v>1286</v>
      </c>
      <c r="H4" t="s">
        <v>1293</v>
      </c>
      <c r="I4" t="s">
        <v>1288</v>
      </c>
      <c r="J4" t="s">
        <v>1289</v>
      </c>
      <c r="K4" t="s">
        <v>1290</v>
      </c>
      <c r="L4" t="s">
        <v>228</v>
      </c>
      <c r="M4" t="s">
        <v>1294</v>
      </c>
      <c r="N4" t="s">
        <v>265</v>
      </c>
      <c r="O4" t="s">
        <v>66</v>
      </c>
    </row>
    <row r="5" spans="1:15" x14ac:dyDescent="0.35">
      <c r="A5" s="91" t="s">
        <v>171</v>
      </c>
      <c r="C5" t="s">
        <v>352</v>
      </c>
      <c r="D5" t="s">
        <v>1013</v>
      </c>
      <c r="E5" t="s">
        <v>1295</v>
      </c>
      <c r="F5" t="s">
        <v>228</v>
      </c>
      <c r="G5" t="s">
        <v>1286</v>
      </c>
      <c r="H5" t="s">
        <v>1293</v>
      </c>
      <c r="I5" t="s">
        <v>1288</v>
      </c>
      <c r="J5" t="s">
        <v>1296</v>
      </c>
      <c r="K5" t="s">
        <v>1290</v>
      </c>
      <c r="L5" t="s">
        <v>228</v>
      </c>
      <c r="M5" t="s">
        <v>1294</v>
      </c>
      <c r="N5" t="s">
        <v>265</v>
      </c>
      <c r="O5" t="s">
        <v>66</v>
      </c>
    </row>
    <row r="6" spans="1:15" x14ac:dyDescent="0.35">
      <c r="A6" s="91" t="s">
        <v>170</v>
      </c>
      <c r="C6" t="s">
        <v>352</v>
      </c>
      <c r="D6" t="s">
        <v>1013</v>
      </c>
      <c r="E6" t="s">
        <v>1297</v>
      </c>
      <c r="F6" t="s">
        <v>228</v>
      </c>
      <c r="G6" t="s">
        <v>1286</v>
      </c>
      <c r="H6" t="s">
        <v>1293</v>
      </c>
      <c r="I6" t="s">
        <v>1288</v>
      </c>
      <c r="J6" t="s">
        <v>1298</v>
      </c>
      <c r="K6" t="s">
        <v>1290</v>
      </c>
      <c r="L6" t="s">
        <v>228</v>
      </c>
      <c r="M6" t="s">
        <v>1294</v>
      </c>
      <c r="N6" t="s">
        <v>265</v>
      </c>
      <c r="O6" t="s">
        <v>66</v>
      </c>
    </row>
    <row r="7" spans="1:15" x14ac:dyDescent="0.35">
      <c r="A7" s="99" t="s">
        <v>174</v>
      </c>
      <c r="C7" t="s">
        <v>352</v>
      </c>
      <c r="D7" t="s">
        <v>1013</v>
      </c>
      <c r="E7" t="s">
        <v>1299</v>
      </c>
      <c r="F7" t="s">
        <v>228</v>
      </c>
      <c r="G7" t="s">
        <v>1286</v>
      </c>
      <c r="H7" t="s">
        <v>1293</v>
      </c>
      <c r="I7" t="s">
        <v>1288</v>
      </c>
      <c r="J7" t="s">
        <v>1289</v>
      </c>
      <c r="K7" t="s">
        <v>1290</v>
      </c>
      <c r="L7" t="s">
        <v>228</v>
      </c>
      <c r="M7" t="s">
        <v>1294</v>
      </c>
      <c r="N7" t="s">
        <v>265</v>
      </c>
      <c r="O7" t="s">
        <v>66</v>
      </c>
    </row>
    <row r="8" spans="1:15" x14ac:dyDescent="0.35">
      <c r="A8" s="100"/>
      <c r="C8" t="s">
        <v>352</v>
      </c>
      <c r="D8" t="s">
        <v>1013</v>
      </c>
      <c r="E8" t="s">
        <v>1300</v>
      </c>
      <c r="F8" t="s">
        <v>1285</v>
      </c>
      <c r="G8" t="s">
        <v>1286</v>
      </c>
      <c r="H8" t="s">
        <v>1287</v>
      </c>
      <c r="I8" t="s">
        <v>1288</v>
      </c>
      <c r="J8" t="s">
        <v>1301</v>
      </c>
      <c r="K8" t="s">
        <v>1290</v>
      </c>
      <c r="L8" t="s">
        <v>1285</v>
      </c>
      <c r="M8" t="s">
        <v>1291</v>
      </c>
      <c r="N8" t="s">
        <v>265</v>
      </c>
      <c r="O8" t="s">
        <v>66</v>
      </c>
    </row>
    <row r="9" spans="1:15" x14ac:dyDescent="0.35">
      <c r="A9" s="100"/>
      <c r="C9" t="s">
        <v>352</v>
      </c>
      <c r="D9" t="s">
        <v>1013</v>
      </c>
      <c r="E9" t="s">
        <v>1302</v>
      </c>
      <c r="F9" t="s">
        <v>1303</v>
      </c>
      <c r="G9" t="s">
        <v>1286</v>
      </c>
      <c r="H9" t="s">
        <v>1293</v>
      </c>
      <c r="I9" t="s">
        <v>1288</v>
      </c>
      <c r="J9" t="s">
        <v>1289</v>
      </c>
      <c r="K9" t="s">
        <v>1290</v>
      </c>
      <c r="L9" t="s">
        <v>1303</v>
      </c>
      <c r="M9" t="s">
        <v>1304</v>
      </c>
      <c r="N9" t="s">
        <v>265</v>
      </c>
      <c r="O9" t="s">
        <v>66</v>
      </c>
    </row>
    <row r="10" spans="1:15" x14ac:dyDescent="0.35">
      <c r="A10" s="100"/>
      <c r="C10" t="s">
        <v>352</v>
      </c>
      <c r="D10" t="s">
        <v>1013</v>
      </c>
      <c r="E10" t="s">
        <v>1305</v>
      </c>
      <c r="F10" t="s">
        <v>1303</v>
      </c>
      <c r="G10" t="s">
        <v>1286</v>
      </c>
      <c r="H10" t="s">
        <v>1293</v>
      </c>
      <c r="I10" t="s">
        <v>1288</v>
      </c>
      <c r="J10" t="s">
        <v>1289</v>
      </c>
      <c r="K10" t="s">
        <v>1290</v>
      </c>
      <c r="L10" t="s">
        <v>1303</v>
      </c>
      <c r="M10" t="s">
        <v>1304</v>
      </c>
      <c r="N10" t="s">
        <v>265</v>
      </c>
      <c r="O10" t="s">
        <v>66</v>
      </c>
    </row>
    <row r="11" spans="1:15" x14ac:dyDescent="0.35">
      <c r="C11" t="s">
        <v>352</v>
      </c>
      <c r="D11" t="s">
        <v>1013</v>
      </c>
      <c r="E11" t="s">
        <v>1306</v>
      </c>
      <c r="F11" t="s">
        <v>1303</v>
      </c>
      <c r="G11" t="s">
        <v>1286</v>
      </c>
      <c r="H11" t="s">
        <v>1293</v>
      </c>
      <c r="I11" t="s">
        <v>1288</v>
      </c>
      <c r="J11" t="s">
        <v>1289</v>
      </c>
      <c r="K11" t="s">
        <v>1290</v>
      </c>
      <c r="L11" t="s">
        <v>1303</v>
      </c>
      <c r="M11" t="s">
        <v>1304</v>
      </c>
      <c r="N11" t="s">
        <v>265</v>
      </c>
      <c r="O11" t="s">
        <v>66</v>
      </c>
    </row>
    <row r="12" spans="1:15" x14ac:dyDescent="0.35">
      <c r="C12" t="s">
        <v>352</v>
      </c>
      <c r="D12" t="s">
        <v>1013</v>
      </c>
      <c r="E12" t="s">
        <v>1307</v>
      </c>
      <c r="F12" t="s">
        <v>1303</v>
      </c>
      <c r="G12" t="s">
        <v>1286</v>
      </c>
      <c r="H12" t="s">
        <v>1293</v>
      </c>
      <c r="I12" t="s">
        <v>1288</v>
      </c>
      <c r="J12" t="s">
        <v>1289</v>
      </c>
      <c r="K12" t="s">
        <v>1290</v>
      </c>
      <c r="L12" t="s">
        <v>1303</v>
      </c>
      <c r="M12" t="s">
        <v>1304</v>
      </c>
      <c r="N12" t="s">
        <v>265</v>
      </c>
      <c r="O12" t="s">
        <v>66</v>
      </c>
    </row>
    <row r="13" spans="1:15" x14ac:dyDescent="0.35">
      <c r="C13" t="s">
        <v>352</v>
      </c>
      <c r="D13" t="s">
        <v>1013</v>
      </c>
      <c r="E13" t="s">
        <v>1308</v>
      </c>
      <c r="F13" t="s">
        <v>1303</v>
      </c>
      <c r="G13" t="s">
        <v>1286</v>
      </c>
      <c r="H13" t="s">
        <v>1293</v>
      </c>
      <c r="I13" t="s">
        <v>1288</v>
      </c>
      <c r="J13" t="s">
        <v>1289</v>
      </c>
      <c r="K13" t="s">
        <v>1290</v>
      </c>
      <c r="L13" t="s">
        <v>1303</v>
      </c>
      <c r="M13" t="s">
        <v>1304</v>
      </c>
      <c r="N13" t="s">
        <v>265</v>
      </c>
      <c r="O13" t="s">
        <v>66</v>
      </c>
    </row>
    <row r="14" spans="1:15" x14ac:dyDescent="0.35">
      <c r="C14" t="s">
        <v>352</v>
      </c>
      <c r="D14" t="s">
        <v>1013</v>
      </c>
      <c r="E14" t="s">
        <v>1309</v>
      </c>
      <c r="F14" t="s">
        <v>1303</v>
      </c>
      <c r="G14" t="s">
        <v>1286</v>
      </c>
      <c r="H14" t="s">
        <v>1293</v>
      </c>
      <c r="I14" t="s">
        <v>1288</v>
      </c>
      <c r="J14" t="s">
        <v>1298</v>
      </c>
      <c r="K14" t="s">
        <v>1290</v>
      </c>
      <c r="L14" t="s">
        <v>1303</v>
      </c>
      <c r="M14" t="s">
        <v>1304</v>
      </c>
      <c r="N14" t="s">
        <v>265</v>
      </c>
      <c r="O14" t="s">
        <v>66</v>
      </c>
    </row>
    <row r="15" spans="1:15" x14ac:dyDescent="0.35">
      <c r="C15" t="s">
        <v>352</v>
      </c>
      <c r="D15" t="s">
        <v>1013</v>
      </c>
      <c r="E15" t="s">
        <v>1310</v>
      </c>
      <c r="F15" t="s">
        <v>1303</v>
      </c>
      <c r="G15" t="s">
        <v>1286</v>
      </c>
      <c r="H15" t="s">
        <v>1293</v>
      </c>
      <c r="I15" t="s">
        <v>1288</v>
      </c>
      <c r="J15" t="s">
        <v>1289</v>
      </c>
      <c r="K15" t="s">
        <v>1290</v>
      </c>
      <c r="L15" t="s">
        <v>1303</v>
      </c>
      <c r="M15" t="s">
        <v>1304</v>
      </c>
      <c r="N15" t="s">
        <v>265</v>
      </c>
      <c r="O15" t="s">
        <v>66</v>
      </c>
    </row>
  </sheetData>
  <conditionalFormatting sqref="A4">
    <cfRule type="cellIs" dxfId="9" priority="1" operator="equal">
      <formula>"No Work Order Entered"</formula>
    </cfRule>
  </conditionalFormatting>
  <hyperlinks>
    <hyperlink ref="A6" location="Data!A1" display="Data Tab"/>
    <hyperlink ref="A5" location="Pareto!A1" display="Pareto"/>
    <hyperlink ref="A7" location="'Summary Recommendations'!A1" display="Summary"/>
    <hyperlink ref="A4" location="'Table Of Contents - Order'!A1" display="Table of Contents"/>
  </hyperlink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39997558519241921"/>
  </sheetPr>
  <dimension ref="A2:O15"/>
  <sheetViews>
    <sheetView workbookViewId="0">
      <selection activeCell="J1" sqref="J1:J1048576"/>
    </sheetView>
  </sheetViews>
  <sheetFormatPr defaultRowHeight="14.5" x14ac:dyDescent="0.35"/>
  <cols>
    <col min="1" max="1" width="16.7265625" bestFit="1" customWidth="1"/>
    <col min="2" max="2" width="13.1796875" style="1" bestFit="1" customWidth="1"/>
    <col min="3" max="3" width="13.81640625" style="1" bestFit="1" customWidth="1"/>
    <col min="4" max="4" width="15.81640625" style="1" customWidth="1"/>
    <col min="5" max="5" width="23" style="1" customWidth="1"/>
    <col min="6" max="6" width="101.1796875" style="1" customWidth="1"/>
    <col min="7" max="7" width="14.7265625" style="1" customWidth="1"/>
    <col min="8" max="8" width="10.81640625" style="1" customWidth="1"/>
    <col min="9" max="9" width="12" style="1" customWidth="1"/>
    <col min="10" max="10" width="13.81640625" style="1" customWidth="1"/>
    <col min="11" max="11" width="25.81640625" style="1" customWidth="1"/>
    <col min="12" max="12" width="98.453125" style="1" customWidth="1"/>
    <col min="13" max="13" width="10.54296875" customWidth="1"/>
    <col min="14" max="14" width="13" customWidth="1"/>
    <col min="15" max="15" width="12.7265625" customWidth="1"/>
  </cols>
  <sheetData>
    <row r="2" spans="1:15" x14ac:dyDescent="0.35">
      <c r="B2"/>
      <c r="C2" t="s">
        <v>1272</v>
      </c>
      <c r="D2" t="s">
        <v>1271</v>
      </c>
      <c r="E2" t="s">
        <v>1311</v>
      </c>
      <c r="F2" t="s">
        <v>1312</v>
      </c>
      <c r="G2" t="s">
        <v>1313</v>
      </c>
      <c r="H2" t="s">
        <v>1314</v>
      </c>
      <c r="I2" t="s">
        <v>1315</v>
      </c>
      <c r="J2" t="s">
        <v>1318</v>
      </c>
      <c r="K2" t="s">
        <v>1316</v>
      </c>
      <c r="L2" t="s">
        <v>1317</v>
      </c>
      <c r="M2" t="s">
        <v>1319</v>
      </c>
      <c r="N2" t="s">
        <v>1320</v>
      </c>
      <c r="O2" t="s">
        <v>1321</v>
      </c>
    </row>
    <row r="3" spans="1:15" x14ac:dyDescent="0.35">
      <c r="A3" t="s">
        <v>233</v>
      </c>
      <c r="B3"/>
      <c r="C3" t="s">
        <v>1013</v>
      </c>
      <c r="D3" t="s">
        <v>352</v>
      </c>
      <c r="E3">
        <v>62400004003</v>
      </c>
      <c r="F3" t="s">
        <v>1322</v>
      </c>
      <c r="G3" t="s">
        <v>265</v>
      </c>
      <c r="H3" t="s">
        <v>1323</v>
      </c>
      <c r="I3">
        <v>1</v>
      </c>
      <c r="J3">
        <v>2</v>
      </c>
      <c r="K3" t="s">
        <v>1324</v>
      </c>
      <c r="L3" t="s">
        <v>1322</v>
      </c>
      <c r="M3" t="s">
        <v>1325</v>
      </c>
      <c r="N3" t="s">
        <v>1326</v>
      </c>
      <c r="O3">
        <v>3</v>
      </c>
    </row>
    <row r="4" spans="1:15" x14ac:dyDescent="0.35">
      <c r="A4" s="111" t="s">
        <v>179</v>
      </c>
      <c r="B4"/>
      <c r="C4" t="s">
        <v>1013</v>
      </c>
      <c r="D4" t="s">
        <v>352</v>
      </c>
      <c r="E4">
        <v>60400006136</v>
      </c>
      <c r="F4" t="s">
        <v>1327</v>
      </c>
      <c r="G4" t="s">
        <v>265</v>
      </c>
      <c r="H4" t="s">
        <v>1323</v>
      </c>
      <c r="I4">
        <v>1</v>
      </c>
      <c r="J4">
        <v>2</v>
      </c>
      <c r="K4" t="s">
        <v>1328</v>
      </c>
      <c r="L4" t="s">
        <v>1327</v>
      </c>
      <c r="M4" t="s">
        <v>1329</v>
      </c>
      <c r="N4" t="s">
        <v>1330</v>
      </c>
      <c r="O4">
        <v>1</v>
      </c>
    </row>
    <row r="5" spans="1:15" x14ac:dyDescent="0.35">
      <c r="A5" s="91" t="s">
        <v>171</v>
      </c>
      <c r="B5"/>
      <c r="C5" t="s">
        <v>1013</v>
      </c>
      <c r="D5" t="s">
        <v>352</v>
      </c>
      <c r="E5">
        <v>49580</v>
      </c>
      <c r="F5" t="s">
        <v>1331</v>
      </c>
      <c r="G5" t="s">
        <v>265</v>
      </c>
      <c r="H5" t="s">
        <v>1323</v>
      </c>
      <c r="I5">
        <v>1</v>
      </c>
      <c r="J5">
        <v>1</v>
      </c>
      <c r="K5" t="s">
        <v>1332</v>
      </c>
      <c r="L5" t="s">
        <v>1331</v>
      </c>
      <c r="O5">
        <v>1</v>
      </c>
    </row>
    <row r="6" spans="1:15" x14ac:dyDescent="0.35">
      <c r="A6" s="91" t="s">
        <v>170</v>
      </c>
      <c r="J6"/>
      <c r="N6" s="1"/>
    </row>
    <row r="7" spans="1:15" x14ac:dyDescent="0.35">
      <c r="A7" s="99" t="s">
        <v>174</v>
      </c>
      <c r="J7"/>
      <c r="N7" s="1"/>
    </row>
    <row r="8" spans="1:15" x14ac:dyDescent="0.35">
      <c r="A8" s="100"/>
      <c r="J8"/>
      <c r="N8" s="1"/>
    </row>
    <row r="9" spans="1:15" x14ac:dyDescent="0.35">
      <c r="A9" s="100"/>
      <c r="J9"/>
      <c r="N9" s="1"/>
    </row>
    <row r="10" spans="1:15" x14ac:dyDescent="0.35">
      <c r="A10" s="100"/>
      <c r="J10"/>
      <c r="N10" s="1"/>
    </row>
    <row r="11" spans="1:15" x14ac:dyDescent="0.35">
      <c r="J11"/>
      <c r="N11" s="1"/>
    </row>
    <row r="12" spans="1:15" x14ac:dyDescent="0.35">
      <c r="J12"/>
      <c r="N12" s="1"/>
    </row>
    <row r="13" spans="1:15" x14ac:dyDescent="0.35">
      <c r="J13"/>
      <c r="N13" s="1"/>
    </row>
    <row r="14" spans="1:15" x14ac:dyDescent="0.35">
      <c r="J14"/>
      <c r="N14" s="1"/>
    </row>
    <row r="15" spans="1:15" x14ac:dyDescent="0.35">
      <c r="J15"/>
      <c r="N15" s="1"/>
    </row>
  </sheetData>
  <conditionalFormatting sqref="A4">
    <cfRule type="cellIs" dxfId="8" priority="1" operator="equal">
      <formula>"No Work Order Entered"</formula>
    </cfRule>
  </conditionalFormatting>
  <hyperlinks>
    <hyperlink ref="A6" location="Data!A1" display="Data Tab"/>
    <hyperlink ref="A5" location="Pareto!A1" display="Pareto"/>
    <hyperlink ref="A7" location="'Summary Recommendations'!A1" display="Summary"/>
    <hyperlink ref="A4" location="'Table Of Contents - Order'!A1" display="Table of Contents"/>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2:O13"/>
  <sheetViews>
    <sheetView workbookViewId="0">
      <selection activeCell="E17" sqref="E17"/>
    </sheetView>
  </sheetViews>
  <sheetFormatPr defaultRowHeight="14.5" x14ac:dyDescent="0.35"/>
  <cols>
    <col min="1" max="1" width="16.7265625" bestFit="1" customWidth="1"/>
    <col min="2" max="2" width="13.81640625" bestFit="1" customWidth="1"/>
    <col min="3" max="3" width="13.1796875" bestFit="1" customWidth="1"/>
    <col min="4" max="4" width="11.54296875" customWidth="1"/>
    <col min="5" max="5" width="41.7265625" customWidth="1"/>
    <col min="6" max="6" width="21" customWidth="1"/>
    <col min="7" max="7" width="13.7265625" bestFit="1" customWidth="1"/>
    <col min="8" max="8" width="11.453125" bestFit="1" customWidth="1"/>
    <col min="9" max="9" width="10.1796875" customWidth="1"/>
    <col min="10" max="10" width="21.54296875" customWidth="1"/>
    <col min="11" max="11" width="18.1796875" customWidth="1"/>
    <col min="12" max="12" width="23.1796875" customWidth="1"/>
    <col min="13" max="13" width="42.1796875" customWidth="1"/>
    <col min="14" max="14" width="11.1796875" customWidth="1"/>
    <col min="15" max="15" width="12.81640625" customWidth="1"/>
  </cols>
  <sheetData>
    <row r="2" spans="1:15" x14ac:dyDescent="0.35">
      <c r="C2" t="s">
        <v>1271</v>
      </c>
      <c r="D2" t="s">
        <v>1272</v>
      </c>
      <c r="E2" t="s">
        <v>1273</v>
      </c>
      <c r="F2" t="s">
        <v>1274</v>
      </c>
      <c r="G2" t="s">
        <v>1275</v>
      </c>
      <c r="H2" t="s">
        <v>1276</v>
      </c>
      <c r="I2" t="s">
        <v>1277</v>
      </c>
      <c r="J2" t="s">
        <v>1278</v>
      </c>
      <c r="K2" t="s">
        <v>1279</v>
      </c>
      <c r="L2" t="s">
        <v>1280</v>
      </c>
      <c r="M2" t="s">
        <v>1281</v>
      </c>
      <c r="N2" t="s">
        <v>1282</v>
      </c>
      <c r="O2" t="s">
        <v>1283</v>
      </c>
    </row>
    <row r="3" spans="1:15" x14ac:dyDescent="0.35">
      <c r="A3" t="s">
        <v>233</v>
      </c>
      <c r="C3" t="s">
        <v>352</v>
      </c>
      <c r="D3" t="s">
        <v>1013</v>
      </c>
      <c r="E3" t="s">
        <v>1333</v>
      </c>
      <c r="F3" t="s">
        <v>1334</v>
      </c>
      <c r="G3" t="s">
        <v>1286</v>
      </c>
      <c r="H3" t="s">
        <v>1293</v>
      </c>
      <c r="I3" t="s">
        <v>1288</v>
      </c>
      <c r="J3" t="s">
        <v>1289</v>
      </c>
      <c r="K3" t="s">
        <v>1290</v>
      </c>
      <c r="L3" t="s">
        <v>1334</v>
      </c>
      <c r="M3" t="s">
        <v>1335</v>
      </c>
      <c r="N3" t="s">
        <v>1336</v>
      </c>
      <c r="O3" t="s">
        <v>66</v>
      </c>
    </row>
    <row r="4" spans="1:15" x14ac:dyDescent="0.35">
      <c r="A4" s="111" t="s">
        <v>179</v>
      </c>
      <c r="C4" t="s">
        <v>352</v>
      </c>
      <c r="D4" t="s">
        <v>1013</v>
      </c>
      <c r="E4" t="s">
        <v>1337</v>
      </c>
      <c r="F4" t="s">
        <v>1338</v>
      </c>
      <c r="G4" t="s">
        <v>1286</v>
      </c>
      <c r="H4" t="s">
        <v>1293</v>
      </c>
      <c r="I4" t="s">
        <v>1288</v>
      </c>
      <c r="J4" t="s">
        <v>1289</v>
      </c>
      <c r="K4" t="s">
        <v>1290</v>
      </c>
      <c r="L4" t="s">
        <v>1338</v>
      </c>
      <c r="M4" t="s">
        <v>1339</v>
      </c>
      <c r="N4" t="s">
        <v>1336</v>
      </c>
      <c r="O4" t="s">
        <v>66</v>
      </c>
    </row>
    <row r="5" spans="1:15" x14ac:dyDescent="0.35">
      <c r="A5" s="91" t="s">
        <v>171</v>
      </c>
      <c r="C5" t="s">
        <v>352</v>
      </c>
      <c r="D5" t="s">
        <v>1013</v>
      </c>
      <c r="E5" t="s">
        <v>1340</v>
      </c>
      <c r="F5" t="s">
        <v>1341</v>
      </c>
      <c r="G5" t="s">
        <v>1286</v>
      </c>
      <c r="H5" t="s">
        <v>1288</v>
      </c>
      <c r="I5" t="s">
        <v>1288</v>
      </c>
      <c r="J5" t="s">
        <v>1289</v>
      </c>
      <c r="K5" t="s">
        <v>1290</v>
      </c>
      <c r="L5" t="s">
        <v>1341</v>
      </c>
      <c r="M5" t="s">
        <v>1342</v>
      </c>
      <c r="N5" t="s">
        <v>1336</v>
      </c>
      <c r="O5" t="s">
        <v>66</v>
      </c>
    </row>
    <row r="6" spans="1:15" x14ac:dyDescent="0.35">
      <c r="A6" s="91" t="s">
        <v>170</v>
      </c>
      <c r="C6" t="s">
        <v>352</v>
      </c>
      <c r="D6" t="s">
        <v>1013</v>
      </c>
      <c r="E6" t="s">
        <v>1343</v>
      </c>
      <c r="F6" t="s">
        <v>1338</v>
      </c>
      <c r="G6" t="s">
        <v>1286</v>
      </c>
      <c r="H6" t="s">
        <v>1293</v>
      </c>
      <c r="I6" t="s">
        <v>1288</v>
      </c>
      <c r="J6" t="s">
        <v>1289</v>
      </c>
      <c r="K6" t="s">
        <v>1290</v>
      </c>
      <c r="L6" t="s">
        <v>1338</v>
      </c>
      <c r="M6" t="s">
        <v>1339</v>
      </c>
      <c r="N6" t="s">
        <v>1336</v>
      </c>
      <c r="O6" t="s">
        <v>66</v>
      </c>
    </row>
    <row r="7" spans="1:15" x14ac:dyDescent="0.35">
      <c r="A7" s="99" t="s">
        <v>174</v>
      </c>
      <c r="C7" t="s">
        <v>352</v>
      </c>
      <c r="D7" t="s">
        <v>1013</v>
      </c>
      <c r="E7" t="s">
        <v>1344</v>
      </c>
      <c r="F7" t="s">
        <v>1341</v>
      </c>
      <c r="G7" t="s">
        <v>1286</v>
      </c>
      <c r="H7" t="s">
        <v>1288</v>
      </c>
      <c r="I7" t="s">
        <v>1288</v>
      </c>
      <c r="J7" t="s">
        <v>1289</v>
      </c>
      <c r="K7" t="s">
        <v>1290</v>
      </c>
      <c r="L7" t="s">
        <v>1341</v>
      </c>
      <c r="M7" t="s">
        <v>1342</v>
      </c>
      <c r="N7" t="s">
        <v>1336</v>
      </c>
      <c r="O7" t="s">
        <v>66</v>
      </c>
    </row>
    <row r="8" spans="1:15" x14ac:dyDescent="0.35">
      <c r="A8" s="100"/>
      <c r="C8" t="s">
        <v>352</v>
      </c>
      <c r="D8" t="s">
        <v>1013</v>
      </c>
      <c r="E8" t="s">
        <v>1345</v>
      </c>
      <c r="F8" t="s">
        <v>1338</v>
      </c>
      <c r="G8" t="s">
        <v>1286</v>
      </c>
      <c r="H8" t="s">
        <v>1293</v>
      </c>
      <c r="I8" t="s">
        <v>1288</v>
      </c>
      <c r="J8" t="s">
        <v>1289</v>
      </c>
      <c r="K8" t="s">
        <v>1290</v>
      </c>
      <c r="L8" t="s">
        <v>1338</v>
      </c>
      <c r="M8" t="s">
        <v>1339</v>
      </c>
      <c r="N8" t="s">
        <v>1336</v>
      </c>
      <c r="O8" t="s">
        <v>66</v>
      </c>
    </row>
    <row r="9" spans="1:15" x14ac:dyDescent="0.35">
      <c r="A9" s="100"/>
      <c r="C9" t="s">
        <v>352</v>
      </c>
      <c r="D9" t="s">
        <v>1013</v>
      </c>
      <c r="E9" t="s">
        <v>1346</v>
      </c>
      <c r="F9" t="s">
        <v>1341</v>
      </c>
      <c r="G9" t="s">
        <v>1286</v>
      </c>
      <c r="H9" t="s">
        <v>1288</v>
      </c>
      <c r="I9" t="s">
        <v>1288</v>
      </c>
      <c r="J9" t="s">
        <v>1289</v>
      </c>
      <c r="K9" t="s">
        <v>1290</v>
      </c>
      <c r="L9" t="s">
        <v>1341</v>
      </c>
      <c r="M9" t="s">
        <v>1342</v>
      </c>
      <c r="N9" t="s">
        <v>1336</v>
      </c>
      <c r="O9" t="s">
        <v>66</v>
      </c>
    </row>
    <row r="10" spans="1:15" x14ac:dyDescent="0.35">
      <c r="A10" s="100"/>
      <c r="C10" t="s">
        <v>352</v>
      </c>
      <c r="D10" t="s">
        <v>1013</v>
      </c>
      <c r="E10" t="s">
        <v>1347</v>
      </c>
      <c r="F10" t="s">
        <v>1348</v>
      </c>
      <c r="G10" t="s">
        <v>1286</v>
      </c>
      <c r="H10" t="s">
        <v>1293</v>
      </c>
      <c r="I10" t="s">
        <v>1288</v>
      </c>
      <c r="J10" t="s">
        <v>1289</v>
      </c>
      <c r="K10" t="s">
        <v>1290</v>
      </c>
      <c r="L10" t="s">
        <v>1348</v>
      </c>
      <c r="M10" t="s">
        <v>1349</v>
      </c>
      <c r="N10" t="s">
        <v>1336</v>
      </c>
      <c r="O10" t="s">
        <v>66</v>
      </c>
    </row>
    <row r="11" spans="1:15" x14ac:dyDescent="0.35">
      <c r="C11" t="s">
        <v>352</v>
      </c>
      <c r="D11" t="s">
        <v>1013</v>
      </c>
      <c r="E11" t="s">
        <v>1350</v>
      </c>
      <c r="F11" t="s">
        <v>1351</v>
      </c>
      <c r="G11" t="s">
        <v>1286</v>
      </c>
      <c r="H11" t="s">
        <v>1288</v>
      </c>
      <c r="I11" t="s">
        <v>1288</v>
      </c>
      <c r="J11" t="s">
        <v>1289</v>
      </c>
      <c r="K11" t="s">
        <v>1290</v>
      </c>
      <c r="L11" t="s">
        <v>1351</v>
      </c>
      <c r="M11" t="s">
        <v>1352</v>
      </c>
      <c r="N11" t="s">
        <v>1336</v>
      </c>
      <c r="O11" t="s">
        <v>66</v>
      </c>
    </row>
    <row r="12" spans="1:15" x14ac:dyDescent="0.35">
      <c r="C12" t="s">
        <v>352</v>
      </c>
      <c r="D12" t="s">
        <v>1013</v>
      </c>
      <c r="E12" t="s">
        <v>1270</v>
      </c>
      <c r="F12" t="s">
        <v>1353</v>
      </c>
      <c r="G12" t="s">
        <v>1286</v>
      </c>
      <c r="H12" t="s">
        <v>1293</v>
      </c>
      <c r="I12" t="s">
        <v>1288</v>
      </c>
      <c r="J12" t="s">
        <v>1289</v>
      </c>
      <c r="K12" t="s">
        <v>1290</v>
      </c>
      <c r="L12" t="s">
        <v>1353</v>
      </c>
      <c r="M12" t="s">
        <v>1354</v>
      </c>
      <c r="N12" t="s">
        <v>1336</v>
      </c>
      <c r="O12" t="s">
        <v>66</v>
      </c>
    </row>
    <row r="13" spans="1:15" x14ac:dyDescent="0.35">
      <c r="C13" t="s">
        <v>352</v>
      </c>
      <c r="D13" t="s">
        <v>1013</v>
      </c>
      <c r="E13" t="s">
        <v>1355</v>
      </c>
      <c r="F13" t="s">
        <v>1356</v>
      </c>
      <c r="G13" t="s">
        <v>1286</v>
      </c>
      <c r="H13" t="s">
        <v>1288</v>
      </c>
      <c r="I13" t="s">
        <v>1288</v>
      </c>
      <c r="J13" t="s">
        <v>1289</v>
      </c>
      <c r="K13" t="s">
        <v>1290</v>
      </c>
      <c r="L13" t="s">
        <v>1356</v>
      </c>
      <c r="M13" t="s">
        <v>1357</v>
      </c>
      <c r="N13" t="s">
        <v>1336</v>
      </c>
      <c r="O13" t="s">
        <v>66</v>
      </c>
    </row>
  </sheetData>
  <conditionalFormatting sqref="A4">
    <cfRule type="cellIs" dxfId="7" priority="1" operator="equal">
      <formula>"No Work Order Entered"</formula>
    </cfRule>
  </conditionalFormatting>
  <hyperlinks>
    <hyperlink ref="A6" location="Data!A1" display="Data Tab"/>
    <hyperlink ref="A5" location="Pareto!A1" display="Pareto"/>
    <hyperlink ref="A7" location="'Summary Recommendations'!A1" display="Summary"/>
    <hyperlink ref="A4" location="'Table Of Contents - Order'!A1" display="Table of Contents"/>
  </hyperlink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tint="0.39997558519241921"/>
  </sheetPr>
  <dimension ref="A2:O10"/>
  <sheetViews>
    <sheetView workbookViewId="0"/>
  </sheetViews>
  <sheetFormatPr defaultRowHeight="14.5" x14ac:dyDescent="0.35"/>
  <cols>
    <col min="1" max="1" width="16.7265625" bestFit="1" customWidth="1"/>
    <col min="2" max="2" width="13.1796875" style="1" bestFit="1" customWidth="1"/>
    <col min="3" max="3" width="9.81640625" style="1" customWidth="1"/>
    <col min="4" max="4" width="11.453125" style="1" customWidth="1"/>
    <col min="5" max="5" width="16.7265625" style="1" customWidth="1"/>
    <col min="6" max="6" width="41.54296875" style="1" customWidth="1"/>
    <col min="7" max="7" width="11" style="1" bestFit="1" customWidth="1"/>
    <col min="8" max="8" width="8.7265625" style="1" customWidth="1"/>
    <col min="9" max="9" width="12.54296875" style="1" customWidth="1"/>
    <col min="10" max="10" width="14.7265625" style="1" customWidth="1"/>
    <col min="11" max="11" width="19.453125" style="1" bestFit="1" customWidth="1"/>
    <col min="12" max="12" width="44.1796875" style="1" customWidth="1"/>
    <col min="13" max="13" width="16.7265625" customWidth="1"/>
    <col min="14" max="14" width="27.1796875" bestFit="1" customWidth="1"/>
    <col min="15" max="15" width="15.81640625" customWidth="1"/>
  </cols>
  <sheetData>
    <row r="2" spans="1:15" x14ac:dyDescent="0.35">
      <c r="B2"/>
      <c r="C2" t="s">
        <v>1272</v>
      </c>
      <c r="D2" t="s">
        <v>1271</v>
      </c>
      <c r="E2" t="s">
        <v>1311</v>
      </c>
      <c r="F2" t="s">
        <v>1312</v>
      </c>
      <c r="G2" t="s">
        <v>1313</v>
      </c>
      <c r="H2" t="s">
        <v>1314</v>
      </c>
      <c r="I2" t="s">
        <v>1315</v>
      </c>
      <c r="J2" t="s">
        <v>1318</v>
      </c>
      <c r="K2" t="s">
        <v>1316</v>
      </c>
      <c r="L2" t="s">
        <v>1317</v>
      </c>
      <c r="M2" t="s">
        <v>1319</v>
      </c>
      <c r="N2" t="s">
        <v>1320</v>
      </c>
      <c r="O2" t="s">
        <v>1321</v>
      </c>
    </row>
    <row r="3" spans="1:15" x14ac:dyDescent="0.35">
      <c r="A3" t="s">
        <v>233</v>
      </c>
      <c r="B3"/>
      <c r="C3" t="s">
        <v>1013</v>
      </c>
      <c r="D3" t="s">
        <v>352</v>
      </c>
      <c r="E3">
        <v>45000007090</v>
      </c>
      <c r="F3" t="s">
        <v>1358</v>
      </c>
      <c r="G3" t="s">
        <v>1336</v>
      </c>
      <c r="H3" t="s">
        <v>1323</v>
      </c>
      <c r="I3">
        <v>1</v>
      </c>
      <c r="J3">
        <v>3</v>
      </c>
      <c r="K3" t="s">
        <v>1359</v>
      </c>
      <c r="L3" t="s">
        <v>1358</v>
      </c>
      <c r="O3">
        <v>1</v>
      </c>
    </row>
    <row r="4" spans="1:15" x14ac:dyDescent="0.35">
      <c r="A4" s="111" t="s">
        <v>179</v>
      </c>
      <c r="B4"/>
      <c r="C4" t="s">
        <v>1013</v>
      </c>
      <c r="D4" t="s">
        <v>352</v>
      </c>
      <c r="E4">
        <v>45000007089</v>
      </c>
      <c r="F4" t="s">
        <v>1360</v>
      </c>
      <c r="G4" t="s">
        <v>1336</v>
      </c>
      <c r="H4" t="s">
        <v>1323</v>
      </c>
      <c r="I4">
        <v>1</v>
      </c>
      <c r="J4">
        <v>2</v>
      </c>
      <c r="K4" t="s">
        <v>1361</v>
      </c>
      <c r="L4" t="s">
        <v>1360</v>
      </c>
      <c r="O4">
        <v>1</v>
      </c>
    </row>
    <row r="5" spans="1:15" x14ac:dyDescent="0.35">
      <c r="A5" s="91" t="s">
        <v>171</v>
      </c>
      <c r="B5"/>
      <c r="C5" t="s">
        <v>1013</v>
      </c>
      <c r="D5" t="s">
        <v>352</v>
      </c>
      <c r="E5">
        <v>45000007087</v>
      </c>
      <c r="F5" t="s">
        <v>1362</v>
      </c>
      <c r="G5" t="s">
        <v>1336</v>
      </c>
      <c r="H5" t="s">
        <v>1323</v>
      </c>
      <c r="I5">
        <v>1</v>
      </c>
      <c r="J5">
        <v>4</v>
      </c>
      <c r="K5" t="s">
        <v>1363</v>
      </c>
      <c r="L5" t="s">
        <v>1362</v>
      </c>
      <c r="O5">
        <v>1</v>
      </c>
    </row>
    <row r="6" spans="1:15" x14ac:dyDescent="0.35">
      <c r="A6" s="91" t="s">
        <v>170</v>
      </c>
    </row>
    <row r="7" spans="1:15" x14ac:dyDescent="0.35">
      <c r="A7" s="99" t="s">
        <v>174</v>
      </c>
    </row>
    <row r="8" spans="1:15" x14ac:dyDescent="0.35">
      <c r="A8" s="100"/>
    </row>
    <row r="9" spans="1:15" x14ac:dyDescent="0.35">
      <c r="A9" s="100"/>
    </row>
    <row r="10" spans="1:15" x14ac:dyDescent="0.35">
      <c r="A10" s="100"/>
    </row>
  </sheetData>
  <conditionalFormatting sqref="A4">
    <cfRule type="cellIs" dxfId="6" priority="1" operator="equal">
      <formula>"No Work Order Entered"</formula>
    </cfRule>
  </conditionalFormatting>
  <hyperlinks>
    <hyperlink ref="A6" location="Data!A1" display="Data Tab"/>
    <hyperlink ref="A5" location="Pareto!A1" display="Pareto"/>
    <hyperlink ref="A7" location="'Summary Recommendations'!A1" display="Summary"/>
    <hyperlink ref="A4" location="'Table Of Contents - Order'!A1" display="Table of Contents"/>
  </hyperlink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2:O35"/>
  <sheetViews>
    <sheetView workbookViewId="0">
      <selection activeCell="C1" sqref="C1"/>
    </sheetView>
  </sheetViews>
  <sheetFormatPr defaultRowHeight="14.5" x14ac:dyDescent="0.35"/>
  <cols>
    <col min="1" max="1" width="16.7265625" bestFit="1" customWidth="1"/>
    <col min="2" max="2" width="13.81640625" bestFit="1" customWidth="1"/>
    <col min="3" max="3" width="13.1796875" bestFit="1" customWidth="1"/>
    <col min="4" max="4" width="12.7265625" customWidth="1"/>
    <col min="5" max="5" width="57.81640625" customWidth="1"/>
    <col min="6" max="6" width="34.26953125" customWidth="1"/>
    <col min="7" max="7" width="13.7265625" bestFit="1" customWidth="1"/>
    <col min="8" max="8" width="11.453125" bestFit="1" customWidth="1"/>
    <col min="9" max="9" width="11.1796875" customWidth="1"/>
    <col min="10" max="10" width="24.54296875" customWidth="1"/>
    <col min="11" max="11" width="22" bestFit="1" customWidth="1"/>
    <col min="12" max="12" width="36.1796875" bestFit="1" customWidth="1"/>
    <col min="13" max="13" width="65.26953125" customWidth="1"/>
    <col min="14" max="14" width="18.1796875" customWidth="1"/>
    <col min="15" max="15" width="12.453125" customWidth="1"/>
  </cols>
  <sheetData>
    <row r="2" spans="1:15" x14ac:dyDescent="0.35">
      <c r="C2" t="s">
        <v>1271</v>
      </c>
      <c r="D2" t="s">
        <v>1272</v>
      </c>
      <c r="E2" t="s">
        <v>1273</v>
      </c>
      <c r="F2" t="s">
        <v>1274</v>
      </c>
      <c r="G2" t="s">
        <v>1275</v>
      </c>
      <c r="H2" t="s">
        <v>1276</v>
      </c>
      <c r="I2" t="s">
        <v>1277</v>
      </c>
      <c r="J2" t="s">
        <v>1278</v>
      </c>
      <c r="K2" t="s">
        <v>1279</v>
      </c>
      <c r="L2" t="s">
        <v>1280</v>
      </c>
      <c r="M2" t="s">
        <v>1281</v>
      </c>
      <c r="N2" t="s">
        <v>1282</v>
      </c>
      <c r="O2" t="s">
        <v>1283</v>
      </c>
    </row>
    <row r="3" spans="1:15" x14ac:dyDescent="0.35">
      <c r="A3" t="s">
        <v>233</v>
      </c>
      <c r="C3" t="s">
        <v>352</v>
      </c>
      <c r="D3" t="s">
        <v>1013</v>
      </c>
      <c r="E3" t="s">
        <v>1364</v>
      </c>
      <c r="F3" t="s">
        <v>1365</v>
      </c>
      <c r="G3" t="s">
        <v>1286</v>
      </c>
      <c r="H3" t="s">
        <v>1293</v>
      </c>
      <c r="I3" t="s">
        <v>1288</v>
      </c>
      <c r="J3" t="s">
        <v>1289</v>
      </c>
      <c r="K3" t="s">
        <v>1290</v>
      </c>
      <c r="L3" t="s">
        <v>1365</v>
      </c>
      <c r="M3" t="s">
        <v>1366</v>
      </c>
      <c r="N3" t="s">
        <v>1367</v>
      </c>
      <c r="O3" t="s">
        <v>66</v>
      </c>
    </row>
    <row r="4" spans="1:15" x14ac:dyDescent="0.35">
      <c r="A4" s="111" t="s">
        <v>179</v>
      </c>
      <c r="C4" t="s">
        <v>352</v>
      </c>
      <c r="D4" t="s">
        <v>1013</v>
      </c>
      <c r="E4" t="s">
        <v>1368</v>
      </c>
      <c r="F4" t="s">
        <v>1365</v>
      </c>
      <c r="G4" t="s">
        <v>1286</v>
      </c>
      <c r="H4" t="s">
        <v>1293</v>
      </c>
      <c r="I4" t="s">
        <v>1288</v>
      </c>
      <c r="J4" t="s">
        <v>1301</v>
      </c>
      <c r="K4" t="s">
        <v>1290</v>
      </c>
      <c r="L4" t="s">
        <v>1365</v>
      </c>
      <c r="M4" t="s">
        <v>1366</v>
      </c>
      <c r="N4" t="s">
        <v>1367</v>
      </c>
      <c r="O4" t="s">
        <v>66</v>
      </c>
    </row>
    <row r="5" spans="1:15" x14ac:dyDescent="0.35">
      <c r="A5" s="91" t="s">
        <v>171</v>
      </c>
      <c r="C5" t="s">
        <v>352</v>
      </c>
      <c r="D5" t="s">
        <v>1013</v>
      </c>
      <c r="E5" t="s">
        <v>1369</v>
      </c>
      <c r="F5" t="s">
        <v>1365</v>
      </c>
      <c r="G5" t="s">
        <v>1286</v>
      </c>
      <c r="H5" t="s">
        <v>1293</v>
      </c>
      <c r="I5" t="s">
        <v>1288</v>
      </c>
      <c r="J5" t="s">
        <v>1301</v>
      </c>
      <c r="K5" t="s">
        <v>1290</v>
      </c>
      <c r="L5" t="s">
        <v>1365</v>
      </c>
      <c r="M5" t="s">
        <v>1366</v>
      </c>
      <c r="N5" t="s">
        <v>1367</v>
      </c>
      <c r="O5" t="s">
        <v>66</v>
      </c>
    </row>
    <row r="6" spans="1:15" x14ac:dyDescent="0.35">
      <c r="A6" s="91" t="s">
        <v>170</v>
      </c>
      <c r="C6" t="s">
        <v>352</v>
      </c>
      <c r="D6" t="s">
        <v>1013</v>
      </c>
      <c r="E6" t="s">
        <v>1370</v>
      </c>
      <c r="F6" t="s">
        <v>1365</v>
      </c>
      <c r="G6" t="s">
        <v>1286</v>
      </c>
      <c r="H6" t="s">
        <v>1293</v>
      </c>
      <c r="I6" t="s">
        <v>1288</v>
      </c>
      <c r="J6" t="s">
        <v>1301</v>
      </c>
      <c r="K6" t="s">
        <v>1290</v>
      </c>
      <c r="L6" t="s">
        <v>1365</v>
      </c>
      <c r="M6" t="s">
        <v>1366</v>
      </c>
      <c r="N6" t="s">
        <v>1367</v>
      </c>
      <c r="O6" t="s">
        <v>66</v>
      </c>
    </row>
    <row r="7" spans="1:15" x14ac:dyDescent="0.35">
      <c r="A7" s="99" t="s">
        <v>174</v>
      </c>
      <c r="C7" t="s">
        <v>352</v>
      </c>
      <c r="D7" t="s">
        <v>1013</v>
      </c>
      <c r="E7" t="s">
        <v>1371</v>
      </c>
      <c r="F7" t="s">
        <v>1372</v>
      </c>
      <c r="G7" t="s">
        <v>1286</v>
      </c>
      <c r="H7" t="s">
        <v>1293</v>
      </c>
      <c r="I7" t="s">
        <v>1288</v>
      </c>
      <c r="J7" t="s">
        <v>1289</v>
      </c>
      <c r="K7" t="s">
        <v>1290</v>
      </c>
      <c r="L7" t="s">
        <v>1372</v>
      </c>
      <c r="M7" t="s">
        <v>1373</v>
      </c>
      <c r="N7" t="s">
        <v>1367</v>
      </c>
      <c r="O7" t="s">
        <v>66</v>
      </c>
    </row>
    <row r="8" spans="1:15" x14ac:dyDescent="0.35">
      <c r="A8" s="100"/>
      <c r="C8" t="s">
        <v>352</v>
      </c>
      <c r="D8" t="s">
        <v>1013</v>
      </c>
      <c r="E8" t="s">
        <v>1374</v>
      </c>
      <c r="F8" t="s">
        <v>1375</v>
      </c>
      <c r="G8" t="s">
        <v>1286</v>
      </c>
      <c r="H8" t="s">
        <v>1293</v>
      </c>
      <c r="I8" t="s">
        <v>1288</v>
      </c>
      <c r="J8" t="s">
        <v>1289</v>
      </c>
      <c r="K8" t="s">
        <v>1290</v>
      </c>
      <c r="L8" t="s">
        <v>1375</v>
      </c>
      <c r="M8" t="s">
        <v>1376</v>
      </c>
      <c r="N8" t="s">
        <v>1367</v>
      </c>
      <c r="O8" t="s">
        <v>66</v>
      </c>
    </row>
    <row r="9" spans="1:15" x14ac:dyDescent="0.35">
      <c r="A9" s="100"/>
      <c r="C9" t="s">
        <v>352</v>
      </c>
      <c r="D9" t="s">
        <v>1013</v>
      </c>
      <c r="E9" t="s">
        <v>1377</v>
      </c>
      <c r="F9" t="s">
        <v>1365</v>
      </c>
      <c r="G9" t="s">
        <v>1286</v>
      </c>
      <c r="H9" t="s">
        <v>1293</v>
      </c>
      <c r="I9" t="s">
        <v>1288</v>
      </c>
      <c r="J9" t="s">
        <v>1289</v>
      </c>
      <c r="K9" t="s">
        <v>1290</v>
      </c>
      <c r="L9" t="s">
        <v>1365</v>
      </c>
      <c r="M9" t="s">
        <v>1366</v>
      </c>
      <c r="N9" t="s">
        <v>1367</v>
      </c>
      <c r="O9" t="s">
        <v>66</v>
      </c>
    </row>
    <row r="10" spans="1:15" x14ac:dyDescent="0.35">
      <c r="A10" s="100"/>
      <c r="C10" t="s">
        <v>352</v>
      </c>
      <c r="D10" t="s">
        <v>1013</v>
      </c>
      <c r="E10" t="s">
        <v>1378</v>
      </c>
      <c r="F10" t="s">
        <v>1372</v>
      </c>
      <c r="G10" t="s">
        <v>1286</v>
      </c>
      <c r="H10" t="s">
        <v>1293</v>
      </c>
      <c r="I10" t="s">
        <v>1288</v>
      </c>
      <c r="J10" t="s">
        <v>1289</v>
      </c>
      <c r="K10" t="s">
        <v>1290</v>
      </c>
      <c r="L10" t="s">
        <v>1372</v>
      </c>
      <c r="M10" t="s">
        <v>1373</v>
      </c>
      <c r="N10" t="s">
        <v>1367</v>
      </c>
      <c r="O10" t="s">
        <v>66</v>
      </c>
    </row>
    <row r="11" spans="1:15" x14ac:dyDescent="0.35">
      <c r="C11" t="s">
        <v>352</v>
      </c>
      <c r="D11" t="s">
        <v>1013</v>
      </c>
      <c r="E11" t="s">
        <v>1379</v>
      </c>
      <c r="F11" t="s">
        <v>1375</v>
      </c>
      <c r="G11" t="s">
        <v>1286</v>
      </c>
      <c r="H11" t="s">
        <v>1293</v>
      </c>
      <c r="I11" t="s">
        <v>1288</v>
      </c>
      <c r="J11" t="s">
        <v>1289</v>
      </c>
      <c r="K11" t="s">
        <v>1290</v>
      </c>
      <c r="L11" t="s">
        <v>1375</v>
      </c>
      <c r="M11" t="s">
        <v>1376</v>
      </c>
      <c r="N11" t="s">
        <v>1367</v>
      </c>
      <c r="O11" t="s">
        <v>66</v>
      </c>
    </row>
    <row r="12" spans="1:15" x14ac:dyDescent="0.35">
      <c r="C12" t="s">
        <v>352</v>
      </c>
      <c r="D12" t="s">
        <v>1013</v>
      </c>
      <c r="E12" t="s">
        <v>1380</v>
      </c>
      <c r="F12" t="s">
        <v>1381</v>
      </c>
      <c r="G12" t="s">
        <v>1286</v>
      </c>
      <c r="H12" t="s">
        <v>1293</v>
      </c>
      <c r="I12" t="s">
        <v>1288</v>
      </c>
      <c r="J12" t="s">
        <v>1289</v>
      </c>
      <c r="K12" t="s">
        <v>1290</v>
      </c>
      <c r="L12" t="s">
        <v>1381</v>
      </c>
      <c r="M12" t="s">
        <v>1382</v>
      </c>
      <c r="N12" t="s">
        <v>1367</v>
      </c>
      <c r="O12" t="s">
        <v>66</v>
      </c>
    </row>
    <row r="13" spans="1:15" x14ac:dyDescent="0.35">
      <c r="C13" t="s">
        <v>352</v>
      </c>
      <c r="D13" t="s">
        <v>1013</v>
      </c>
      <c r="E13" t="s">
        <v>1383</v>
      </c>
      <c r="F13" t="s">
        <v>1384</v>
      </c>
      <c r="G13" t="s">
        <v>1286</v>
      </c>
      <c r="H13" t="s">
        <v>1293</v>
      </c>
      <c r="I13" t="s">
        <v>1288</v>
      </c>
      <c r="J13" t="s">
        <v>1289</v>
      </c>
      <c r="K13" t="s">
        <v>1290</v>
      </c>
      <c r="L13" t="s">
        <v>1384</v>
      </c>
      <c r="M13" t="s">
        <v>1385</v>
      </c>
      <c r="N13" t="s">
        <v>1367</v>
      </c>
      <c r="O13" t="s">
        <v>66</v>
      </c>
    </row>
    <row r="14" spans="1:15" x14ac:dyDescent="0.35">
      <c r="C14" t="s">
        <v>352</v>
      </c>
      <c r="D14" t="s">
        <v>1013</v>
      </c>
      <c r="E14" t="s">
        <v>1386</v>
      </c>
      <c r="F14" t="s">
        <v>1375</v>
      </c>
      <c r="G14" t="s">
        <v>1286</v>
      </c>
      <c r="H14" t="s">
        <v>1293</v>
      </c>
      <c r="I14" t="s">
        <v>1288</v>
      </c>
      <c r="J14" t="s">
        <v>1289</v>
      </c>
      <c r="K14" t="s">
        <v>1290</v>
      </c>
      <c r="L14" t="s">
        <v>1375</v>
      </c>
      <c r="M14" t="s">
        <v>1376</v>
      </c>
      <c r="N14" t="s">
        <v>1367</v>
      </c>
      <c r="O14" t="s">
        <v>66</v>
      </c>
    </row>
    <row r="15" spans="1:15" x14ac:dyDescent="0.35">
      <c r="C15" t="s">
        <v>352</v>
      </c>
      <c r="D15" t="s">
        <v>1013</v>
      </c>
      <c r="E15" t="s">
        <v>1387</v>
      </c>
      <c r="F15" t="s">
        <v>1372</v>
      </c>
      <c r="G15" t="s">
        <v>1286</v>
      </c>
      <c r="H15" t="s">
        <v>1293</v>
      </c>
      <c r="I15" t="s">
        <v>1288</v>
      </c>
      <c r="J15" t="s">
        <v>1289</v>
      </c>
      <c r="K15" t="s">
        <v>1290</v>
      </c>
      <c r="L15" t="s">
        <v>1372</v>
      </c>
      <c r="M15" t="s">
        <v>1373</v>
      </c>
      <c r="N15" t="s">
        <v>1367</v>
      </c>
      <c r="O15" t="s">
        <v>66</v>
      </c>
    </row>
    <row r="16" spans="1:15" x14ac:dyDescent="0.35">
      <c r="C16" t="s">
        <v>352</v>
      </c>
      <c r="D16" t="s">
        <v>1013</v>
      </c>
      <c r="E16" t="s">
        <v>1388</v>
      </c>
      <c r="F16" t="s">
        <v>1372</v>
      </c>
      <c r="G16" t="s">
        <v>1286</v>
      </c>
      <c r="H16" t="s">
        <v>1293</v>
      </c>
      <c r="I16" t="s">
        <v>1288</v>
      </c>
      <c r="J16" t="s">
        <v>1289</v>
      </c>
      <c r="K16" t="s">
        <v>1290</v>
      </c>
      <c r="L16" t="s">
        <v>1372</v>
      </c>
      <c r="M16" t="s">
        <v>1373</v>
      </c>
      <c r="N16" t="s">
        <v>1367</v>
      </c>
      <c r="O16" t="s">
        <v>66</v>
      </c>
    </row>
    <row r="17" spans="3:15" x14ac:dyDescent="0.35">
      <c r="C17" t="s">
        <v>352</v>
      </c>
      <c r="D17" t="s">
        <v>1013</v>
      </c>
      <c r="E17" t="s">
        <v>1389</v>
      </c>
      <c r="F17" t="s">
        <v>1375</v>
      </c>
      <c r="G17" t="s">
        <v>1286</v>
      </c>
      <c r="H17" t="s">
        <v>1293</v>
      </c>
      <c r="I17" t="s">
        <v>1288</v>
      </c>
      <c r="J17" t="s">
        <v>1289</v>
      </c>
      <c r="K17" t="s">
        <v>1290</v>
      </c>
      <c r="L17" t="s">
        <v>1375</v>
      </c>
      <c r="M17" t="s">
        <v>1376</v>
      </c>
      <c r="N17" t="s">
        <v>1367</v>
      </c>
      <c r="O17" t="s">
        <v>66</v>
      </c>
    </row>
    <row r="18" spans="3:15" x14ac:dyDescent="0.35">
      <c r="C18" t="s">
        <v>352</v>
      </c>
      <c r="D18" t="s">
        <v>1013</v>
      </c>
      <c r="E18" t="s">
        <v>1390</v>
      </c>
      <c r="F18" t="s">
        <v>1384</v>
      </c>
      <c r="G18" t="s">
        <v>1286</v>
      </c>
      <c r="H18" t="s">
        <v>1293</v>
      </c>
      <c r="I18" t="s">
        <v>1288</v>
      </c>
      <c r="J18" t="s">
        <v>1289</v>
      </c>
      <c r="K18" t="s">
        <v>1290</v>
      </c>
      <c r="L18" t="s">
        <v>1384</v>
      </c>
      <c r="M18" t="s">
        <v>1385</v>
      </c>
      <c r="N18" t="s">
        <v>1367</v>
      </c>
      <c r="O18" t="s">
        <v>66</v>
      </c>
    </row>
    <row r="19" spans="3:15" x14ac:dyDescent="0.35">
      <c r="C19" t="s">
        <v>352</v>
      </c>
      <c r="D19" t="s">
        <v>1013</v>
      </c>
      <c r="E19" t="s">
        <v>1391</v>
      </c>
      <c r="F19" t="s">
        <v>1372</v>
      </c>
      <c r="G19" t="s">
        <v>1286</v>
      </c>
      <c r="H19" t="s">
        <v>1293</v>
      </c>
      <c r="I19" t="s">
        <v>1288</v>
      </c>
      <c r="J19" t="s">
        <v>1298</v>
      </c>
      <c r="K19" t="s">
        <v>1290</v>
      </c>
      <c r="L19" t="s">
        <v>1372</v>
      </c>
      <c r="M19" t="s">
        <v>1373</v>
      </c>
      <c r="N19" t="s">
        <v>1367</v>
      </c>
      <c r="O19" t="s">
        <v>66</v>
      </c>
    </row>
    <row r="20" spans="3:15" x14ac:dyDescent="0.35">
      <c r="C20" t="s">
        <v>352</v>
      </c>
      <c r="D20" t="s">
        <v>1013</v>
      </c>
      <c r="E20" t="s">
        <v>1392</v>
      </c>
      <c r="F20" t="s">
        <v>1375</v>
      </c>
      <c r="G20" t="s">
        <v>1286</v>
      </c>
      <c r="H20" t="s">
        <v>1293</v>
      </c>
      <c r="I20" t="s">
        <v>1288</v>
      </c>
      <c r="J20" t="s">
        <v>1298</v>
      </c>
      <c r="K20" t="s">
        <v>1290</v>
      </c>
      <c r="L20" t="s">
        <v>1375</v>
      </c>
      <c r="M20" t="s">
        <v>1376</v>
      </c>
      <c r="N20" t="s">
        <v>1367</v>
      </c>
      <c r="O20" t="s">
        <v>66</v>
      </c>
    </row>
    <row r="21" spans="3:15" x14ac:dyDescent="0.35">
      <c r="C21" t="s">
        <v>352</v>
      </c>
      <c r="D21" t="s">
        <v>1013</v>
      </c>
      <c r="E21" t="s">
        <v>1393</v>
      </c>
      <c r="F21" t="s">
        <v>1394</v>
      </c>
      <c r="G21" t="s">
        <v>1286</v>
      </c>
      <c r="H21" t="s">
        <v>1293</v>
      </c>
      <c r="I21" t="s">
        <v>1288</v>
      </c>
      <c r="J21" t="s">
        <v>1395</v>
      </c>
      <c r="K21" t="s">
        <v>1290</v>
      </c>
      <c r="L21" t="s">
        <v>1394</v>
      </c>
      <c r="M21" t="s">
        <v>1396</v>
      </c>
      <c r="N21" t="s">
        <v>1367</v>
      </c>
      <c r="O21" t="s">
        <v>66</v>
      </c>
    </row>
    <row r="22" spans="3:15" x14ac:dyDescent="0.35">
      <c r="C22" t="s">
        <v>352</v>
      </c>
      <c r="D22" t="s">
        <v>1013</v>
      </c>
      <c r="E22" t="s">
        <v>1397</v>
      </c>
      <c r="F22" t="s">
        <v>1365</v>
      </c>
      <c r="G22" t="s">
        <v>1286</v>
      </c>
      <c r="H22" t="s">
        <v>1293</v>
      </c>
      <c r="I22" t="s">
        <v>1288</v>
      </c>
      <c r="J22" t="s">
        <v>1289</v>
      </c>
      <c r="K22" t="s">
        <v>1290</v>
      </c>
      <c r="L22" t="s">
        <v>1365</v>
      </c>
      <c r="M22" t="s">
        <v>1366</v>
      </c>
      <c r="N22" t="s">
        <v>1367</v>
      </c>
      <c r="O22" t="s">
        <v>66</v>
      </c>
    </row>
    <row r="23" spans="3:15" x14ac:dyDescent="0.35">
      <c r="C23" t="s">
        <v>352</v>
      </c>
      <c r="D23" t="s">
        <v>1013</v>
      </c>
      <c r="E23" t="s">
        <v>1398</v>
      </c>
      <c r="F23" t="s">
        <v>1399</v>
      </c>
      <c r="G23" t="s">
        <v>1286</v>
      </c>
      <c r="H23" t="s">
        <v>1293</v>
      </c>
      <c r="I23" t="s">
        <v>1288</v>
      </c>
      <c r="J23" t="s">
        <v>1289</v>
      </c>
      <c r="K23" t="s">
        <v>1290</v>
      </c>
      <c r="L23" t="s">
        <v>1399</v>
      </c>
      <c r="M23" t="s">
        <v>1400</v>
      </c>
      <c r="N23" t="s">
        <v>1367</v>
      </c>
      <c r="O23" t="s">
        <v>66</v>
      </c>
    </row>
    <row r="24" spans="3:15" x14ac:dyDescent="0.35">
      <c r="C24" t="s">
        <v>352</v>
      </c>
      <c r="D24" t="s">
        <v>1013</v>
      </c>
      <c r="E24" t="s">
        <v>1401</v>
      </c>
      <c r="F24" t="s">
        <v>1402</v>
      </c>
      <c r="G24" t="s">
        <v>1286</v>
      </c>
      <c r="H24" t="s">
        <v>1293</v>
      </c>
      <c r="I24" t="s">
        <v>1288</v>
      </c>
      <c r="J24" t="s">
        <v>1289</v>
      </c>
      <c r="K24" t="s">
        <v>1290</v>
      </c>
      <c r="L24" t="s">
        <v>1402</v>
      </c>
      <c r="M24" t="s">
        <v>1403</v>
      </c>
      <c r="N24" t="s">
        <v>1367</v>
      </c>
      <c r="O24" t="s">
        <v>66</v>
      </c>
    </row>
    <row r="25" spans="3:15" x14ac:dyDescent="0.35">
      <c r="C25" t="s">
        <v>352</v>
      </c>
      <c r="D25" t="s">
        <v>1013</v>
      </c>
      <c r="E25" t="s">
        <v>1404</v>
      </c>
      <c r="F25" t="s">
        <v>1399</v>
      </c>
      <c r="G25" t="s">
        <v>1286</v>
      </c>
      <c r="H25" t="s">
        <v>1293</v>
      </c>
      <c r="I25" t="s">
        <v>1288</v>
      </c>
      <c r="J25" t="s">
        <v>1289</v>
      </c>
      <c r="K25" t="s">
        <v>1290</v>
      </c>
      <c r="L25" t="s">
        <v>1399</v>
      </c>
      <c r="M25" t="s">
        <v>1400</v>
      </c>
      <c r="N25" t="s">
        <v>1367</v>
      </c>
      <c r="O25" t="s">
        <v>66</v>
      </c>
    </row>
    <row r="26" spans="3:15" x14ac:dyDescent="0.35">
      <c r="C26" t="s">
        <v>352</v>
      </c>
      <c r="D26" t="s">
        <v>1013</v>
      </c>
      <c r="E26" t="s">
        <v>1405</v>
      </c>
      <c r="F26" t="s">
        <v>1402</v>
      </c>
      <c r="G26" t="s">
        <v>1286</v>
      </c>
      <c r="H26" t="s">
        <v>1293</v>
      </c>
      <c r="I26" t="s">
        <v>1288</v>
      </c>
      <c r="J26" t="s">
        <v>1289</v>
      </c>
      <c r="K26" t="s">
        <v>1290</v>
      </c>
      <c r="L26" t="s">
        <v>1402</v>
      </c>
      <c r="M26" t="s">
        <v>1403</v>
      </c>
      <c r="N26" t="s">
        <v>1367</v>
      </c>
      <c r="O26" t="s">
        <v>66</v>
      </c>
    </row>
    <row r="27" spans="3:15" x14ac:dyDescent="0.35">
      <c r="C27" t="s">
        <v>352</v>
      </c>
      <c r="D27" t="s">
        <v>1013</v>
      </c>
      <c r="E27" t="s">
        <v>1406</v>
      </c>
      <c r="F27" t="s">
        <v>1407</v>
      </c>
      <c r="G27" t="s">
        <v>1286</v>
      </c>
      <c r="H27" t="s">
        <v>1293</v>
      </c>
      <c r="I27" t="s">
        <v>1288</v>
      </c>
      <c r="J27" t="s">
        <v>1289</v>
      </c>
      <c r="K27" t="s">
        <v>1290</v>
      </c>
      <c r="L27" t="s">
        <v>1407</v>
      </c>
      <c r="M27" t="s">
        <v>1408</v>
      </c>
      <c r="N27" t="s">
        <v>1367</v>
      </c>
      <c r="O27" t="s">
        <v>66</v>
      </c>
    </row>
    <row r="28" spans="3:15" x14ac:dyDescent="0.35">
      <c r="C28" t="s">
        <v>352</v>
      </c>
      <c r="D28" t="s">
        <v>1013</v>
      </c>
      <c r="E28" t="s">
        <v>1409</v>
      </c>
      <c r="F28" t="s">
        <v>1365</v>
      </c>
      <c r="G28" t="s">
        <v>1286</v>
      </c>
      <c r="H28" t="s">
        <v>1293</v>
      </c>
      <c r="I28" t="s">
        <v>1288</v>
      </c>
      <c r="J28" t="s">
        <v>1395</v>
      </c>
      <c r="K28" t="s">
        <v>1290</v>
      </c>
      <c r="L28" t="s">
        <v>1365</v>
      </c>
      <c r="M28" t="s">
        <v>1366</v>
      </c>
      <c r="N28" t="s">
        <v>1367</v>
      </c>
      <c r="O28" t="s">
        <v>66</v>
      </c>
    </row>
    <row r="29" spans="3:15" x14ac:dyDescent="0.35">
      <c r="C29" t="s">
        <v>352</v>
      </c>
      <c r="D29" t="s">
        <v>1013</v>
      </c>
      <c r="E29" t="s">
        <v>1410</v>
      </c>
      <c r="F29" t="s">
        <v>1375</v>
      </c>
      <c r="G29" t="s">
        <v>1286</v>
      </c>
      <c r="H29" t="s">
        <v>1293</v>
      </c>
      <c r="I29" t="s">
        <v>1288</v>
      </c>
      <c r="J29" t="s">
        <v>1289</v>
      </c>
      <c r="K29" t="s">
        <v>1290</v>
      </c>
      <c r="L29" t="s">
        <v>1375</v>
      </c>
      <c r="M29" t="s">
        <v>1376</v>
      </c>
      <c r="N29" t="s">
        <v>1367</v>
      </c>
      <c r="O29" t="s">
        <v>66</v>
      </c>
    </row>
    <row r="30" spans="3:15" x14ac:dyDescent="0.35">
      <c r="C30" t="s">
        <v>352</v>
      </c>
      <c r="D30" t="s">
        <v>1013</v>
      </c>
      <c r="E30" t="s">
        <v>1411</v>
      </c>
      <c r="F30" t="s">
        <v>1412</v>
      </c>
      <c r="G30" t="s">
        <v>1286</v>
      </c>
      <c r="H30" t="s">
        <v>1293</v>
      </c>
      <c r="I30" t="s">
        <v>1288</v>
      </c>
      <c r="J30" t="s">
        <v>1289</v>
      </c>
      <c r="K30" t="s">
        <v>1290</v>
      </c>
      <c r="L30" t="s">
        <v>1412</v>
      </c>
      <c r="M30" t="s">
        <v>1413</v>
      </c>
      <c r="N30" t="s">
        <v>1367</v>
      </c>
      <c r="O30" t="s">
        <v>66</v>
      </c>
    </row>
    <row r="31" spans="3:15" x14ac:dyDescent="0.35">
      <c r="C31" t="s">
        <v>352</v>
      </c>
      <c r="D31" t="s">
        <v>1013</v>
      </c>
      <c r="E31" t="s">
        <v>1414</v>
      </c>
      <c r="F31" t="s">
        <v>1412</v>
      </c>
      <c r="G31" t="s">
        <v>1286</v>
      </c>
      <c r="H31" t="s">
        <v>1293</v>
      </c>
      <c r="I31" t="s">
        <v>1288</v>
      </c>
      <c r="J31" t="s">
        <v>1289</v>
      </c>
      <c r="K31" t="s">
        <v>1290</v>
      </c>
      <c r="L31" t="s">
        <v>1412</v>
      </c>
      <c r="M31" t="s">
        <v>1413</v>
      </c>
      <c r="N31" t="s">
        <v>1367</v>
      </c>
      <c r="O31" t="s">
        <v>66</v>
      </c>
    </row>
    <row r="32" spans="3:15" x14ac:dyDescent="0.35">
      <c r="C32" t="s">
        <v>352</v>
      </c>
      <c r="D32" t="s">
        <v>1013</v>
      </c>
      <c r="E32" t="s">
        <v>1415</v>
      </c>
      <c r="F32" t="s">
        <v>1412</v>
      </c>
      <c r="G32" t="s">
        <v>1286</v>
      </c>
      <c r="H32" t="s">
        <v>1293</v>
      </c>
      <c r="I32" t="s">
        <v>1288</v>
      </c>
      <c r="J32" t="s">
        <v>1289</v>
      </c>
      <c r="K32" t="s">
        <v>1290</v>
      </c>
      <c r="L32" t="s">
        <v>1412</v>
      </c>
      <c r="M32" t="s">
        <v>1413</v>
      </c>
      <c r="N32" t="s">
        <v>1367</v>
      </c>
      <c r="O32" t="s">
        <v>66</v>
      </c>
    </row>
    <row r="33" spans="3:15" x14ac:dyDescent="0.35">
      <c r="C33" t="s">
        <v>352</v>
      </c>
      <c r="D33" t="s">
        <v>1013</v>
      </c>
      <c r="E33" t="s">
        <v>1416</v>
      </c>
      <c r="F33" t="s">
        <v>1372</v>
      </c>
      <c r="G33" t="s">
        <v>1286</v>
      </c>
      <c r="H33" t="s">
        <v>1293</v>
      </c>
      <c r="I33" t="s">
        <v>1288</v>
      </c>
      <c r="J33" t="s">
        <v>1289</v>
      </c>
      <c r="K33" t="s">
        <v>1290</v>
      </c>
      <c r="L33" t="s">
        <v>1372</v>
      </c>
      <c r="M33" t="s">
        <v>1373</v>
      </c>
      <c r="N33" t="s">
        <v>1367</v>
      </c>
      <c r="O33" t="s">
        <v>66</v>
      </c>
    </row>
    <row r="34" spans="3:15" x14ac:dyDescent="0.35">
      <c r="C34" t="s">
        <v>352</v>
      </c>
      <c r="D34" t="s">
        <v>1013</v>
      </c>
      <c r="E34" t="s">
        <v>1417</v>
      </c>
      <c r="F34" t="s">
        <v>1372</v>
      </c>
      <c r="G34" t="s">
        <v>1286</v>
      </c>
      <c r="H34" t="s">
        <v>1293</v>
      </c>
      <c r="I34" t="s">
        <v>1288</v>
      </c>
      <c r="J34" t="s">
        <v>1289</v>
      </c>
      <c r="K34" t="s">
        <v>1290</v>
      </c>
      <c r="L34" t="s">
        <v>1372</v>
      </c>
      <c r="M34" t="s">
        <v>1373</v>
      </c>
      <c r="N34" t="s">
        <v>1367</v>
      </c>
      <c r="O34" t="s">
        <v>66</v>
      </c>
    </row>
    <row r="35" spans="3:15" x14ac:dyDescent="0.35">
      <c r="C35" t="s">
        <v>352</v>
      </c>
      <c r="D35" t="s">
        <v>1013</v>
      </c>
      <c r="E35" t="s">
        <v>1418</v>
      </c>
      <c r="F35" t="s">
        <v>1375</v>
      </c>
      <c r="G35" t="s">
        <v>1286</v>
      </c>
      <c r="H35" t="s">
        <v>1293</v>
      </c>
      <c r="I35" t="s">
        <v>1288</v>
      </c>
      <c r="J35" t="s">
        <v>1289</v>
      </c>
      <c r="K35" t="s">
        <v>1290</v>
      </c>
      <c r="L35" t="s">
        <v>1375</v>
      </c>
      <c r="M35" t="s">
        <v>1376</v>
      </c>
      <c r="N35" t="s">
        <v>1367</v>
      </c>
      <c r="O35" t="s">
        <v>66</v>
      </c>
    </row>
  </sheetData>
  <conditionalFormatting sqref="A4">
    <cfRule type="cellIs" dxfId="5" priority="1" operator="equal">
      <formula>"No Work Order Entered"</formula>
    </cfRule>
  </conditionalFormatting>
  <hyperlinks>
    <hyperlink ref="A6" location="Data!A1" display="Data Tab"/>
    <hyperlink ref="A5" location="Pareto!A1" display="Pareto"/>
    <hyperlink ref="A7" location="'Summary Recommendations'!A1" display="Summary"/>
    <hyperlink ref="A4" location="'Table Of Contents - Order'!A1" display="Table of Contents"/>
  </hyperlink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7" tint="0.39997558519241921"/>
  </sheetPr>
  <dimension ref="A1:O10"/>
  <sheetViews>
    <sheetView workbookViewId="0"/>
  </sheetViews>
  <sheetFormatPr defaultRowHeight="14.5" x14ac:dyDescent="0.35"/>
  <cols>
    <col min="1" max="1" width="16.7265625" bestFit="1" customWidth="1"/>
    <col min="2" max="2" width="18" style="1" customWidth="1"/>
    <col min="3" max="3" width="10.453125" style="1" customWidth="1"/>
    <col min="4" max="4" width="12.1796875" style="1" customWidth="1"/>
    <col min="5" max="5" width="14.453125" style="1" customWidth="1"/>
    <col min="6" max="6" width="86.54296875" style="1" customWidth="1"/>
    <col min="7" max="7" width="17.26953125" style="1" customWidth="1"/>
    <col min="8" max="8" width="10.7265625" style="1" customWidth="1"/>
    <col min="9" max="9" width="14.1796875" style="1" customWidth="1"/>
    <col min="10" max="10" width="17.81640625" style="1" customWidth="1"/>
    <col min="11" max="11" width="27.1796875" style="1" customWidth="1"/>
    <col min="12" max="12" width="86.26953125" style="1" customWidth="1"/>
    <col min="13" max="13" width="17.26953125" customWidth="1"/>
    <col min="14" max="14" width="19" customWidth="1"/>
    <col min="15" max="15" width="14.54296875" customWidth="1"/>
  </cols>
  <sheetData>
    <row r="1" spans="1:15" ht="15" customHeight="1" x14ac:dyDescent="0.35">
      <c r="A1" t="s">
        <v>233</v>
      </c>
    </row>
    <row r="2" spans="1:15" ht="15" customHeight="1" x14ac:dyDescent="0.35">
      <c r="A2" s="111" t="s">
        <v>179</v>
      </c>
      <c r="B2" s="116"/>
      <c r="C2" t="s">
        <v>1272</v>
      </c>
      <c r="D2" t="s">
        <v>1271</v>
      </c>
      <c r="E2" t="s">
        <v>1311</v>
      </c>
      <c r="F2" t="s">
        <v>1312</v>
      </c>
      <c r="G2" t="s">
        <v>1313</v>
      </c>
      <c r="H2" t="s">
        <v>1314</v>
      </c>
      <c r="I2" t="s">
        <v>1315</v>
      </c>
      <c r="J2" t="s">
        <v>1318</v>
      </c>
      <c r="K2" t="s">
        <v>1316</v>
      </c>
      <c r="L2" t="s">
        <v>1317</v>
      </c>
      <c r="M2" t="s">
        <v>1319</v>
      </c>
      <c r="N2" t="s">
        <v>1320</v>
      </c>
      <c r="O2" t="s">
        <v>1321</v>
      </c>
    </row>
    <row r="3" spans="1:15" ht="15" customHeight="1" x14ac:dyDescent="0.35">
      <c r="A3" s="91" t="s">
        <v>171</v>
      </c>
      <c r="C3" t="s">
        <v>1013</v>
      </c>
      <c r="D3" t="s">
        <v>352</v>
      </c>
      <c r="E3">
        <v>62400004002</v>
      </c>
      <c r="F3" t="s">
        <v>1419</v>
      </c>
      <c r="G3" t="s">
        <v>1367</v>
      </c>
      <c r="H3" t="s">
        <v>1323</v>
      </c>
      <c r="I3">
        <v>1</v>
      </c>
      <c r="J3">
        <v>1</v>
      </c>
      <c r="K3" t="s">
        <v>1420</v>
      </c>
      <c r="L3" t="s">
        <v>1419</v>
      </c>
      <c r="M3" t="s">
        <v>1421</v>
      </c>
      <c r="N3" t="s">
        <v>1422</v>
      </c>
      <c r="O3">
        <v>1</v>
      </c>
    </row>
    <row r="4" spans="1:15" ht="15" customHeight="1" x14ac:dyDescent="0.35">
      <c r="A4" s="91" t="s">
        <v>170</v>
      </c>
      <c r="C4" t="s">
        <v>1013</v>
      </c>
      <c r="D4" t="s">
        <v>352</v>
      </c>
      <c r="E4">
        <v>62400002536</v>
      </c>
      <c r="F4" t="s">
        <v>1423</v>
      </c>
      <c r="G4" t="s">
        <v>1367</v>
      </c>
      <c r="H4" t="s">
        <v>1323</v>
      </c>
      <c r="I4">
        <v>1</v>
      </c>
      <c r="J4">
        <v>0</v>
      </c>
      <c r="K4" t="s">
        <v>1424</v>
      </c>
      <c r="L4" t="s">
        <v>1423</v>
      </c>
      <c r="M4" t="s">
        <v>1425</v>
      </c>
      <c r="N4" t="s">
        <v>1426</v>
      </c>
      <c r="O4">
        <v>1</v>
      </c>
    </row>
    <row r="5" spans="1:15" ht="15" customHeight="1" x14ac:dyDescent="0.35">
      <c r="A5" s="99" t="s">
        <v>174</v>
      </c>
      <c r="C5" t="s">
        <v>1013</v>
      </c>
      <c r="D5" t="s">
        <v>352</v>
      </c>
      <c r="E5">
        <v>60400003064</v>
      </c>
      <c r="F5" t="s">
        <v>1427</v>
      </c>
      <c r="G5" t="s">
        <v>1367</v>
      </c>
      <c r="H5" t="s">
        <v>1323</v>
      </c>
      <c r="I5">
        <v>1</v>
      </c>
      <c r="J5">
        <v>0</v>
      </c>
      <c r="K5" t="s">
        <v>1428</v>
      </c>
      <c r="L5" t="s">
        <v>1427</v>
      </c>
      <c r="M5" t="s">
        <v>1429</v>
      </c>
      <c r="N5" t="s">
        <v>1426</v>
      </c>
      <c r="O5">
        <v>1</v>
      </c>
    </row>
    <row r="6" spans="1:15" ht="15" customHeight="1" x14ac:dyDescent="0.35">
      <c r="A6" s="100"/>
      <c r="C6" t="s">
        <v>1013</v>
      </c>
      <c r="D6" t="s">
        <v>352</v>
      </c>
      <c r="E6">
        <v>60400003063</v>
      </c>
      <c r="F6" t="s">
        <v>1430</v>
      </c>
      <c r="G6" t="s">
        <v>1367</v>
      </c>
      <c r="H6" t="s">
        <v>1323</v>
      </c>
      <c r="I6">
        <v>1</v>
      </c>
      <c r="J6">
        <v>1</v>
      </c>
      <c r="K6" t="s">
        <v>1431</v>
      </c>
      <c r="L6" t="s">
        <v>1430</v>
      </c>
      <c r="M6" t="s">
        <v>1432</v>
      </c>
      <c r="N6" t="s">
        <v>1426</v>
      </c>
      <c r="O6">
        <v>1</v>
      </c>
    </row>
    <row r="7" spans="1:15" x14ac:dyDescent="0.35">
      <c r="A7" s="100"/>
      <c r="C7" t="s">
        <v>1013</v>
      </c>
      <c r="D7" t="s">
        <v>352</v>
      </c>
      <c r="E7">
        <v>45000029091</v>
      </c>
      <c r="F7" t="s">
        <v>1433</v>
      </c>
      <c r="G7" t="s">
        <v>1367</v>
      </c>
      <c r="H7" t="s">
        <v>1323</v>
      </c>
      <c r="I7">
        <v>2</v>
      </c>
      <c r="J7">
        <v>5</v>
      </c>
      <c r="K7" t="s">
        <v>1434</v>
      </c>
      <c r="L7" t="s">
        <v>1433</v>
      </c>
      <c r="M7" t="s">
        <v>1435</v>
      </c>
      <c r="N7" t="s">
        <v>1436</v>
      </c>
      <c r="O7">
        <v>1</v>
      </c>
    </row>
    <row r="8" spans="1:15" x14ac:dyDescent="0.35">
      <c r="A8" s="100"/>
      <c r="C8" t="s">
        <v>1013</v>
      </c>
      <c r="D8" t="s">
        <v>352</v>
      </c>
      <c r="E8">
        <v>18000000046</v>
      </c>
      <c r="F8" t="s">
        <v>1437</v>
      </c>
      <c r="G8" t="s">
        <v>1367</v>
      </c>
      <c r="H8" t="s">
        <v>1323</v>
      </c>
      <c r="I8">
        <v>4</v>
      </c>
      <c r="J8">
        <v>5</v>
      </c>
      <c r="K8" t="s">
        <v>1438</v>
      </c>
      <c r="L8" t="s">
        <v>1437</v>
      </c>
      <c r="M8" t="s">
        <v>1439</v>
      </c>
      <c r="N8" t="s">
        <v>1440</v>
      </c>
      <c r="O8">
        <v>2</v>
      </c>
    </row>
    <row r="9" spans="1:15" x14ac:dyDescent="0.35">
      <c r="C9" t="s">
        <v>1013</v>
      </c>
      <c r="D9" t="s">
        <v>352</v>
      </c>
      <c r="E9">
        <v>18000000045</v>
      </c>
      <c r="F9" t="s">
        <v>1441</v>
      </c>
      <c r="G9" t="s">
        <v>1367</v>
      </c>
      <c r="H9" t="s">
        <v>1323</v>
      </c>
      <c r="I9">
        <v>1</v>
      </c>
      <c r="J9">
        <v>1</v>
      </c>
      <c r="K9" t="s">
        <v>1442</v>
      </c>
      <c r="L9" t="s">
        <v>1441</v>
      </c>
      <c r="M9" t="s">
        <v>1443</v>
      </c>
      <c r="N9" t="s">
        <v>1444</v>
      </c>
      <c r="O9">
        <v>2</v>
      </c>
    </row>
    <row r="10" spans="1:15" x14ac:dyDescent="0.35">
      <c r="C10" t="s">
        <v>1013</v>
      </c>
      <c r="D10" t="s">
        <v>352</v>
      </c>
      <c r="E10">
        <v>6900000220</v>
      </c>
      <c r="F10" t="s">
        <v>1445</v>
      </c>
      <c r="G10" t="s">
        <v>1367</v>
      </c>
      <c r="H10" t="s">
        <v>1323</v>
      </c>
      <c r="I10">
        <v>2</v>
      </c>
      <c r="J10">
        <v>2</v>
      </c>
      <c r="K10" t="s">
        <v>1446</v>
      </c>
      <c r="L10" t="s">
        <v>1445</v>
      </c>
      <c r="M10" t="s">
        <v>1447</v>
      </c>
      <c r="N10" t="s">
        <v>1426</v>
      </c>
      <c r="O10">
        <v>1</v>
      </c>
    </row>
  </sheetData>
  <conditionalFormatting sqref="A2">
    <cfRule type="cellIs" dxfId="4" priority="1" operator="equal">
      <formula>"No Work Order Entered"</formula>
    </cfRule>
  </conditionalFormatting>
  <hyperlinks>
    <hyperlink ref="A4" location="Data!A1" display="Data Tab"/>
    <hyperlink ref="A3" location="Pareto!A1" display="Pareto"/>
    <hyperlink ref="A5" location="'Summary Recommendations'!A1" display="Summary"/>
    <hyperlink ref="A2" location="'Table Of Contents - Order'!A1" display="Table of Contents"/>
  </hyperlink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pageSetUpPr fitToPage="1"/>
  </sheetPr>
  <dimension ref="A1:Y43"/>
  <sheetViews>
    <sheetView topLeftCell="A2" zoomScale="80" zoomScaleNormal="80" workbookViewId="0">
      <pane ySplit="2" topLeftCell="A4" activePane="bottomLeft" state="frozen"/>
      <selection activeCell="A2" sqref="A2"/>
      <selection pane="bottomLeft" activeCell="A12" sqref="A12"/>
    </sheetView>
  </sheetViews>
  <sheetFormatPr defaultRowHeight="14.5" x14ac:dyDescent="0.35"/>
  <cols>
    <col min="1" max="1" width="21.81640625" customWidth="1"/>
    <col min="2" max="2" width="40.7265625" customWidth="1"/>
    <col min="3" max="4" width="17.81640625" style="154" customWidth="1"/>
    <col min="5" max="5" width="5.7265625" style="154" customWidth="1"/>
    <col min="6" max="7" width="10.1796875" style="154" customWidth="1"/>
    <col min="8" max="8" width="5.7265625" style="154" customWidth="1"/>
    <col min="9" max="10" width="9.81640625" style="154" customWidth="1"/>
    <col min="11" max="11" width="5.7265625" style="154" customWidth="1"/>
    <col min="12" max="13" width="9.81640625" style="154" customWidth="1"/>
    <col min="14" max="14" width="5.7265625" style="154" customWidth="1"/>
    <col min="15" max="16" width="9.81640625" style="154" customWidth="1"/>
    <col min="17" max="17" width="5.7265625" style="154" customWidth="1"/>
    <col min="18" max="18" width="11.54296875" style="154" customWidth="1"/>
    <col min="21" max="21" width="15.1796875" style="154" customWidth="1"/>
    <col min="22" max="22" width="12.1796875" style="154" customWidth="1"/>
    <col min="23" max="23" width="9.1796875" style="154"/>
    <col min="24" max="24" width="11.54296875" style="154" customWidth="1"/>
    <col min="25" max="25" width="15.26953125" style="154" customWidth="1"/>
  </cols>
  <sheetData>
    <row r="1" spans="1:25" ht="15" hidden="1" customHeight="1" x14ac:dyDescent="0.35">
      <c r="B1" s="126" t="s">
        <v>182</v>
      </c>
      <c r="C1" s="194" t="s">
        <v>1271</v>
      </c>
      <c r="D1" s="194" t="s">
        <v>1486</v>
      </c>
      <c r="U1" s="237"/>
      <c r="V1" s="237"/>
      <c r="W1" s="237"/>
      <c r="X1" s="237"/>
    </row>
    <row r="2" spans="1:25" x14ac:dyDescent="0.35">
      <c r="C2" s="115" t="s">
        <v>1479</v>
      </c>
      <c r="D2" s="115"/>
      <c r="E2" s="115" t="s">
        <v>118</v>
      </c>
      <c r="F2" s="115" t="s">
        <v>1478</v>
      </c>
      <c r="G2" s="115"/>
      <c r="H2" s="115" t="s">
        <v>118</v>
      </c>
      <c r="I2" s="115" t="s">
        <v>352</v>
      </c>
      <c r="J2" s="115"/>
      <c r="K2" s="115" t="s">
        <v>118</v>
      </c>
      <c r="L2" s="115" t="s">
        <v>1475</v>
      </c>
      <c r="M2" s="115"/>
      <c r="N2" s="115" t="s">
        <v>118</v>
      </c>
      <c r="O2" s="115" t="s">
        <v>1473</v>
      </c>
      <c r="P2" s="115"/>
      <c r="Q2" s="115" t="s">
        <v>118</v>
      </c>
      <c r="R2" s="115" t="s">
        <v>1448</v>
      </c>
      <c r="U2" s="237"/>
      <c r="V2" s="237"/>
      <c r="W2" s="237"/>
      <c r="X2" s="237"/>
    </row>
    <row r="3" spans="1:25" ht="21.75" customHeight="1" x14ac:dyDescent="0.45">
      <c r="B3" s="126" t="s">
        <v>2</v>
      </c>
      <c r="C3" s="115" t="s">
        <v>66</v>
      </c>
      <c r="D3" s="115" t="s">
        <v>1485</v>
      </c>
      <c r="E3" s="115"/>
      <c r="F3" s="115" t="s">
        <v>66</v>
      </c>
      <c r="G3" s="115" t="s">
        <v>1485</v>
      </c>
      <c r="H3" s="115"/>
      <c r="I3" s="115" t="s">
        <v>66</v>
      </c>
      <c r="J3" s="115" t="s">
        <v>1485</v>
      </c>
      <c r="K3" s="115"/>
      <c r="L3" s="115" t="s">
        <v>66</v>
      </c>
      <c r="M3" s="115" t="s">
        <v>1485</v>
      </c>
      <c r="N3" s="115"/>
      <c r="O3" s="115" t="s">
        <v>66</v>
      </c>
      <c r="P3" s="115" t="s">
        <v>1485</v>
      </c>
      <c r="Q3" s="115"/>
      <c r="R3" s="115"/>
      <c r="U3" s="193" t="s">
        <v>1484</v>
      </c>
      <c r="V3" s="117" t="s">
        <v>1483</v>
      </c>
      <c r="W3" s="117" t="s">
        <v>1482</v>
      </c>
      <c r="X3" s="117" t="s">
        <v>118</v>
      </c>
      <c r="Y3" s="192" t="s">
        <v>1481</v>
      </c>
    </row>
    <row r="4" spans="1:25" ht="18.5" x14ac:dyDescent="0.45">
      <c r="A4" s="9" t="s">
        <v>235</v>
      </c>
      <c r="B4" t="s">
        <v>1480</v>
      </c>
      <c r="C4" s="186">
        <v>4</v>
      </c>
      <c r="D4" s="186"/>
      <c r="E4" s="186">
        <v>4</v>
      </c>
      <c r="F4" s="186">
        <v>4</v>
      </c>
      <c r="G4" s="186"/>
      <c r="H4" s="186">
        <v>4</v>
      </c>
      <c r="I4" s="186"/>
      <c r="J4" s="186"/>
      <c r="K4" s="186"/>
      <c r="L4" s="186"/>
      <c r="M4" s="186">
        <v>2</v>
      </c>
      <c r="N4" s="186">
        <v>2</v>
      </c>
      <c r="O4" s="186">
        <v>2</v>
      </c>
      <c r="P4" s="186"/>
      <c r="Q4" s="186">
        <v>2</v>
      </c>
      <c r="R4" s="186">
        <v>12</v>
      </c>
      <c r="U4" s="118" t="s">
        <v>1479</v>
      </c>
      <c r="V4" s="191">
        <f>C38</f>
        <v>200</v>
      </c>
      <c r="W4" s="117">
        <f>D38</f>
        <v>56</v>
      </c>
      <c r="X4" s="191">
        <f>V4+W4</f>
        <v>256</v>
      </c>
      <c r="Y4" s="119">
        <f>V4/X4</f>
        <v>0.78125</v>
      </c>
    </row>
    <row r="5" spans="1:25" ht="18.5" x14ac:dyDescent="0.45">
      <c r="A5" s="111" t="s">
        <v>179</v>
      </c>
      <c r="B5" t="s">
        <v>183</v>
      </c>
      <c r="C5" s="186">
        <v>7</v>
      </c>
      <c r="D5" s="186"/>
      <c r="E5" s="186">
        <v>7</v>
      </c>
      <c r="F5" s="186">
        <v>6</v>
      </c>
      <c r="G5" s="186"/>
      <c r="H5" s="186">
        <v>6</v>
      </c>
      <c r="I5" s="186">
        <v>4</v>
      </c>
      <c r="J5" s="186"/>
      <c r="K5" s="186">
        <v>4</v>
      </c>
      <c r="L5" s="186">
        <v>9</v>
      </c>
      <c r="M5" s="186"/>
      <c r="N5" s="186">
        <v>9</v>
      </c>
      <c r="O5" s="186">
        <v>4</v>
      </c>
      <c r="P5" s="186"/>
      <c r="Q5" s="186">
        <v>4</v>
      </c>
      <c r="R5" s="186">
        <v>30</v>
      </c>
      <c r="U5" s="118" t="s">
        <v>1478</v>
      </c>
      <c r="V5" s="191">
        <f>F38</f>
        <v>240</v>
      </c>
      <c r="W5" s="117">
        <f>G38</f>
        <v>17</v>
      </c>
      <c r="X5" s="191">
        <f>V5+W5</f>
        <v>257</v>
      </c>
      <c r="Y5" s="119">
        <f>V5/X5</f>
        <v>0.93385214007782102</v>
      </c>
    </row>
    <row r="6" spans="1:25" ht="18.5" x14ac:dyDescent="0.45">
      <c r="A6" s="91" t="s">
        <v>171</v>
      </c>
      <c r="B6" t="s">
        <v>1477</v>
      </c>
      <c r="C6" s="186">
        <v>9</v>
      </c>
      <c r="D6" s="186"/>
      <c r="E6" s="186">
        <v>9</v>
      </c>
      <c r="F6" s="186">
        <v>3</v>
      </c>
      <c r="G6" s="186"/>
      <c r="H6" s="186">
        <v>3</v>
      </c>
      <c r="I6" s="186">
        <v>10</v>
      </c>
      <c r="J6" s="186">
        <v>1</v>
      </c>
      <c r="K6" s="186">
        <v>11</v>
      </c>
      <c r="L6" s="186">
        <v>5</v>
      </c>
      <c r="M6" s="186">
        <v>1</v>
      </c>
      <c r="N6" s="186">
        <v>6</v>
      </c>
      <c r="O6" s="186">
        <v>8</v>
      </c>
      <c r="P6" s="186"/>
      <c r="Q6" s="186">
        <v>8</v>
      </c>
      <c r="R6" s="186">
        <v>37</v>
      </c>
      <c r="U6" s="118" t="s">
        <v>352</v>
      </c>
      <c r="V6" s="191">
        <f>I38</f>
        <v>165</v>
      </c>
      <c r="W6" s="117">
        <f>J38</f>
        <v>5</v>
      </c>
      <c r="X6" s="191">
        <f>V6+W6</f>
        <v>170</v>
      </c>
      <c r="Y6" s="119">
        <f>V6/X6</f>
        <v>0.97058823529411764</v>
      </c>
    </row>
    <row r="7" spans="1:25" ht="18.5" x14ac:dyDescent="0.45">
      <c r="A7" s="91" t="s">
        <v>170</v>
      </c>
      <c r="B7" t="s">
        <v>1476</v>
      </c>
      <c r="C7" s="186">
        <v>21</v>
      </c>
      <c r="D7" s="186">
        <v>4</v>
      </c>
      <c r="E7" s="186">
        <v>25</v>
      </c>
      <c r="F7" s="186">
        <v>30</v>
      </c>
      <c r="G7" s="186">
        <v>1</v>
      </c>
      <c r="H7" s="186">
        <v>31</v>
      </c>
      <c r="I7" s="186">
        <v>13</v>
      </c>
      <c r="J7" s="186">
        <v>1</v>
      </c>
      <c r="K7" s="186">
        <v>14</v>
      </c>
      <c r="L7" s="186">
        <v>27</v>
      </c>
      <c r="M7" s="186">
        <v>9</v>
      </c>
      <c r="N7" s="186">
        <v>36</v>
      </c>
      <c r="O7" s="186">
        <v>36</v>
      </c>
      <c r="P7" s="186">
        <v>2</v>
      </c>
      <c r="Q7" s="186">
        <v>38</v>
      </c>
      <c r="R7" s="186">
        <v>144</v>
      </c>
      <c r="U7" s="118" t="s">
        <v>1475</v>
      </c>
      <c r="V7" s="191">
        <f>L38</f>
        <v>165</v>
      </c>
      <c r="W7" s="117">
        <f>M38</f>
        <v>76</v>
      </c>
      <c r="X7" s="191">
        <f>V7+W7</f>
        <v>241</v>
      </c>
      <c r="Y7" s="119">
        <f>V7/X7</f>
        <v>0.68464730290456433</v>
      </c>
    </row>
    <row r="8" spans="1:25" ht="18.5" x14ac:dyDescent="0.45">
      <c r="A8" s="99" t="s">
        <v>174</v>
      </c>
      <c r="B8" t="s">
        <v>1474</v>
      </c>
      <c r="C8" s="186"/>
      <c r="D8" s="186">
        <v>2</v>
      </c>
      <c r="E8" s="186">
        <v>2</v>
      </c>
      <c r="F8" s="186">
        <v>35</v>
      </c>
      <c r="G8" s="186">
        <v>2</v>
      </c>
      <c r="H8" s="186">
        <v>37</v>
      </c>
      <c r="I8" s="186">
        <v>14</v>
      </c>
      <c r="J8" s="186"/>
      <c r="K8" s="186">
        <v>14</v>
      </c>
      <c r="L8" s="186"/>
      <c r="M8" s="186"/>
      <c r="N8" s="186"/>
      <c r="O8" s="186"/>
      <c r="P8" s="186">
        <v>24</v>
      </c>
      <c r="Q8" s="186">
        <v>24</v>
      </c>
      <c r="R8" s="186">
        <v>77</v>
      </c>
      <c r="U8" s="118" t="s">
        <v>1473</v>
      </c>
      <c r="V8" s="191">
        <f>O38</f>
        <v>216</v>
      </c>
      <c r="W8" s="117">
        <f>P38</f>
        <v>54</v>
      </c>
      <c r="X8" s="191">
        <f>V8+W8</f>
        <v>270</v>
      </c>
      <c r="Y8" s="119">
        <f>V8/X8</f>
        <v>0.8</v>
      </c>
    </row>
    <row r="9" spans="1:25" x14ac:dyDescent="0.35">
      <c r="B9" t="s">
        <v>259</v>
      </c>
      <c r="C9" s="186">
        <v>2</v>
      </c>
      <c r="D9" s="186">
        <v>3</v>
      </c>
      <c r="E9" s="186">
        <v>5</v>
      </c>
      <c r="F9" s="186">
        <v>3</v>
      </c>
      <c r="G9" s="186"/>
      <c r="H9" s="186">
        <v>3</v>
      </c>
      <c r="I9" s="186">
        <v>5</v>
      </c>
      <c r="J9" s="186">
        <v>1</v>
      </c>
      <c r="K9" s="186">
        <v>6</v>
      </c>
      <c r="L9" s="186">
        <v>4</v>
      </c>
      <c r="M9" s="186"/>
      <c r="N9" s="186">
        <v>4</v>
      </c>
      <c r="O9" s="186">
        <v>20</v>
      </c>
      <c r="P9" s="186">
        <v>1</v>
      </c>
      <c r="Q9" s="186">
        <v>21</v>
      </c>
      <c r="R9" s="186">
        <v>39</v>
      </c>
      <c r="U9" s="115"/>
      <c r="V9" s="187"/>
      <c r="W9" s="115"/>
      <c r="X9" s="190"/>
      <c r="Y9" s="189"/>
    </row>
    <row r="10" spans="1:25" ht="18.5" x14ac:dyDescent="0.45">
      <c r="B10" t="s">
        <v>1472</v>
      </c>
      <c r="C10" s="186">
        <v>2</v>
      </c>
      <c r="D10" s="186"/>
      <c r="E10" s="186">
        <v>2</v>
      </c>
      <c r="F10" s="186">
        <v>4</v>
      </c>
      <c r="G10" s="186"/>
      <c r="H10" s="186">
        <v>4</v>
      </c>
      <c r="I10" s="186">
        <v>2</v>
      </c>
      <c r="J10" s="186"/>
      <c r="K10" s="186">
        <v>2</v>
      </c>
      <c r="L10" s="186">
        <v>4</v>
      </c>
      <c r="M10" s="186"/>
      <c r="N10" s="186">
        <v>4</v>
      </c>
      <c r="O10" s="186">
        <v>2</v>
      </c>
      <c r="P10" s="186"/>
      <c r="Q10" s="186">
        <v>2</v>
      </c>
      <c r="R10" s="186">
        <v>14</v>
      </c>
      <c r="U10" s="115"/>
      <c r="V10" s="187"/>
      <c r="X10" s="120" t="s">
        <v>1471</v>
      </c>
      <c r="Y10" s="121">
        <f>AVERAGE(Y4:Y8)</f>
        <v>0.83406753565530045</v>
      </c>
    </row>
    <row r="11" spans="1:25" x14ac:dyDescent="0.35">
      <c r="B11" t="s">
        <v>1470</v>
      </c>
      <c r="C11" s="186">
        <v>1</v>
      </c>
      <c r="D11" s="186"/>
      <c r="E11" s="186">
        <v>1</v>
      </c>
      <c r="F11" s="186"/>
      <c r="G11" s="186"/>
      <c r="H11" s="186"/>
      <c r="I11" s="186"/>
      <c r="J11" s="186"/>
      <c r="K11" s="186"/>
      <c r="L11" s="186"/>
      <c r="M11" s="186"/>
      <c r="N11" s="186"/>
      <c r="O11" s="186"/>
      <c r="P11" s="186"/>
      <c r="Q11" s="186"/>
      <c r="R11" s="186">
        <v>1</v>
      </c>
      <c r="U11" s="115"/>
      <c r="V11" s="187"/>
    </row>
    <row r="12" spans="1:25" x14ac:dyDescent="0.35">
      <c r="B12" t="s">
        <v>265</v>
      </c>
      <c r="C12" s="186">
        <v>15</v>
      </c>
      <c r="D12" s="186">
        <v>3</v>
      </c>
      <c r="E12" s="186">
        <v>18</v>
      </c>
      <c r="F12" s="186">
        <v>35</v>
      </c>
      <c r="G12" s="186">
        <v>3</v>
      </c>
      <c r="H12" s="186">
        <v>38</v>
      </c>
      <c r="I12" s="186">
        <v>13</v>
      </c>
      <c r="J12" s="186"/>
      <c r="K12" s="186">
        <v>13</v>
      </c>
      <c r="L12" s="186">
        <v>37</v>
      </c>
      <c r="M12" s="186">
        <v>2</v>
      </c>
      <c r="N12" s="186">
        <v>39</v>
      </c>
      <c r="O12" s="186">
        <v>28</v>
      </c>
      <c r="P12" s="186">
        <v>8</v>
      </c>
      <c r="Q12" s="186">
        <v>36</v>
      </c>
      <c r="R12" s="186">
        <v>144</v>
      </c>
      <c r="U12" s="115"/>
      <c r="V12" s="187"/>
    </row>
    <row r="13" spans="1:25" x14ac:dyDescent="0.35">
      <c r="B13" t="s">
        <v>261</v>
      </c>
      <c r="C13" s="186">
        <v>4</v>
      </c>
      <c r="D13" s="186"/>
      <c r="E13" s="186">
        <v>4</v>
      </c>
      <c r="F13" s="186">
        <v>9</v>
      </c>
      <c r="G13" s="186"/>
      <c r="H13" s="186">
        <v>9</v>
      </c>
      <c r="I13" s="186">
        <v>2</v>
      </c>
      <c r="J13" s="186"/>
      <c r="K13" s="186">
        <v>2</v>
      </c>
      <c r="L13" s="186">
        <v>4</v>
      </c>
      <c r="M13" s="186">
        <v>4</v>
      </c>
      <c r="N13" s="186">
        <v>8</v>
      </c>
      <c r="O13" s="186">
        <v>8</v>
      </c>
      <c r="P13" s="186"/>
      <c r="Q13" s="186">
        <v>8</v>
      </c>
      <c r="R13" s="186">
        <v>31</v>
      </c>
      <c r="V13" s="188"/>
    </row>
    <row r="14" spans="1:25" x14ac:dyDescent="0.35">
      <c r="B14" t="s">
        <v>1469</v>
      </c>
      <c r="C14" s="186">
        <v>1</v>
      </c>
      <c r="D14" s="186"/>
      <c r="E14" s="186">
        <v>1</v>
      </c>
      <c r="F14" s="186">
        <v>1</v>
      </c>
      <c r="G14" s="186">
        <v>1</v>
      </c>
      <c r="H14" s="186">
        <v>2</v>
      </c>
      <c r="I14" s="186"/>
      <c r="J14" s="186"/>
      <c r="K14" s="186"/>
      <c r="L14" s="186"/>
      <c r="M14" s="186"/>
      <c r="N14" s="186"/>
      <c r="O14" s="186">
        <v>1</v>
      </c>
      <c r="P14" s="186">
        <v>1</v>
      </c>
      <c r="Q14" s="186">
        <v>2</v>
      </c>
      <c r="R14" s="186">
        <v>5</v>
      </c>
      <c r="U14" s="115"/>
      <c r="V14" s="187"/>
    </row>
    <row r="15" spans="1:25" x14ac:dyDescent="0.35">
      <c r="B15" t="s">
        <v>184</v>
      </c>
      <c r="C15" s="186">
        <v>26</v>
      </c>
      <c r="D15" s="186"/>
      <c r="E15" s="186">
        <v>26</v>
      </c>
      <c r="F15" s="186">
        <v>8</v>
      </c>
      <c r="G15" s="186"/>
      <c r="H15" s="186">
        <v>8</v>
      </c>
      <c r="I15" s="186">
        <v>9</v>
      </c>
      <c r="J15" s="186"/>
      <c r="K15" s="186">
        <v>9</v>
      </c>
      <c r="L15" s="186"/>
      <c r="M15" s="186">
        <v>6</v>
      </c>
      <c r="N15" s="186">
        <v>6</v>
      </c>
      <c r="O15" s="186">
        <v>10</v>
      </c>
      <c r="P15" s="186"/>
      <c r="Q15" s="186">
        <v>10</v>
      </c>
      <c r="R15" s="186">
        <v>59</v>
      </c>
    </row>
    <row r="16" spans="1:25" x14ac:dyDescent="0.35">
      <c r="B16" t="s">
        <v>1468</v>
      </c>
      <c r="C16" s="186"/>
      <c r="D16" s="186">
        <v>1</v>
      </c>
      <c r="E16" s="186">
        <v>1</v>
      </c>
      <c r="F16" s="186"/>
      <c r="G16" s="186"/>
      <c r="H16" s="186"/>
      <c r="I16" s="186">
        <v>2</v>
      </c>
      <c r="J16" s="186"/>
      <c r="K16" s="186">
        <v>2</v>
      </c>
      <c r="L16" s="186"/>
      <c r="M16" s="186">
        <v>4</v>
      </c>
      <c r="N16" s="186">
        <v>4</v>
      </c>
      <c r="O16" s="186"/>
      <c r="P16" s="186"/>
      <c r="Q16" s="186"/>
      <c r="R16" s="186">
        <v>7</v>
      </c>
    </row>
    <row r="17" spans="2:18" x14ac:dyDescent="0.35">
      <c r="B17" t="s">
        <v>1467</v>
      </c>
      <c r="C17" s="186">
        <v>12</v>
      </c>
      <c r="D17" s="186">
        <v>2</v>
      </c>
      <c r="E17" s="186">
        <v>14</v>
      </c>
      <c r="F17" s="186">
        <v>10</v>
      </c>
      <c r="G17" s="186">
        <v>4</v>
      </c>
      <c r="H17" s="186">
        <v>14</v>
      </c>
      <c r="I17" s="186">
        <v>10</v>
      </c>
      <c r="J17" s="186">
        <v>1</v>
      </c>
      <c r="K17" s="186">
        <v>11</v>
      </c>
      <c r="L17" s="186">
        <v>10</v>
      </c>
      <c r="M17" s="186">
        <v>6</v>
      </c>
      <c r="N17" s="186">
        <v>16</v>
      </c>
      <c r="O17" s="186">
        <v>8</v>
      </c>
      <c r="P17" s="186">
        <v>5</v>
      </c>
      <c r="Q17" s="186">
        <v>13</v>
      </c>
      <c r="R17" s="186">
        <v>68</v>
      </c>
    </row>
    <row r="18" spans="2:18" x14ac:dyDescent="0.35">
      <c r="B18" t="s">
        <v>1466</v>
      </c>
      <c r="C18" s="186"/>
      <c r="D18" s="186"/>
      <c r="E18" s="186"/>
      <c r="F18" s="186"/>
      <c r="G18" s="186"/>
      <c r="H18" s="186"/>
      <c r="I18" s="186">
        <v>2</v>
      </c>
      <c r="J18" s="186"/>
      <c r="K18" s="186">
        <v>2</v>
      </c>
      <c r="L18" s="186">
        <v>1</v>
      </c>
      <c r="M18" s="186">
        <v>2</v>
      </c>
      <c r="N18" s="186">
        <v>3</v>
      </c>
      <c r="O18" s="186">
        <v>2</v>
      </c>
      <c r="P18" s="186"/>
      <c r="Q18" s="186">
        <v>2</v>
      </c>
      <c r="R18" s="186">
        <v>7</v>
      </c>
    </row>
    <row r="19" spans="2:18" x14ac:dyDescent="0.35">
      <c r="B19" t="s">
        <v>1465</v>
      </c>
      <c r="C19" s="186">
        <v>7</v>
      </c>
      <c r="D19" s="186"/>
      <c r="E19" s="186">
        <v>7</v>
      </c>
      <c r="F19" s="186"/>
      <c r="G19" s="186"/>
      <c r="H19" s="186"/>
      <c r="I19" s="186"/>
      <c r="J19" s="186"/>
      <c r="K19" s="186"/>
      <c r="L19" s="186"/>
      <c r="M19" s="186"/>
      <c r="N19" s="186"/>
      <c r="O19" s="186"/>
      <c r="P19" s="186"/>
      <c r="Q19" s="186"/>
      <c r="R19" s="186">
        <v>7</v>
      </c>
    </row>
    <row r="20" spans="2:18" x14ac:dyDescent="0.35">
      <c r="B20" t="s">
        <v>1464</v>
      </c>
      <c r="C20" s="186"/>
      <c r="D20" s="186">
        <v>1</v>
      </c>
      <c r="E20" s="186">
        <v>1</v>
      </c>
      <c r="F20" s="186">
        <v>1</v>
      </c>
      <c r="G20" s="186">
        <v>1</v>
      </c>
      <c r="H20" s="186">
        <v>2</v>
      </c>
      <c r="I20" s="186"/>
      <c r="J20" s="186"/>
      <c r="K20" s="186"/>
      <c r="L20" s="186">
        <v>1</v>
      </c>
      <c r="M20" s="186">
        <v>4</v>
      </c>
      <c r="N20" s="186">
        <v>5</v>
      </c>
      <c r="O20" s="186">
        <v>2</v>
      </c>
      <c r="P20" s="186"/>
      <c r="Q20" s="186">
        <v>2</v>
      </c>
      <c r="R20" s="186">
        <v>10</v>
      </c>
    </row>
    <row r="21" spans="2:18" x14ac:dyDescent="0.35">
      <c r="B21" t="s">
        <v>1463</v>
      </c>
      <c r="C21" s="186">
        <v>1</v>
      </c>
      <c r="D21" s="186">
        <v>2</v>
      </c>
      <c r="E21" s="186">
        <v>3</v>
      </c>
      <c r="F21" s="186">
        <v>5</v>
      </c>
      <c r="G21" s="186"/>
      <c r="H21" s="186">
        <v>5</v>
      </c>
      <c r="I21" s="186"/>
      <c r="J21" s="186"/>
      <c r="K21" s="186"/>
      <c r="L21" s="186"/>
      <c r="M21" s="186">
        <v>4</v>
      </c>
      <c r="N21" s="186">
        <v>4</v>
      </c>
      <c r="O21" s="186">
        <v>1</v>
      </c>
      <c r="P21" s="186"/>
      <c r="Q21" s="186">
        <v>1</v>
      </c>
      <c r="R21" s="186">
        <v>13</v>
      </c>
    </row>
    <row r="22" spans="2:18" x14ac:dyDescent="0.35">
      <c r="B22" t="s">
        <v>1462</v>
      </c>
      <c r="C22" s="186">
        <v>1</v>
      </c>
      <c r="D22" s="186"/>
      <c r="E22" s="186">
        <v>1</v>
      </c>
      <c r="F22" s="186">
        <v>2</v>
      </c>
      <c r="G22" s="186"/>
      <c r="H22" s="186">
        <v>2</v>
      </c>
      <c r="I22" s="186">
        <v>2</v>
      </c>
      <c r="J22" s="186"/>
      <c r="K22" s="186">
        <v>2</v>
      </c>
      <c r="L22" s="186">
        <v>1</v>
      </c>
      <c r="M22" s="186">
        <v>1</v>
      </c>
      <c r="N22" s="186">
        <v>2</v>
      </c>
      <c r="O22" s="186">
        <v>4</v>
      </c>
      <c r="P22" s="186"/>
      <c r="Q22" s="186">
        <v>4</v>
      </c>
      <c r="R22" s="186">
        <v>11</v>
      </c>
    </row>
    <row r="23" spans="2:18" x14ac:dyDescent="0.35">
      <c r="B23" t="s">
        <v>1461</v>
      </c>
      <c r="C23" s="186"/>
      <c r="D23" s="186">
        <v>9</v>
      </c>
      <c r="E23" s="186">
        <v>9</v>
      </c>
      <c r="F23" s="186"/>
      <c r="G23" s="186"/>
      <c r="H23" s="186"/>
      <c r="I23" s="186"/>
      <c r="J23" s="186"/>
      <c r="K23" s="186"/>
      <c r="L23" s="186"/>
      <c r="M23" s="186"/>
      <c r="N23" s="186"/>
      <c r="O23" s="186"/>
      <c r="P23" s="186">
        <v>1</v>
      </c>
      <c r="Q23" s="186">
        <v>1</v>
      </c>
      <c r="R23" s="186">
        <v>10</v>
      </c>
    </row>
    <row r="24" spans="2:18" x14ac:dyDescent="0.35">
      <c r="B24" t="s">
        <v>1367</v>
      </c>
      <c r="C24" s="186">
        <v>41</v>
      </c>
      <c r="D24" s="186">
        <v>4</v>
      </c>
      <c r="E24" s="186">
        <v>45</v>
      </c>
      <c r="F24" s="186"/>
      <c r="G24" s="186"/>
      <c r="H24" s="186"/>
      <c r="I24" s="186">
        <v>33</v>
      </c>
      <c r="J24" s="186"/>
      <c r="K24" s="186">
        <v>33</v>
      </c>
      <c r="L24" s="186"/>
      <c r="M24" s="186"/>
      <c r="N24" s="186"/>
      <c r="O24" s="186">
        <v>45</v>
      </c>
      <c r="P24" s="186">
        <v>7</v>
      </c>
      <c r="Q24" s="186">
        <v>52</v>
      </c>
      <c r="R24" s="186">
        <v>130</v>
      </c>
    </row>
    <row r="25" spans="2:18" x14ac:dyDescent="0.35">
      <c r="B25" t="s">
        <v>1460</v>
      </c>
      <c r="C25" s="186"/>
      <c r="D25" s="186"/>
      <c r="E25" s="186"/>
      <c r="F25" s="186">
        <v>18</v>
      </c>
      <c r="G25" s="186">
        <v>1</v>
      </c>
      <c r="H25" s="186">
        <v>19</v>
      </c>
      <c r="I25" s="186"/>
      <c r="J25" s="186"/>
      <c r="K25" s="186"/>
      <c r="L25" s="186"/>
      <c r="M25" s="186"/>
      <c r="N25" s="186"/>
      <c r="O25" s="186"/>
      <c r="P25" s="186"/>
      <c r="Q25" s="186"/>
      <c r="R25" s="186">
        <v>19</v>
      </c>
    </row>
    <row r="26" spans="2:18" x14ac:dyDescent="0.35">
      <c r="B26" t="s">
        <v>1459</v>
      </c>
      <c r="C26" s="186"/>
      <c r="D26" s="186"/>
      <c r="E26" s="186"/>
      <c r="F26" s="186">
        <v>17</v>
      </c>
      <c r="G26" s="186">
        <v>1</v>
      </c>
      <c r="H26" s="186">
        <v>18</v>
      </c>
      <c r="I26" s="186"/>
      <c r="J26" s="186"/>
      <c r="K26" s="186"/>
      <c r="L26" s="186"/>
      <c r="M26" s="186"/>
      <c r="N26" s="186"/>
      <c r="O26" s="186"/>
      <c r="P26" s="186"/>
      <c r="Q26" s="186"/>
      <c r="R26" s="186">
        <v>18</v>
      </c>
    </row>
    <row r="27" spans="2:18" x14ac:dyDescent="0.35">
      <c r="B27" t="s">
        <v>1458</v>
      </c>
      <c r="C27" s="186">
        <v>6</v>
      </c>
      <c r="D27" s="186">
        <v>3</v>
      </c>
      <c r="E27" s="186">
        <v>9</v>
      </c>
      <c r="F27" s="186">
        <v>14</v>
      </c>
      <c r="G27" s="186">
        <v>1</v>
      </c>
      <c r="H27" s="186">
        <v>15</v>
      </c>
      <c r="I27" s="186">
        <v>11</v>
      </c>
      <c r="J27" s="186">
        <v>1</v>
      </c>
      <c r="K27" s="186">
        <v>12</v>
      </c>
      <c r="L27" s="186">
        <v>12</v>
      </c>
      <c r="M27" s="186">
        <v>3</v>
      </c>
      <c r="N27" s="186">
        <v>15</v>
      </c>
      <c r="O27" s="186">
        <v>8</v>
      </c>
      <c r="P27" s="186">
        <v>1</v>
      </c>
      <c r="Q27" s="186">
        <v>9</v>
      </c>
      <c r="R27" s="186">
        <v>60</v>
      </c>
    </row>
    <row r="28" spans="2:18" x14ac:dyDescent="0.35">
      <c r="B28" t="s">
        <v>1457</v>
      </c>
      <c r="C28" s="186"/>
      <c r="D28" s="186"/>
      <c r="E28" s="186"/>
      <c r="F28" s="186">
        <v>10</v>
      </c>
      <c r="G28" s="186"/>
      <c r="H28" s="186">
        <v>10</v>
      </c>
      <c r="I28" s="186">
        <v>4</v>
      </c>
      <c r="J28" s="186"/>
      <c r="K28" s="186">
        <v>4</v>
      </c>
      <c r="L28" s="186">
        <v>7</v>
      </c>
      <c r="M28" s="186">
        <v>1</v>
      </c>
      <c r="N28" s="186">
        <v>8</v>
      </c>
      <c r="O28" s="186"/>
      <c r="P28" s="186"/>
      <c r="Q28" s="186"/>
      <c r="R28" s="186">
        <v>22</v>
      </c>
    </row>
    <row r="29" spans="2:18" x14ac:dyDescent="0.35">
      <c r="B29" t="s">
        <v>1456</v>
      </c>
      <c r="C29" s="186">
        <v>7</v>
      </c>
      <c r="D29" s="186"/>
      <c r="E29" s="186">
        <v>7</v>
      </c>
      <c r="F29" s="186">
        <v>3</v>
      </c>
      <c r="G29" s="186"/>
      <c r="H29" s="186">
        <v>3</v>
      </c>
      <c r="I29" s="186">
        <v>1</v>
      </c>
      <c r="J29" s="186"/>
      <c r="K29" s="186">
        <v>1</v>
      </c>
      <c r="L29" s="186">
        <v>2</v>
      </c>
      <c r="M29" s="186">
        <v>5</v>
      </c>
      <c r="N29" s="186">
        <v>7</v>
      </c>
      <c r="O29" s="186">
        <v>4</v>
      </c>
      <c r="P29" s="186"/>
      <c r="Q29" s="186">
        <v>4</v>
      </c>
      <c r="R29" s="186">
        <v>22</v>
      </c>
    </row>
    <row r="30" spans="2:18" x14ac:dyDescent="0.35">
      <c r="B30" t="s">
        <v>1455</v>
      </c>
      <c r="C30" s="186">
        <v>8</v>
      </c>
      <c r="D30" s="186"/>
      <c r="E30" s="186">
        <v>8</v>
      </c>
      <c r="F30" s="186">
        <v>7</v>
      </c>
      <c r="G30" s="186"/>
      <c r="H30" s="186">
        <v>7</v>
      </c>
      <c r="I30" s="186">
        <v>6</v>
      </c>
      <c r="J30" s="186"/>
      <c r="K30" s="186">
        <v>6</v>
      </c>
      <c r="L30" s="186">
        <v>5</v>
      </c>
      <c r="M30" s="186"/>
      <c r="N30" s="186">
        <v>5</v>
      </c>
      <c r="O30" s="186">
        <v>11</v>
      </c>
      <c r="P30" s="186"/>
      <c r="Q30" s="186">
        <v>11</v>
      </c>
      <c r="R30" s="186">
        <v>37</v>
      </c>
    </row>
    <row r="31" spans="2:18" x14ac:dyDescent="0.35">
      <c r="B31" t="s">
        <v>1454</v>
      </c>
      <c r="C31" s="186">
        <v>1</v>
      </c>
      <c r="D31" s="186"/>
      <c r="E31" s="186">
        <v>1</v>
      </c>
      <c r="F31" s="186"/>
      <c r="G31" s="186"/>
      <c r="H31" s="186"/>
      <c r="I31" s="186">
        <v>3</v>
      </c>
      <c r="J31" s="186"/>
      <c r="K31" s="186">
        <v>3</v>
      </c>
      <c r="L31" s="186"/>
      <c r="M31" s="186">
        <v>1</v>
      </c>
      <c r="N31" s="186">
        <v>1</v>
      </c>
      <c r="O31" s="186"/>
      <c r="P31" s="186"/>
      <c r="Q31" s="186"/>
      <c r="R31" s="186">
        <v>5</v>
      </c>
    </row>
    <row r="32" spans="2:18" x14ac:dyDescent="0.35">
      <c r="B32" t="s">
        <v>1453</v>
      </c>
      <c r="C32" s="186">
        <v>11</v>
      </c>
      <c r="D32" s="186">
        <v>16</v>
      </c>
      <c r="E32" s="186">
        <v>27</v>
      </c>
      <c r="F32" s="186">
        <v>6</v>
      </c>
      <c r="G32" s="186"/>
      <c r="H32" s="186">
        <v>6</v>
      </c>
      <c r="I32" s="186">
        <v>8</v>
      </c>
      <c r="J32" s="186"/>
      <c r="K32" s="186">
        <v>8</v>
      </c>
      <c r="L32" s="186"/>
      <c r="M32" s="186">
        <v>9</v>
      </c>
      <c r="N32" s="186">
        <v>9</v>
      </c>
      <c r="O32" s="186">
        <v>2</v>
      </c>
      <c r="P32" s="186"/>
      <c r="Q32" s="186">
        <v>2</v>
      </c>
      <c r="R32" s="186">
        <v>52</v>
      </c>
    </row>
    <row r="33" spans="2:25" x14ac:dyDescent="0.35">
      <c r="B33" t="s">
        <v>1336</v>
      </c>
      <c r="C33" s="186">
        <v>13</v>
      </c>
      <c r="D33" s="186">
        <v>6</v>
      </c>
      <c r="E33" s="186">
        <v>19</v>
      </c>
      <c r="F33" s="186">
        <v>9</v>
      </c>
      <c r="G33" s="186">
        <v>2</v>
      </c>
      <c r="H33" s="186">
        <v>11</v>
      </c>
      <c r="I33" s="186">
        <v>11</v>
      </c>
      <c r="J33" s="186"/>
      <c r="K33" s="186">
        <v>11</v>
      </c>
      <c r="L33" s="186">
        <v>10</v>
      </c>
      <c r="M33" s="186">
        <v>8</v>
      </c>
      <c r="N33" s="186">
        <v>18</v>
      </c>
      <c r="O33" s="186">
        <v>10</v>
      </c>
      <c r="P33" s="186">
        <v>4</v>
      </c>
      <c r="Q33" s="186">
        <v>14</v>
      </c>
      <c r="R33" s="186">
        <v>73</v>
      </c>
    </row>
    <row r="34" spans="2:25" x14ac:dyDescent="0.35">
      <c r="B34" t="s">
        <v>1452</v>
      </c>
      <c r="C34" s="186"/>
      <c r="D34" s="186"/>
      <c r="E34" s="186"/>
      <c r="F34" s="186"/>
      <c r="G34" s="186"/>
      <c r="H34" s="186"/>
      <c r="I34" s="186"/>
      <c r="J34" s="186"/>
      <c r="K34" s="186"/>
      <c r="L34" s="186">
        <v>3</v>
      </c>
      <c r="M34" s="186"/>
      <c r="N34" s="186">
        <v>3</v>
      </c>
      <c r="O34" s="186"/>
      <c r="P34" s="186"/>
      <c r="Q34" s="186"/>
      <c r="R34" s="186">
        <v>3</v>
      </c>
    </row>
    <row r="35" spans="2:25" x14ac:dyDescent="0.35">
      <c r="B35" t="s">
        <v>1451</v>
      </c>
      <c r="C35" s="186"/>
      <c r="D35" s="186"/>
      <c r="E35" s="186"/>
      <c r="F35" s="186"/>
      <c r="G35" s="186"/>
      <c r="H35" s="186"/>
      <c r="I35" s="186"/>
      <c r="J35" s="186"/>
      <c r="K35" s="186"/>
      <c r="L35" s="186">
        <v>3</v>
      </c>
      <c r="M35" s="186"/>
      <c r="N35" s="186">
        <v>3</v>
      </c>
      <c r="O35" s="186"/>
      <c r="P35" s="186"/>
      <c r="Q35" s="186"/>
      <c r="R35" s="186">
        <v>3</v>
      </c>
      <c r="S35" s="122"/>
    </row>
    <row r="36" spans="2:25" x14ac:dyDescent="0.35">
      <c r="B36" t="s">
        <v>1450</v>
      </c>
      <c r="C36" s="186"/>
      <c r="D36" s="186"/>
      <c r="E36" s="186"/>
      <c r="F36" s="186"/>
      <c r="G36" s="186"/>
      <c r="H36" s="186"/>
      <c r="I36" s="186"/>
      <c r="J36" s="186"/>
      <c r="K36" s="186"/>
      <c r="L36" s="186">
        <v>10</v>
      </c>
      <c r="M36" s="186">
        <v>2</v>
      </c>
      <c r="N36" s="186">
        <v>12</v>
      </c>
      <c r="O36" s="186"/>
      <c r="P36" s="186"/>
      <c r="Q36" s="186"/>
      <c r="R36" s="186">
        <v>12</v>
      </c>
    </row>
    <row r="37" spans="2:25" x14ac:dyDescent="0.35">
      <c r="B37" t="s">
        <v>1449</v>
      </c>
      <c r="C37" s="186"/>
      <c r="D37" s="186"/>
      <c r="E37" s="186"/>
      <c r="F37" s="186"/>
      <c r="G37" s="186"/>
      <c r="H37" s="186"/>
      <c r="I37" s="186"/>
      <c r="J37" s="186"/>
      <c r="K37" s="186"/>
      <c r="L37" s="186">
        <v>10</v>
      </c>
      <c r="M37" s="186">
        <v>2</v>
      </c>
      <c r="N37" s="186">
        <v>12</v>
      </c>
      <c r="O37" s="186"/>
      <c r="P37" s="186"/>
      <c r="Q37" s="186"/>
      <c r="R37" s="186">
        <v>12</v>
      </c>
    </row>
    <row r="38" spans="2:25" x14ac:dyDescent="0.35">
      <c r="B38" t="s">
        <v>1448</v>
      </c>
      <c r="C38" s="185">
        <v>200</v>
      </c>
      <c r="D38" s="185">
        <v>56</v>
      </c>
      <c r="E38" s="185">
        <v>256</v>
      </c>
      <c r="F38" s="185">
        <v>240</v>
      </c>
      <c r="G38" s="185">
        <v>17</v>
      </c>
      <c r="H38" s="185">
        <v>257</v>
      </c>
      <c r="I38" s="185">
        <v>165</v>
      </c>
      <c r="J38" s="185">
        <v>5</v>
      </c>
      <c r="K38" s="185">
        <v>170</v>
      </c>
      <c r="L38" s="185">
        <v>165</v>
      </c>
      <c r="M38" s="185">
        <v>76</v>
      </c>
      <c r="N38" s="185">
        <v>241</v>
      </c>
      <c r="O38" s="185">
        <v>216</v>
      </c>
      <c r="P38" s="185">
        <v>54</v>
      </c>
      <c r="Q38" s="185">
        <v>270</v>
      </c>
      <c r="R38" s="185">
        <v>1194</v>
      </c>
    </row>
    <row r="39" spans="2:25" s="183" customFormat="1" x14ac:dyDescent="0.35">
      <c r="C39" s="184"/>
      <c r="D39" s="184"/>
      <c r="E39" s="184">
        <f>C38/E38</f>
        <v>0.78125</v>
      </c>
      <c r="F39" s="184"/>
      <c r="G39" s="184"/>
      <c r="H39" s="184">
        <f>F38/H38</f>
        <v>0.93385214007782102</v>
      </c>
      <c r="I39" s="184"/>
      <c r="J39" s="184"/>
      <c r="K39" s="184">
        <f>I38/K38</f>
        <v>0.97058823529411764</v>
      </c>
      <c r="L39" s="184"/>
      <c r="M39" s="184"/>
      <c r="N39" s="184">
        <f>L38/N38</f>
        <v>0.68464730290456433</v>
      </c>
      <c r="O39" s="184"/>
      <c r="P39" s="184"/>
      <c r="Q39" s="184">
        <f>O38/Q38</f>
        <v>0.8</v>
      </c>
      <c r="R39" s="184"/>
      <c r="U39" s="184"/>
      <c r="V39" s="184"/>
      <c r="W39" s="184"/>
      <c r="X39" s="184"/>
      <c r="Y39" s="184"/>
    </row>
    <row r="40" spans="2:25" x14ac:dyDescent="0.35">
      <c r="B40" s="123">
        <v>2018</v>
      </c>
      <c r="C40" s="124">
        <v>98</v>
      </c>
      <c r="D40" s="124">
        <v>168</v>
      </c>
      <c r="E40" s="124">
        <v>266</v>
      </c>
      <c r="F40" s="124">
        <v>134</v>
      </c>
      <c r="G40" s="124">
        <v>18</v>
      </c>
      <c r="H40" s="124">
        <v>152</v>
      </c>
      <c r="I40" s="124">
        <v>102</v>
      </c>
      <c r="J40" s="124">
        <v>75</v>
      </c>
      <c r="K40" s="124">
        <v>177</v>
      </c>
      <c r="L40" s="124">
        <v>131</v>
      </c>
      <c r="M40" s="124">
        <v>29</v>
      </c>
      <c r="N40" s="124">
        <v>160</v>
      </c>
      <c r="O40" s="124">
        <v>160</v>
      </c>
      <c r="P40" s="124">
        <v>70</v>
      </c>
      <c r="Q40" s="124">
        <v>230</v>
      </c>
    </row>
    <row r="41" spans="2:25" x14ac:dyDescent="0.35">
      <c r="B41" s="123">
        <v>2017</v>
      </c>
      <c r="C41" s="124">
        <v>70</v>
      </c>
      <c r="D41" s="124">
        <v>197</v>
      </c>
      <c r="E41" s="124">
        <v>267</v>
      </c>
      <c r="F41" s="124">
        <v>120</v>
      </c>
      <c r="G41" s="124">
        <v>22</v>
      </c>
      <c r="H41" s="124">
        <v>142</v>
      </c>
      <c r="I41" s="124">
        <v>61</v>
      </c>
      <c r="J41" s="124">
        <v>118</v>
      </c>
      <c r="K41" s="124">
        <v>179</v>
      </c>
      <c r="L41" s="124">
        <v>118</v>
      </c>
      <c r="M41" s="124">
        <v>27</v>
      </c>
      <c r="N41" s="124">
        <v>145</v>
      </c>
      <c r="O41" s="124">
        <v>133</v>
      </c>
      <c r="P41" s="124">
        <v>98</v>
      </c>
      <c r="Q41" s="124">
        <v>231</v>
      </c>
      <c r="R41" s="125"/>
    </row>
    <row r="42" spans="2:25" x14ac:dyDescent="0.35">
      <c r="B42" s="123">
        <v>2016</v>
      </c>
      <c r="C42" s="124">
        <v>52</v>
      </c>
      <c r="D42" s="124">
        <v>85</v>
      </c>
      <c r="E42" s="124">
        <v>137</v>
      </c>
      <c r="F42" s="124">
        <v>100</v>
      </c>
      <c r="G42" s="124">
        <v>14</v>
      </c>
      <c r="H42" s="124">
        <v>114</v>
      </c>
      <c r="I42" s="124">
        <v>54</v>
      </c>
      <c r="J42" s="124">
        <v>9</v>
      </c>
      <c r="K42" s="124">
        <v>63</v>
      </c>
      <c r="L42" s="124">
        <v>103</v>
      </c>
      <c r="M42" s="124">
        <v>10</v>
      </c>
      <c r="N42" s="124">
        <v>113</v>
      </c>
      <c r="O42" s="124">
        <v>117</v>
      </c>
      <c r="P42" s="124">
        <v>86</v>
      </c>
      <c r="Q42" s="124">
        <v>203</v>
      </c>
      <c r="R42" s="125"/>
    </row>
    <row r="43" spans="2:25" x14ac:dyDescent="0.35">
      <c r="B43" s="123">
        <v>2015</v>
      </c>
      <c r="C43" s="124">
        <v>53</v>
      </c>
      <c r="D43" s="124">
        <v>82</v>
      </c>
      <c r="E43" s="124">
        <v>135</v>
      </c>
      <c r="F43" s="124">
        <v>95</v>
      </c>
      <c r="G43" s="124">
        <v>16</v>
      </c>
      <c r="H43" s="124">
        <v>111</v>
      </c>
      <c r="I43" s="124">
        <v>52</v>
      </c>
      <c r="J43" s="124">
        <v>7</v>
      </c>
      <c r="K43" s="124">
        <v>59</v>
      </c>
      <c r="L43" s="124">
        <v>103</v>
      </c>
      <c r="M43" s="124">
        <v>10</v>
      </c>
      <c r="N43" s="124">
        <v>113</v>
      </c>
      <c r="O43" s="124">
        <v>147</v>
      </c>
      <c r="P43" s="124">
        <v>90</v>
      </c>
      <c r="Q43" s="124">
        <v>237</v>
      </c>
      <c r="R43" s="125"/>
    </row>
  </sheetData>
  <mergeCells count="1">
    <mergeCell ref="U1:X2"/>
  </mergeCells>
  <conditionalFormatting sqref="A5">
    <cfRule type="cellIs" dxfId="3" priority="1" operator="equal">
      <formula>"No Work Order Entered"</formula>
    </cfRule>
  </conditionalFormatting>
  <hyperlinks>
    <hyperlink ref="A7" location="Data!A1" display="Data Tab"/>
    <hyperlink ref="A6" location="Pareto!A1" display="Pareto"/>
    <hyperlink ref="A8" location="'Summary Recommendations'!A1" display="Summary"/>
    <hyperlink ref="A5" location="'Table Of Contents - Order'!A1" display="Table of Contents"/>
  </hyperlinks>
  <pageMargins left="0.7" right="0.7" top="0.75" bottom="0.75" header="0.3" footer="0.3"/>
  <pageSetup paperSize="17" scale="67"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pageSetUpPr fitToPage="1"/>
  </sheetPr>
  <dimension ref="A1:N33"/>
  <sheetViews>
    <sheetView topLeftCell="A2" zoomScale="90" zoomScaleNormal="90" workbookViewId="0">
      <pane xSplit="2" ySplit="1" topLeftCell="C3" activePane="bottomRight" state="frozen"/>
      <selection activeCell="A2" sqref="A2"/>
      <selection pane="topRight" activeCell="B2" sqref="B2"/>
      <selection pane="bottomLeft" activeCell="A3" sqref="A3"/>
      <selection pane="bottomRight" activeCell="K20" sqref="K20"/>
    </sheetView>
  </sheetViews>
  <sheetFormatPr defaultRowHeight="14.5" x14ac:dyDescent="0.35"/>
  <cols>
    <col min="1" max="1" width="21" customWidth="1"/>
    <col min="2" max="2" width="37.1796875" customWidth="1"/>
    <col min="3" max="3" width="18.7265625" style="154" customWidth="1"/>
    <col min="4" max="4" width="8.26953125" style="154" customWidth="1"/>
    <col min="5" max="5" width="7" style="154" customWidth="1"/>
    <col min="6" max="6" width="5.26953125" style="154" customWidth="1"/>
    <col min="7" max="7" width="6" style="154" customWidth="1"/>
    <col min="8" max="8" width="11.26953125" style="154" customWidth="1"/>
    <col min="9" max="9" width="4.26953125" customWidth="1"/>
    <col min="10" max="10" width="3.54296875" customWidth="1"/>
    <col min="11" max="11" width="17.26953125" style="115" customWidth="1"/>
    <col min="12" max="12" width="24.54296875" style="115" customWidth="1"/>
    <col min="13" max="13" width="15.54296875" style="115" customWidth="1"/>
    <col min="14" max="14" width="14.7265625" style="115" customWidth="1"/>
    <col min="15" max="15" width="4.453125" customWidth="1"/>
    <col min="16" max="16" width="7.1796875" bestFit="1" customWidth="1"/>
    <col min="17" max="17" width="7" bestFit="1" customWidth="1"/>
    <col min="18" max="18" width="12.81640625" bestFit="1" customWidth="1"/>
    <col min="19" max="19" width="19.453125" bestFit="1" customWidth="1"/>
    <col min="20" max="20" width="11.81640625" bestFit="1" customWidth="1"/>
    <col min="21" max="21" width="9.54296875" bestFit="1" customWidth="1"/>
    <col min="22" max="22" width="11.54296875" bestFit="1" customWidth="1"/>
    <col min="23" max="23" width="12.1796875" bestFit="1" customWidth="1"/>
    <col min="24" max="24" width="5.26953125" bestFit="1" customWidth="1"/>
    <col min="25" max="25" width="11.81640625" bestFit="1" customWidth="1"/>
    <col min="26" max="26" width="11.54296875" bestFit="1" customWidth="1"/>
    <col min="27" max="27" width="14.26953125" bestFit="1" customWidth="1"/>
    <col min="28" max="28" width="6" bestFit="1" customWidth="1"/>
    <col min="29" max="29" width="8.26953125" bestFit="1" customWidth="1"/>
    <col min="30" max="30" width="11.26953125" bestFit="1" customWidth="1"/>
  </cols>
  <sheetData>
    <row r="1" spans="1:14" hidden="1" x14ac:dyDescent="0.35">
      <c r="B1" s="126" t="s">
        <v>1493</v>
      </c>
      <c r="C1" s="194" t="s">
        <v>1492</v>
      </c>
    </row>
    <row r="2" spans="1:14" x14ac:dyDescent="0.35">
      <c r="B2" s="126" t="s">
        <v>2</v>
      </c>
      <c r="C2" s="154" t="s">
        <v>1479</v>
      </c>
      <c r="D2" s="154" t="s">
        <v>1478</v>
      </c>
      <c r="E2" s="154" t="s">
        <v>352</v>
      </c>
      <c r="F2" s="154" t="s">
        <v>1475</v>
      </c>
      <c r="G2" s="154" t="s">
        <v>1473</v>
      </c>
      <c r="H2" s="154" t="s">
        <v>1448</v>
      </c>
      <c r="K2" s="115" t="s">
        <v>1484</v>
      </c>
      <c r="L2" s="210" t="s">
        <v>1491</v>
      </c>
      <c r="M2" s="210" t="s">
        <v>1490</v>
      </c>
      <c r="N2" s="210" t="s">
        <v>1489</v>
      </c>
    </row>
    <row r="3" spans="1:14" x14ac:dyDescent="0.35">
      <c r="A3" t="s">
        <v>233</v>
      </c>
      <c r="B3" s="197" t="s">
        <v>259</v>
      </c>
      <c r="C3" s="186">
        <v>13</v>
      </c>
      <c r="D3" s="186">
        <v>11</v>
      </c>
      <c r="E3" s="186">
        <v>1</v>
      </c>
      <c r="F3" s="186">
        <v>76</v>
      </c>
      <c r="G3" s="186">
        <v>28</v>
      </c>
      <c r="H3" s="186">
        <v>129</v>
      </c>
      <c r="K3" s="209" t="s">
        <v>1479</v>
      </c>
      <c r="L3" s="208">
        <f>[1]Sheet11!F3</f>
        <v>7223</v>
      </c>
      <c r="M3" s="208">
        <f>C32</f>
        <v>111</v>
      </c>
      <c r="N3" s="207">
        <f>M3/L3</f>
        <v>1.5367575799529281E-2</v>
      </c>
    </row>
    <row r="4" spans="1:14" x14ac:dyDescent="0.35">
      <c r="A4" s="111" t="s">
        <v>179</v>
      </c>
      <c r="B4" s="197" t="s">
        <v>1476</v>
      </c>
      <c r="C4" s="186">
        <v>5</v>
      </c>
      <c r="D4" s="186">
        <v>28</v>
      </c>
      <c r="E4" s="186">
        <v>10</v>
      </c>
      <c r="F4" s="186">
        <v>62</v>
      </c>
      <c r="G4" s="186">
        <v>23</v>
      </c>
      <c r="H4" s="186">
        <v>128</v>
      </c>
      <c r="K4" s="209" t="s">
        <v>1478</v>
      </c>
      <c r="L4" s="208">
        <f>[1]Sheet11!D3</f>
        <v>10212</v>
      </c>
      <c r="M4" s="208">
        <f>D32</f>
        <v>132</v>
      </c>
      <c r="N4" s="207">
        <f>M4/L4</f>
        <v>1.2925969447708578E-2</v>
      </c>
    </row>
    <row r="5" spans="1:14" x14ac:dyDescent="0.35">
      <c r="A5" s="91" t="s">
        <v>171</v>
      </c>
      <c r="B5" s="197" t="s">
        <v>1467</v>
      </c>
      <c r="C5" s="186">
        <v>6</v>
      </c>
      <c r="D5" s="186">
        <v>6</v>
      </c>
      <c r="E5" s="186">
        <v>19</v>
      </c>
      <c r="F5" s="186">
        <v>6</v>
      </c>
      <c r="G5" s="186">
        <v>35</v>
      </c>
      <c r="H5" s="186">
        <v>72</v>
      </c>
      <c r="K5" s="209" t="s">
        <v>1488</v>
      </c>
      <c r="L5" s="208">
        <f>[1]Sheet11!B3</f>
        <v>8000</v>
      </c>
      <c r="M5" s="208">
        <f>E32</f>
        <v>104</v>
      </c>
      <c r="N5" s="207">
        <f>M5/L5</f>
        <v>1.2999999999999999E-2</v>
      </c>
    </row>
    <row r="6" spans="1:14" x14ac:dyDescent="0.35">
      <c r="A6" s="91" t="s">
        <v>170</v>
      </c>
      <c r="B6" s="197" t="s">
        <v>1458</v>
      </c>
      <c r="C6" s="186">
        <v>4</v>
      </c>
      <c r="D6" s="186">
        <v>16</v>
      </c>
      <c r="E6" s="186">
        <v>6</v>
      </c>
      <c r="F6" s="186">
        <v>22</v>
      </c>
      <c r="G6" s="186">
        <v>18</v>
      </c>
      <c r="H6" s="186">
        <v>66</v>
      </c>
      <c r="K6" s="209" t="s">
        <v>1475</v>
      </c>
      <c r="L6" s="208">
        <f>[1]Sheet11!H3</f>
        <v>12190</v>
      </c>
      <c r="M6" s="208">
        <f>F32</f>
        <v>253</v>
      </c>
      <c r="N6" s="207">
        <f>M6/L6</f>
        <v>2.0754716981132074E-2</v>
      </c>
    </row>
    <row r="7" spans="1:14" x14ac:dyDescent="0.35">
      <c r="A7" s="99" t="s">
        <v>174</v>
      </c>
      <c r="B7" s="197" t="s">
        <v>1367</v>
      </c>
      <c r="C7" s="186">
        <v>19</v>
      </c>
      <c r="D7" s="186"/>
      <c r="E7" s="186">
        <v>8</v>
      </c>
      <c r="F7" s="186"/>
      <c r="G7" s="186">
        <v>30</v>
      </c>
      <c r="H7" s="186">
        <v>57</v>
      </c>
      <c r="K7" s="209" t="s">
        <v>1473</v>
      </c>
      <c r="L7" s="208">
        <f>[1]Sheet11!J3</f>
        <v>9728</v>
      </c>
      <c r="M7" s="208">
        <f>G32</f>
        <v>179</v>
      </c>
      <c r="N7" s="207">
        <f>M7/L7</f>
        <v>1.8400493421052631E-2</v>
      </c>
    </row>
    <row r="8" spans="1:14" x14ac:dyDescent="0.35">
      <c r="B8" s="197" t="s">
        <v>1336</v>
      </c>
      <c r="C8" s="186">
        <v>25</v>
      </c>
      <c r="D8" s="186">
        <v>3</v>
      </c>
      <c r="E8" s="186">
        <v>3</v>
      </c>
      <c r="F8" s="186">
        <v>8</v>
      </c>
      <c r="G8" s="186">
        <v>8</v>
      </c>
      <c r="H8" s="186">
        <v>47</v>
      </c>
      <c r="M8" s="190"/>
      <c r="N8" s="206"/>
    </row>
    <row r="9" spans="1:14" x14ac:dyDescent="0.35">
      <c r="B9" s="197" t="s">
        <v>1465</v>
      </c>
      <c r="C9" s="186">
        <v>29</v>
      </c>
      <c r="D9" s="186"/>
      <c r="E9" s="186">
        <v>10</v>
      </c>
      <c r="F9" s="186"/>
      <c r="G9" s="186"/>
      <c r="H9" s="186">
        <v>39</v>
      </c>
      <c r="M9" s="205" t="s">
        <v>1471</v>
      </c>
      <c r="N9" s="204">
        <f>AVERAGE(N3:N7)</f>
        <v>1.6089751129884512E-2</v>
      </c>
    </row>
    <row r="10" spans="1:14" x14ac:dyDescent="0.35">
      <c r="B10" s="197" t="s">
        <v>265</v>
      </c>
      <c r="C10" s="186"/>
      <c r="D10" s="186">
        <v>8</v>
      </c>
      <c r="E10" s="186">
        <v>3</v>
      </c>
      <c r="F10" s="186">
        <v>12</v>
      </c>
      <c r="G10" s="186">
        <v>9</v>
      </c>
      <c r="H10" s="186">
        <v>32</v>
      </c>
      <c r="N10" s="187"/>
    </row>
    <row r="11" spans="1:14" x14ac:dyDescent="0.35">
      <c r="B11" s="197" t="s">
        <v>1451</v>
      </c>
      <c r="C11" s="203"/>
      <c r="D11" s="202"/>
      <c r="E11" s="202"/>
      <c r="F11" s="202">
        <v>23</v>
      </c>
      <c r="G11" s="202"/>
      <c r="H11" s="201">
        <v>23</v>
      </c>
    </row>
    <row r="12" spans="1:14" x14ac:dyDescent="0.35">
      <c r="B12" s="197" t="s">
        <v>261</v>
      </c>
      <c r="C12" s="186">
        <v>2</v>
      </c>
      <c r="D12" s="186"/>
      <c r="E12" s="186">
        <v>19</v>
      </c>
      <c r="F12" s="186"/>
      <c r="G12" s="186">
        <v>1</v>
      </c>
      <c r="H12" s="186">
        <v>22</v>
      </c>
    </row>
    <row r="13" spans="1:14" x14ac:dyDescent="0.35">
      <c r="B13" s="197" t="s">
        <v>1452</v>
      </c>
      <c r="C13" s="203"/>
      <c r="D13" s="202"/>
      <c r="E13" s="202"/>
      <c r="F13" s="202">
        <v>21</v>
      </c>
      <c r="G13" s="202"/>
      <c r="H13" s="201">
        <v>21</v>
      </c>
    </row>
    <row r="14" spans="1:14" x14ac:dyDescent="0.35">
      <c r="B14" s="197" t="s">
        <v>1460</v>
      </c>
      <c r="C14" s="186"/>
      <c r="D14" s="186">
        <v>21</v>
      </c>
      <c r="E14" s="186"/>
      <c r="F14" s="186"/>
      <c r="G14" s="186"/>
      <c r="H14" s="186">
        <v>21</v>
      </c>
    </row>
    <row r="15" spans="1:14" x14ac:dyDescent="0.35">
      <c r="B15" s="197" t="s">
        <v>1453</v>
      </c>
      <c r="C15" s="186">
        <v>1</v>
      </c>
      <c r="D15" s="186">
        <v>6</v>
      </c>
      <c r="E15" s="186">
        <v>5</v>
      </c>
      <c r="F15" s="186">
        <v>6</v>
      </c>
      <c r="G15" s="186">
        <v>1</v>
      </c>
      <c r="H15" s="186">
        <v>19</v>
      </c>
    </row>
    <row r="16" spans="1:14" x14ac:dyDescent="0.35">
      <c r="B16" s="197" t="s">
        <v>1487</v>
      </c>
      <c r="C16" s="186"/>
      <c r="D16" s="186">
        <v>5</v>
      </c>
      <c r="E16" s="186">
        <v>8</v>
      </c>
      <c r="F16" s="186"/>
      <c r="G16" s="186">
        <v>6</v>
      </c>
      <c r="H16" s="186">
        <v>19</v>
      </c>
    </row>
    <row r="17" spans="2:8" x14ac:dyDescent="0.35">
      <c r="B17" s="197" t="s">
        <v>1457</v>
      </c>
      <c r="C17" s="186">
        <v>2</v>
      </c>
      <c r="D17" s="186">
        <v>9</v>
      </c>
      <c r="E17" s="186"/>
      <c r="F17" s="186"/>
      <c r="G17" s="186">
        <v>3</v>
      </c>
      <c r="H17" s="186">
        <v>14</v>
      </c>
    </row>
    <row r="18" spans="2:8" x14ac:dyDescent="0.35">
      <c r="B18" s="197" t="s">
        <v>1462</v>
      </c>
      <c r="C18" s="186">
        <v>2</v>
      </c>
      <c r="D18" s="186">
        <v>1</v>
      </c>
      <c r="E18" s="186">
        <v>2</v>
      </c>
      <c r="F18" s="186"/>
      <c r="G18" s="186">
        <v>7</v>
      </c>
      <c r="H18" s="186">
        <v>12</v>
      </c>
    </row>
    <row r="19" spans="2:8" x14ac:dyDescent="0.35">
      <c r="B19" s="197" t="s">
        <v>1461</v>
      </c>
      <c r="C19" s="186"/>
      <c r="D19" s="186"/>
      <c r="E19" s="186">
        <v>1</v>
      </c>
      <c r="F19" s="186">
        <v>9</v>
      </c>
      <c r="G19" s="186"/>
      <c r="H19" s="186">
        <v>10</v>
      </c>
    </row>
    <row r="20" spans="2:8" x14ac:dyDescent="0.35">
      <c r="B20" s="197" t="s">
        <v>1464</v>
      </c>
      <c r="C20" s="203"/>
      <c r="D20" s="202"/>
      <c r="E20" s="202"/>
      <c r="F20" s="202">
        <v>8</v>
      </c>
      <c r="G20" s="202"/>
      <c r="H20" s="201">
        <v>8</v>
      </c>
    </row>
    <row r="21" spans="2:8" x14ac:dyDescent="0.35">
      <c r="B21" s="197" t="s">
        <v>1456</v>
      </c>
      <c r="C21" s="203"/>
      <c r="D21" s="202">
        <v>8</v>
      </c>
      <c r="E21" s="202"/>
      <c r="F21" s="202"/>
      <c r="G21" s="202"/>
      <c r="H21" s="201">
        <v>8</v>
      </c>
    </row>
    <row r="22" spans="2:8" x14ac:dyDescent="0.35">
      <c r="B22" s="197" t="s">
        <v>184</v>
      </c>
      <c r="C22" s="186"/>
      <c r="D22" s="186"/>
      <c r="E22" s="186">
        <v>2</v>
      </c>
      <c r="F22" s="186"/>
      <c r="G22" s="186">
        <v>4</v>
      </c>
      <c r="H22" s="186">
        <v>6</v>
      </c>
    </row>
    <row r="23" spans="2:8" x14ac:dyDescent="0.35">
      <c r="B23" s="197" t="s">
        <v>183</v>
      </c>
      <c r="C23" s="186"/>
      <c r="D23" s="186">
        <v>1</v>
      </c>
      <c r="E23" s="186">
        <v>2</v>
      </c>
      <c r="F23" s="186"/>
      <c r="G23" s="186">
        <v>2</v>
      </c>
      <c r="H23" s="186">
        <v>5</v>
      </c>
    </row>
    <row r="24" spans="2:8" x14ac:dyDescent="0.35">
      <c r="B24" s="197" t="s">
        <v>1463</v>
      </c>
      <c r="C24" s="186"/>
      <c r="D24" s="186"/>
      <c r="E24" s="186">
        <v>2</v>
      </c>
      <c r="F24" s="186"/>
      <c r="G24" s="186">
        <v>3</v>
      </c>
      <c r="H24" s="186">
        <v>5</v>
      </c>
    </row>
    <row r="25" spans="2:8" x14ac:dyDescent="0.35">
      <c r="B25" s="197" t="s">
        <v>1468</v>
      </c>
      <c r="C25" s="186">
        <v>2</v>
      </c>
      <c r="D25" s="186">
        <v>1</v>
      </c>
      <c r="E25" s="186">
        <v>2</v>
      </c>
      <c r="F25" s="186"/>
      <c r="G25" s="186"/>
      <c r="H25" s="186">
        <v>5</v>
      </c>
    </row>
    <row r="26" spans="2:8" x14ac:dyDescent="0.35">
      <c r="B26" s="197" t="s">
        <v>1472</v>
      </c>
      <c r="C26" s="186"/>
      <c r="D26" s="186">
        <v>2</v>
      </c>
      <c r="E26" s="186">
        <v>1</v>
      </c>
      <c r="F26" s="186"/>
      <c r="G26" s="186"/>
      <c r="H26" s="186">
        <v>3</v>
      </c>
    </row>
    <row r="27" spans="2:8" x14ac:dyDescent="0.35">
      <c r="B27" s="197" t="s">
        <v>1477</v>
      </c>
      <c r="C27" s="186">
        <v>1</v>
      </c>
      <c r="D27" s="186">
        <v>1</v>
      </c>
      <c r="E27" s="186"/>
      <c r="F27" s="186"/>
      <c r="G27" s="186"/>
      <c r="H27" s="186">
        <v>2</v>
      </c>
    </row>
    <row r="28" spans="2:8" x14ac:dyDescent="0.35">
      <c r="B28" s="197" t="s">
        <v>1480</v>
      </c>
      <c r="C28" s="186"/>
      <c r="D28" s="186">
        <v>2</v>
      </c>
      <c r="E28" s="186"/>
      <c r="F28" s="186"/>
      <c r="G28" s="186"/>
      <c r="H28" s="186">
        <v>2</v>
      </c>
    </row>
    <row r="29" spans="2:8" x14ac:dyDescent="0.35">
      <c r="B29" s="197" t="s">
        <v>1469</v>
      </c>
      <c r="C29" s="200"/>
      <c r="D29" s="199">
        <v>2</v>
      </c>
      <c r="E29" s="199"/>
      <c r="F29" s="199"/>
      <c r="G29" s="199"/>
      <c r="H29" s="198">
        <v>2</v>
      </c>
    </row>
    <row r="30" spans="2:8" x14ac:dyDescent="0.35">
      <c r="B30" s="197" t="s">
        <v>1474</v>
      </c>
      <c r="C30" s="186"/>
      <c r="D30" s="186">
        <v>1</v>
      </c>
      <c r="E30" s="186"/>
      <c r="F30" s="186"/>
      <c r="G30" s="186"/>
      <c r="H30" s="186">
        <v>1</v>
      </c>
    </row>
    <row r="31" spans="2:8" x14ac:dyDescent="0.35">
      <c r="B31" s="197" t="s">
        <v>1466</v>
      </c>
      <c r="C31" s="186"/>
      <c r="D31" s="186"/>
      <c r="E31" s="186"/>
      <c r="F31" s="186"/>
      <c r="G31" s="186">
        <v>1</v>
      </c>
      <c r="H31" s="186">
        <v>1</v>
      </c>
    </row>
    <row r="32" spans="2:8" x14ac:dyDescent="0.35">
      <c r="B32" s="196" t="s">
        <v>1448</v>
      </c>
      <c r="C32" s="195">
        <v>111</v>
      </c>
      <c r="D32" s="195">
        <v>132</v>
      </c>
      <c r="E32" s="195">
        <v>104</v>
      </c>
      <c r="F32" s="195">
        <v>253</v>
      </c>
      <c r="G32" s="195">
        <v>179</v>
      </c>
      <c r="H32" s="195">
        <v>779</v>
      </c>
    </row>
    <row r="33" spans="3:8" x14ac:dyDescent="0.35">
      <c r="C33"/>
      <c r="D33"/>
      <c r="E33"/>
      <c r="F33"/>
      <c r="G33"/>
      <c r="H33"/>
    </row>
  </sheetData>
  <conditionalFormatting sqref="A4">
    <cfRule type="cellIs" dxfId="2" priority="1" operator="equal">
      <formula>"No Work Order Entered"</formula>
    </cfRule>
  </conditionalFormatting>
  <hyperlinks>
    <hyperlink ref="A6" location="Data!A1" display="Data Tab"/>
    <hyperlink ref="A5" location="Pareto!A1" display="Pareto"/>
    <hyperlink ref="A7" location="'Summary Recommendations'!A1" display="Summary"/>
    <hyperlink ref="A4" location="'Table Of Contents - Order'!A1" display="Table of Contents"/>
  </hyperlinks>
  <printOptions gridLines="1"/>
  <pageMargins left="0.7" right="0.7" top="0.75" bottom="0.75" header="0.3" footer="0.3"/>
  <pageSetup scale="70" fitToHeight="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filterMode="1">
    <tabColor theme="6" tint="0.39997558519241921"/>
  </sheetPr>
  <dimension ref="A1:AF10000"/>
  <sheetViews>
    <sheetView workbookViewId="0">
      <selection activeCell="F16" sqref="F16"/>
    </sheetView>
  </sheetViews>
  <sheetFormatPr defaultRowHeight="14.5" x14ac:dyDescent="0.35"/>
  <cols>
    <col min="1" max="1" width="9.26953125" bestFit="1" customWidth="1"/>
    <col min="2" max="2" width="50" customWidth="1"/>
    <col min="3" max="3" width="25.81640625" bestFit="1" customWidth="1"/>
    <col min="4" max="4" width="12.81640625" bestFit="1" customWidth="1"/>
    <col min="5" max="5" width="22.26953125" bestFit="1" customWidth="1"/>
    <col min="6" max="6" width="50" customWidth="1"/>
    <col min="7" max="7" width="14" bestFit="1" customWidth="1"/>
    <col min="8" max="8" width="20" bestFit="1" customWidth="1"/>
    <col min="9" max="9" width="12.81640625" bestFit="1" customWidth="1"/>
    <col min="10" max="10" width="20" bestFit="1" customWidth="1"/>
    <col min="11" max="11" width="25.81640625" bestFit="1" customWidth="1"/>
    <col min="12" max="12" width="20" bestFit="1" customWidth="1"/>
    <col min="13" max="13" width="25.81640625" bestFit="1" customWidth="1"/>
    <col min="14" max="14" width="50" customWidth="1"/>
    <col min="15" max="16" width="20" bestFit="1" customWidth="1"/>
    <col min="17" max="17" width="28.1796875" bestFit="1" customWidth="1"/>
    <col min="18" max="18" width="50" customWidth="1"/>
    <col min="19" max="19" width="12.81640625" bestFit="1" customWidth="1"/>
    <col min="20" max="20" width="28.1796875" bestFit="1" customWidth="1"/>
    <col min="21" max="21" width="34.1796875" bestFit="1" customWidth="1"/>
    <col min="22" max="22" width="21.1796875" bestFit="1" customWidth="1"/>
    <col min="23" max="23" width="20" bestFit="1" customWidth="1"/>
    <col min="24" max="24" width="21.1796875" bestFit="1" customWidth="1"/>
    <col min="25" max="25" width="50" customWidth="1"/>
    <col min="26" max="26" width="15.26953125" bestFit="1" customWidth="1"/>
    <col min="27" max="27" width="14" bestFit="1" customWidth="1"/>
    <col min="28" max="32" width="50" customWidth="1"/>
  </cols>
  <sheetData>
    <row r="1" spans="1:32" x14ac:dyDescent="0.35">
      <c r="A1" s="46" t="s">
        <v>34</v>
      </c>
      <c r="B1" s="46" t="s">
        <v>35</v>
      </c>
      <c r="C1" s="46" t="s">
        <v>36</v>
      </c>
      <c r="D1" s="46" t="s">
        <v>37</v>
      </c>
      <c r="E1" s="46" t="s">
        <v>38</v>
      </c>
      <c r="F1" s="46" t="s">
        <v>39</v>
      </c>
      <c r="G1" s="46" t="s">
        <v>40</v>
      </c>
      <c r="H1" s="46" t="s">
        <v>41</v>
      </c>
      <c r="I1" s="47" t="s">
        <v>42</v>
      </c>
      <c r="J1" s="46" t="s">
        <v>43</v>
      </c>
      <c r="K1" s="46" t="s">
        <v>44</v>
      </c>
      <c r="L1" s="46" t="s">
        <v>45</v>
      </c>
      <c r="M1" s="46" t="s">
        <v>46</v>
      </c>
      <c r="N1" s="46" t="s">
        <v>47</v>
      </c>
      <c r="O1" s="47" t="s">
        <v>48</v>
      </c>
      <c r="P1" s="46" t="s">
        <v>49</v>
      </c>
      <c r="Q1" s="46" t="s">
        <v>50</v>
      </c>
      <c r="R1" s="46" t="s">
        <v>51</v>
      </c>
      <c r="S1" s="46" t="s">
        <v>52</v>
      </c>
      <c r="T1" s="46" t="s">
        <v>53</v>
      </c>
      <c r="U1" s="46" t="s">
        <v>54</v>
      </c>
      <c r="V1" s="46" t="s">
        <v>55</v>
      </c>
      <c r="W1" s="46" t="s">
        <v>56</v>
      </c>
      <c r="X1" s="46" t="s">
        <v>57</v>
      </c>
      <c r="Y1" s="46" t="s">
        <v>58</v>
      </c>
      <c r="Z1" s="46" t="s">
        <v>59</v>
      </c>
      <c r="AA1" s="46" t="s">
        <v>60</v>
      </c>
      <c r="AB1" s="46" t="s">
        <v>61</v>
      </c>
      <c r="AC1" s="46" t="s">
        <v>62</v>
      </c>
      <c r="AD1" s="46" t="s">
        <v>63</v>
      </c>
      <c r="AE1" s="46" t="s">
        <v>64</v>
      </c>
      <c r="AF1" s="46" t="s">
        <v>65</v>
      </c>
    </row>
    <row r="2" spans="1:32" hidden="1" x14ac:dyDescent="0.35">
      <c r="A2">
        <v>46</v>
      </c>
      <c r="B2" t="s">
        <v>398</v>
      </c>
      <c r="C2" t="s">
        <v>78</v>
      </c>
      <c r="D2" t="s">
        <v>30</v>
      </c>
      <c r="E2" t="s">
        <v>927</v>
      </c>
      <c r="F2" t="s">
        <v>928</v>
      </c>
      <c r="G2">
        <v>0</v>
      </c>
      <c r="I2" s="35" t="s">
        <v>929</v>
      </c>
      <c r="J2" t="s">
        <v>66</v>
      </c>
      <c r="K2" t="s">
        <v>930</v>
      </c>
      <c r="M2" t="s">
        <v>78</v>
      </c>
      <c r="N2" t="s">
        <v>400</v>
      </c>
      <c r="O2" s="35" t="s">
        <v>931</v>
      </c>
      <c r="P2" t="s">
        <v>217</v>
      </c>
      <c r="Q2" t="s">
        <v>132</v>
      </c>
      <c r="R2" t="s">
        <v>68</v>
      </c>
      <c r="S2" t="s">
        <v>107</v>
      </c>
      <c r="T2" t="s">
        <v>132</v>
      </c>
      <c r="U2" t="s">
        <v>70</v>
      </c>
      <c r="V2" t="s">
        <v>71</v>
      </c>
      <c r="Y2" t="s">
        <v>932</v>
      </c>
      <c r="AB2" t="s">
        <v>933</v>
      </c>
      <c r="AC2" t="s">
        <v>934</v>
      </c>
      <c r="AD2" s="3" t="s">
        <v>137</v>
      </c>
      <c r="AE2" s="3" t="s">
        <v>81</v>
      </c>
    </row>
    <row r="3" spans="1:32" hidden="1" x14ac:dyDescent="0.35">
      <c r="A3">
        <v>71</v>
      </c>
      <c r="B3" t="s">
        <v>405</v>
      </c>
      <c r="C3" t="s">
        <v>407</v>
      </c>
      <c r="D3" t="s">
        <v>30</v>
      </c>
      <c r="E3" t="s">
        <v>927</v>
      </c>
      <c r="F3" t="s">
        <v>935</v>
      </c>
      <c r="G3">
        <v>0</v>
      </c>
      <c r="I3" s="35" t="s">
        <v>936</v>
      </c>
      <c r="J3" t="s">
        <v>66</v>
      </c>
      <c r="K3" t="s">
        <v>937</v>
      </c>
      <c r="M3" t="s">
        <v>407</v>
      </c>
      <c r="N3" t="s">
        <v>409</v>
      </c>
      <c r="O3" s="35" t="s">
        <v>938</v>
      </c>
      <c r="P3" t="s">
        <v>213</v>
      </c>
      <c r="Q3" t="s">
        <v>939</v>
      </c>
      <c r="R3" t="s">
        <v>136</v>
      </c>
      <c r="S3" t="s">
        <v>69</v>
      </c>
      <c r="T3" t="s">
        <v>939</v>
      </c>
      <c r="U3" t="s">
        <v>131</v>
      </c>
      <c r="V3" t="s">
        <v>71</v>
      </c>
      <c r="W3" t="s">
        <v>940</v>
      </c>
      <c r="X3" t="s">
        <v>941</v>
      </c>
      <c r="Y3" t="s">
        <v>942</v>
      </c>
      <c r="AB3" t="s">
        <v>943</v>
      </c>
      <c r="AC3" t="s">
        <v>4</v>
      </c>
      <c r="AD3" s="3" t="s">
        <v>944</v>
      </c>
      <c r="AE3" s="3" t="s">
        <v>215</v>
      </c>
      <c r="AF3" t="s">
        <v>945</v>
      </c>
    </row>
    <row r="4" spans="1:32" hidden="1" x14ac:dyDescent="0.35">
      <c r="A4">
        <v>83</v>
      </c>
      <c r="B4" t="s">
        <v>418</v>
      </c>
      <c r="C4" t="s">
        <v>421</v>
      </c>
      <c r="D4" t="s">
        <v>30</v>
      </c>
      <c r="E4" t="s">
        <v>927</v>
      </c>
      <c r="F4" t="s">
        <v>946</v>
      </c>
      <c r="G4">
        <v>0</v>
      </c>
      <c r="I4" s="35" t="s">
        <v>947</v>
      </c>
      <c r="J4" t="s">
        <v>66</v>
      </c>
      <c r="K4">
        <v>84379</v>
      </c>
      <c r="L4" t="s">
        <v>110</v>
      </c>
      <c r="M4" t="s">
        <v>421</v>
      </c>
      <c r="N4" t="s">
        <v>422</v>
      </c>
      <c r="O4" s="35" t="s">
        <v>948</v>
      </c>
      <c r="P4">
        <v>1500</v>
      </c>
      <c r="Q4" t="s">
        <v>67</v>
      </c>
      <c r="R4" t="s">
        <v>68</v>
      </c>
      <c r="S4" t="s">
        <v>69</v>
      </c>
      <c r="T4" t="s">
        <v>67</v>
      </c>
      <c r="U4" t="s">
        <v>70</v>
      </c>
      <c r="V4" t="s">
        <v>71</v>
      </c>
      <c r="AB4" t="s">
        <v>949</v>
      </c>
      <c r="AC4" t="s">
        <v>950</v>
      </c>
      <c r="AD4" s="3"/>
      <c r="AE4" s="3" t="s">
        <v>951</v>
      </c>
    </row>
    <row r="5" spans="1:32" hidden="1" x14ac:dyDescent="0.35">
      <c r="A5">
        <v>99</v>
      </c>
      <c r="B5" t="s">
        <v>431</v>
      </c>
      <c r="C5" t="s">
        <v>433</v>
      </c>
      <c r="D5" t="s">
        <v>30</v>
      </c>
      <c r="E5" t="s">
        <v>927</v>
      </c>
      <c r="F5" t="s">
        <v>952</v>
      </c>
      <c r="G5">
        <v>0</v>
      </c>
      <c r="I5" s="35" t="s">
        <v>953</v>
      </c>
      <c r="J5" t="s">
        <v>66</v>
      </c>
      <c r="K5" t="s">
        <v>954</v>
      </c>
      <c r="L5" t="s">
        <v>415</v>
      </c>
      <c r="M5" t="s">
        <v>433</v>
      </c>
      <c r="N5" t="s">
        <v>434</v>
      </c>
      <c r="O5" s="35" t="s">
        <v>955</v>
      </c>
      <c r="P5">
        <v>1130</v>
      </c>
      <c r="Q5" t="s">
        <v>939</v>
      </c>
      <c r="R5" t="s">
        <v>68</v>
      </c>
      <c r="S5" t="s">
        <v>69</v>
      </c>
      <c r="T5" t="s">
        <v>939</v>
      </c>
      <c r="U5" t="s">
        <v>127</v>
      </c>
      <c r="V5" t="s">
        <v>71</v>
      </c>
      <c r="W5" t="s">
        <v>72</v>
      </c>
      <c r="X5" t="s">
        <v>956</v>
      </c>
      <c r="Y5" t="s">
        <v>957</v>
      </c>
      <c r="AB5" t="s">
        <v>958</v>
      </c>
      <c r="AC5" t="s">
        <v>4</v>
      </c>
      <c r="AD5" s="3" t="s">
        <v>959</v>
      </c>
      <c r="AE5" s="3" t="s">
        <v>215</v>
      </c>
      <c r="AF5" t="s">
        <v>960</v>
      </c>
    </row>
    <row r="6" spans="1:32" ht="29" hidden="1" x14ac:dyDescent="0.35">
      <c r="A6">
        <v>114</v>
      </c>
      <c r="B6" t="s">
        <v>441</v>
      </c>
      <c r="C6" t="s">
        <v>110</v>
      </c>
      <c r="D6" t="s">
        <v>30</v>
      </c>
      <c r="E6" t="s">
        <v>927</v>
      </c>
      <c r="F6" t="s">
        <v>961</v>
      </c>
      <c r="G6">
        <v>0</v>
      </c>
      <c r="I6" s="35" t="s">
        <v>205</v>
      </c>
      <c r="J6" t="s">
        <v>66</v>
      </c>
      <c r="K6">
        <v>15664</v>
      </c>
      <c r="M6" t="s">
        <v>444</v>
      </c>
      <c r="N6" t="s">
        <v>408</v>
      </c>
      <c r="O6" s="35" t="s">
        <v>962</v>
      </c>
      <c r="P6">
        <v>1230</v>
      </c>
      <c r="Q6" t="s">
        <v>963</v>
      </c>
      <c r="R6" t="s">
        <v>68</v>
      </c>
      <c r="S6" t="s">
        <v>69</v>
      </c>
      <c r="T6" t="s">
        <v>963</v>
      </c>
      <c r="U6" t="s">
        <v>127</v>
      </c>
      <c r="V6" t="s">
        <v>71</v>
      </c>
      <c r="W6" t="s">
        <v>75</v>
      </c>
      <c r="X6" t="s">
        <v>964</v>
      </c>
      <c r="AA6" t="s">
        <v>965</v>
      </c>
      <c r="AB6" t="s">
        <v>966</v>
      </c>
      <c r="AC6" t="s">
        <v>967</v>
      </c>
      <c r="AD6" s="3" t="s">
        <v>208</v>
      </c>
      <c r="AE6" s="3" t="s">
        <v>968</v>
      </c>
    </row>
    <row r="7" spans="1:32" hidden="1" x14ac:dyDescent="0.35">
      <c r="A7">
        <v>116</v>
      </c>
      <c r="B7" t="s">
        <v>450</v>
      </c>
      <c r="C7" t="s">
        <v>452</v>
      </c>
      <c r="D7" t="s">
        <v>30</v>
      </c>
      <c r="E7" t="s">
        <v>927</v>
      </c>
      <c r="F7" t="s">
        <v>969</v>
      </c>
      <c r="G7">
        <v>0</v>
      </c>
      <c r="I7" s="35" t="s">
        <v>205</v>
      </c>
      <c r="J7" t="s">
        <v>66</v>
      </c>
      <c r="K7">
        <v>15664</v>
      </c>
      <c r="M7" t="s">
        <v>452</v>
      </c>
      <c r="N7" t="s">
        <v>408</v>
      </c>
      <c r="O7" s="35" t="s">
        <v>970</v>
      </c>
      <c r="P7" t="s">
        <v>123</v>
      </c>
      <c r="Q7" t="s">
        <v>67</v>
      </c>
      <c r="R7" t="s">
        <v>68</v>
      </c>
      <c r="S7" t="s">
        <v>107</v>
      </c>
      <c r="T7" t="s">
        <v>67</v>
      </c>
      <c r="U7" t="s">
        <v>70</v>
      </c>
      <c r="V7" t="s">
        <v>71</v>
      </c>
      <c r="W7" t="s">
        <v>79</v>
      </c>
      <c r="Y7" t="s">
        <v>971</v>
      </c>
      <c r="AB7" t="s">
        <v>117</v>
      </c>
      <c r="AC7" t="s">
        <v>117</v>
      </c>
      <c r="AD7" s="3" t="s">
        <v>137</v>
      </c>
      <c r="AE7" s="3" t="s">
        <v>76</v>
      </c>
    </row>
    <row r="8" spans="1:32" ht="29" hidden="1" x14ac:dyDescent="0.35">
      <c r="A8">
        <v>122</v>
      </c>
      <c r="B8" t="s">
        <v>455</v>
      </c>
      <c r="C8" t="s">
        <v>972</v>
      </c>
      <c r="D8" t="s">
        <v>30</v>
      </c>
      <c r="E8" t="s">
        <v>927</v>
      </c>
      <c r="F8" t="s">
        <v>973</v>
      </c>
      <c r="G8">
        <v>0</v>
      </c>
      <c r="I8" s="35" t="s">
        <v>974</v>
      </c>
      <c r="J8" t="s">
        <v>66</v>
      </c>
      <c r="K8">
        <v>84379</v>
      </c>
      <c r="L8" t="s">
        <v>408</v>
      </c>
      <c r="M8" t="s">
        <v>452</v>
      </c>
      <c r="N8" t="s">
        <v>434</v>
      </c>
      <c r="O8" s="35" t="s">
        <v>975</v>
      </c>
      <c r="P8">
        <v>1030</v>
      </c>
      <c r="Q8" t="s">
        <v>939</v>
      </c>
      <c r="R8" t="s">
        <v>68</v>
      </c>
      <c r="S8" t="s">
        <v>107</v>
      </c>
      <c r="T8" t="s">
        <v>939</v>
      </c>
      <c r="U8" t="s">
        <v>127</v>
      </c>
      <c r="V8" t="s">
        <v>71</v>
      </c>
      <c r="W8" t="s">
        <v>72</v>
      </c>
      <c r="X8" t="s">
        <v>976</v>
      </c>
      <c r="Y8" t="s">
        <v>977</v>
      </c>
      <c r="AB8" t="s">
        <v>978</v>
      </c>
      <c r="AC8" t="s">
        <v>979</v>
      </c>
      <c r="AD8" s="3" t="s">
        <v>980</v>
      </c>
      <c r="AE8" s="3" t="s">
        <v>981</v>
      </c>
      <c r="AF8" t="s">
        <v>982</v>
      </c>
    </row>
    <row r="9" spans="1:32" hidden="1" x14ac:dyDescent="0.35">
      <c r="A9">
        <v>123</v>
      </c>
      <c r="B9" t="s">
        <v>459</v>
      </c>
      <c r="C9" t="s">
        <v>133</v>
      </c>
      <c r="D9" t="s">
        <v>30</v>
      </c>
      <c r="E9" t="s">
        <v>927</v>
      </c>
      <c r="F9" t="s">
        <v>983</v>
      </c>
      <c r="G9">
        <v>0</v>
      </c>
      <c r="I9" s="35" t="s">
        <v>974</v>
      </c>
      <c r="J9" t="s">
        <v>66</v>
      </c>
      <c r="K9">
        <v>72445</v>
      </c>
      <c r="L9" t="s">
        <v>408</v>
      </c>
      <c r="M9" t="s">
        <v>133</v>
      </c>
      <c r="N9" t="s">
        <v>461</v>
      </c>
      <c r="O9" s="35" t="s">
        <v>205</v>
      </c>
      <c r="P9" t="s">
        <v>210</v>
      </c>
      <c r="Q9" t="s">
        <v>984</v>
      </c>
      <c r="R9" t="s">
        <v>68</v>
      </c>
      <c r="S9" t="s">
        <v>69</v>
      </c>
      <c r="T9" t="s">
        <v>984</v>
      </c>
      <c r="U9" t="s">
        <v>127</v>
      </c>
      <c r="V9" t="s">
        <v>71</v>
      </c>
      <c r="W9" t="s">
        <v>79</v>
      </c>
      <c r="AB9" t="s">
        <v>985</v>
      </c>
      <c r="AC9" t="s">
        <v>986</v>
      </c>
      <c r="AD9" s="3" t="s">
        <v>987</v>
      </c>
      <c r="AE9" s="3" t="s">
        <v>81</v>
      </c>
    </row>
    <row r="10" spans="1:32" hidden="1" x14ac:dyDescent="0.35">
      <c r="A10">
        <v>124</v>
      </c>
      <c r="B10" t="s">
        <v>466</v>
      </c>
      <c r="C10" t="s">
        <v>421</v>
      </c>
      <c r="D10" t="s">
        <v>30</v>
      </c>
      <c r="E10" t="s">
        <v>927</v>
      </c>
      <c r="F10" t="s">
        <v>988</v>
      </c>
      <c r="G10">
        <v>0</v>
      </c>
      <c r="I10" s="35" t="s">
        <v>989</v>
      </c>
      <c r="J10" t="s">
        <v>66</v>
      </c>
      <c r="K10" t="s">
        <v>990</v>
      </c>
      <c r="M10" t="s">
        <v>421</v>
      </c>
      <c r="N10" t="s">
        <v>468</v>
      </c>
      <c r="O10" s="35" t="s">
        <v>991</v>
      </c>
      <c r="P10" t="s">
        <v>123</v>
      </c>
      <c r="Q10" t="s">
        <v>134</v>
      </c>
      <c r="R10" t="s">
        <v>136</v>
      </c>
      <c r="S10" t="s">
        <v>69</v>
      </c>
      <c r="T10" t="s">
        <v>67</v>
      </c>
      <c r="U10" t="s">
        <v>70</v>
      </c>
      <c r="V10" t="s">
        <v>71</v>
      </c>
      <c r="W10" t="s">
        <v>79</v>
      </c>
      <c r="Y10" t="s">
        <v>992</v>
      </c>
      <c r="AB10" t="s">
        <v>993</v>
      </c>
      <c r="AC10" t="s">
        <v>994</v>
      </c>
      <c r="AD10" s="3" t="s">
        <v>77</v>
      </c>
      <c r="AE10" s="3" t="s">
        <v>995</v>
      </c>
    </row>
    <row r="11" spans="1:32" hidden="1" x14ac:dyDescent="0.35">
      <c r="A11">
        <v>132</v>
      </c>
      <c r="B11" t="s">
        <v>473</v>
      </c>
      <c r="C11" t="s">
        <v>475</v>
      </c>
      <c r="D11" t="s">
        <v>30</v>
      </c>
      <c r="E11" t="s">
        <v>927</v>
      </c>
      <c r="F11" t="s">
        <v>996</v>
      </c>
      <c r="G11">
        <v>0</v>
      </c>
      <c r="I11" s="35" t="s">
        <v>997</v>
      </c>
      <c r="J11" t="s">
        <v>66</v>
      </c>
      <c r="K11" t="s">
        <v>998</v>
      </c>
      <c r="L11" t="s">
        <v>484</v>
      </c>
      <c r="M11" t="s">
        <v>475</v>
      </c>
      <c r="N11" t="s">
        <v>476</v>
      </c>
      <c r="O11" s="35" t="s">
        <v>997</v>
      </c>
      <c r="P11">
        <v>1430</v>
      </c>
      <c r="Q11" t="s">
        <v>999</v>
      </c>
      <c r="R11" t="s">
        <v>77</v>
      </c>
      <c r="S11" t="s">
        <v>107</v>
      </c>
      <c r="T11" t="s">
        <v>999</v>
      </c>
      <c r="U11" t="s">
        <v>1000</v>
      </c>
      <c r="V11" t="s">
        <v>71</v>
      </c>
      <c r="W11" t="s">
        <v>75</v>
      </c>
      <c r="X11" t="s">
        <v>481</v>
      </c>
      <c r="Y11" t="s">
        <v>1001</v>
      </c>
      <c r="AB11" t="s">
        <v>1002</v>
      </c>
      <c r="AC11" t="s">
        <v>1003</v>
      </c>
      <c r="AD11" s="3" t="s">
        <v>980</v>
      </c>
      <c r="AE11" s="3" t="s">
        <v>215</v>
      </c>
      <c r="AF11" t="s">
        <v>1004</v>
      </c>
    </row>
    <row r="12" spans="1:32" hidden="1" x14ac:dyDescent="0.35">
      <c r="A12">
        <v>146</v>
      </c>
      <c r="B12" t="s">
        <v>485</v>
      </c>
      <c r="C12" t="s">
        <v>421</v>
      </c>
      <c r="D12" t="s">
        <v>30</v>
      </c>
      <c r="E12" t="s">
        <v>927</v>
      </c>
      <c r="F12" t="s">
        <v>1005</v>
      </c>
      <c r="G12">
        <v>0</v>
      </c>
      <c r="I12" s="35" t="s">
        <v>1006</v>
      </c>
      <c r="J12" t="s">
        <v>66</v>
      </c>
      <c r="K12">
        <v>15656</v>
      </c>
      <c r="L12" t="s">
        <v>110</v>
      </c>
      <c r="M12" t="s">
        <v>421</v>
      </c>
      <c r="N12" t="s">
        <v>488</v>
      </c>
      <c r="O12" s="35" t="s">
        <v>207</v>
      </c>
      <c r="P12">
        <v>2200</v>
      </c>
      <c r="Q12" t="s">
        <v>67</v>
      </c>
      <c r="R12" t="s">
        <v>68</v>
      </c>
      <c r="S12" t="s">
        <v>69</v>
      </c>
      <c r="T12" t="s">
        <v>67</v>
      </c>
      <c r="U12" t="s">
        <v>70</v>
      </c>
      <c r="V12" t="s">
        <v>71</v>
      </c>
      <c r="W12" t="s">
        <v>79</v>
      </c>
      <c r="X12" t="s">
        <v>487</v>
      </c>
      <c r="Y12" t="s">
        <v>1007</v>
      </c>
      <c r="Z12" t="s">
        <v>1008</v>
      </c>
      <c r="AA12" t="s">
        <v>1008</v>
      </c>
      <c r="AB12" t="s">
        <v>1009</v>
      </c>
      <c r="AC12" t="s">
        <v>1010</v>
      </c>
      <c r="AD12" s="3" t="s">
        <v>77</v>
      </c>
      <c r="AE12" s="3" t="s">
        <v>81</v>
      </c>
    </row>
    <row r="13" spans="1:32" x14ac:dyDescent="0.35">
      <c r="A13">
        <v>158</v>
      </c>
      <c r="B13" t="s">
        <v>490</v>
      </c>
      <c r="C13" t="s">
        <v>452</v>
      </c>
      <c r="D13" t="s">
        <v>30</v>
      </c>
      <c r="E13" t="s">
        <v>927</v>
      </c>
      <c r="F13" t="s">
        <v>1011</v>
      </c>
      <c r="G13">
        <v>0</v>
      </c>
      <c r="I13" s="35" t="s">
        <v>1012</v>
      </c>
      <c r="J13" t="s">
        <v>66</v>
      </c>
      <c r="K13">
        <v>72561</v>
      </c>
      <c r="L13" t="s">
        <v>110</v>
      </c>
      <c r="M13" t="s">
        <v>452</v>
      </c>
      <c r="N13" t="s">
        <v>408</v>
      </c>
      <c r="O13" s="35" t="s">
        <v>185</v>
      </c>
      <c r="P13">
        <v>1500</v>
      </c>
      <c r="Q13" t="s">
        <v>67</v>
      </c>
      <c r="R13" t="s">
        <v>68</v>
      </c>
      <c r="S13" t="s">
        <v>69</v>
      </c>
      <c r="T13" t="s">
        <v>67</v>
      </c>
      <c r="U13" t="s">
        <v>70</v>
      </c>
      <c r="V13" t="s">
        <v>71</v>
      </c>
      <c r="Z13" t="s">
        <v>1013</v>
      </c>
      <c r="AA13" t="s">
        <v>1013</v>
      </c>
      <c r="AD13" s="3" t="s">
        <v>77</v>
      </c>
      <c r="AE13" s="3" t="s">
        <v>76</v>
      </c>
    </row>
    <row r="14" spans="1:32" hidden="1" x14ac:dyDescent="0.35">
      <c r="A14">
        <v>190</v>
      </c>
      <c r="B14" t="s">
        <v>495</v>
      </c>
      <c r="C14" t="s">
        <v>430</v>
      </c>
      <c r="D14" t="s">
        <v>30</v>
      </c>
      <c r="E14" t="s">
        <v>927</v>
      </c>
      <c r="F14" t="s">
        <v>1014</v>
      </c>
      <c r="G14">
        <v>0</v>
      </c>
      <c r="I14" s="35" t="s">
        <v>1015</v>
      </c>
      <c r="J14" t="s">
        <v>66</v>
      </c>
      <c r="K14">
        <v>84414</v>
      </c>
      <c r="L14" t="s">
        <v>408</v>
      </c>
      <c r="M14" t="s">
        <v>430</v>
      </c>
      <c r="N14" t="s">
        <v>408</v>
      </c>
      <c r="O14" s="35" t="s">
        <v>129</v>
      </c>
      <c r="P14">
        <v>1500</v>
      </c>
      <c r="Q14" t="s">
        <v>67</v>
      </c>
      <c r="R14" t="s">
        <v>68</v>
      </c>
      <c r="S14" t="s">
        <v>69</v>
      </c>
      <c r="T14" t="s">
        <v>67</v>
      </c>
      <c r="U14" t="s">
        <v>70</v>
      </c>
      <c r="V14" t="s">
        <v>71</v>
      </c>
      <c r="W14" t="s">
        <v>79</v>
      </c>
      <c r="Z14" t="s">
        <v>1016</v>
      </c>
      <c r="AA14" t="s">
        <v>1016</v>
      </c>
      <c r="AB14" t="s">
        <v>1017</v>
      </c>
      <c r="AC14" t="s">
        <v>4</v>
      </c>
      <c r="AD14" s="3" t="s">
        <v>951</v>
      </c>
      <c r="AE14" s="3" t="s">
        <v>76</v>
      </c>
    </row>
    <row r="15" spans="1:32" x14ac:dyDescent="0.35">
      <c r="A15">
        <v>191</v>
      </c>
      <c r="B15" t="s">
        <v>506</v>
      </c>
      <c r="C15" t="s">
        <v>508</v>
      </c>
      <c r="D15" t="s">
        <v>30</v>
      </c>
      <c r="E15" t="s">
        <v>927</v>
      </c>
      <c r="F15" t="s">
        <v>1018</v>
      </c>
      <c r="G15">
        <v>0</v>
      </c>
      <c r="I15" s="35" t="s">
        <v>1019</v>
      </c>
      <c r="J15" t="s">
        <v>66</v>
      </c>
      <c r="K15">
        <v>15675</v>
      </c>
      <c r="L15" t="s">
        <v>1020</v>
      </c>
      <c r="M15" t="s">
        <v>508</v>
      </c>
      <c r="N15" t="s">
        <v>400</v>
      </c>
      <c r="O15" s="35" t="s">
        <v>1021</v>
      </c>
      <c r="P15">
        <v>2330</v>
      </c>
      <c r="Q15" t="s">
        <v>67</v>
      </c>
      <c r="R15" t="s">
        <v>68</v>
      </c>
      <c r="S15" t="s">
        <v>69</v>
      </c>
      <c r="T15" t="s">
        <v>67</v>
      </c>
      <c r="U15" t="s">
        <v>70</v>
      </c>
      <c r="V15" t="s">
        <v>71</v>
      </c>
      <c r="W15" t="s">
        <v>79</v>
      </c>
      <c r="X15" t="s">
        <v>1022</v>
      </c>
      <c r="Z15" t="s">
        <v>1013</v>
      </c>
      <c r="AA15" t="s">
        <v>1013</v>
      </c>
      <c r="AB15" t="s">
        <v>1023</v>
      </c>
      <c r="AC15" t="s">
        <v>1024</v>
      </c>
      <c r="AD15" s="3" t="s">
        <v>77</v>
      </c>
      <c r="AE15" s="3"/>
      <c r="AF15" t="s">
        <v>1025</v>
      </c>
    </row>
    <row r="16" spans="1:32" hidden="1" x14ac:dyDescent="0.35">
      <c r="A16">
        <v>214</v>
      </c>
      <c r="B16" t="s">
        <v>510</v>
      </c>
      <c r="C16" t="s">
        <v>1026</v>
      </c>
      <c r="D16" t="s">
        <v>30</v>
      </c>
      <c r="E16" t="s">
        <v>927</v>
      </c>
      <c r="F16" t="s">
        <v>1027</v>
      </c>
      <c r="G16">
        <v>0</v>
      </c>
      <c r="I16" s="35" t="s">
        <v>1028</v>
      </c>
      <c r="J16" t="s">
        <v>66</v>
      </c>
      <c r="K16">
        <v>22582</v>
      </c>
      <c r="L16" t="s">
        <v>513</v>
      </c>
      <c r="M16" t="s">
        <v>514</v>
      </c>
      <c r="N16" t="s">
        <v>515</v>
      </c>
      <c r="O16" s="35" t="s">
        <v>1029</v>
      </c>
      <c r="P16">
        <v>2400</v>
      </c>
      <c r="Q16" t="s">
        <v>67</v>
      </c>
      <c r="R16" t="s">
        <v>68</v>
      </c>
      <c r="S16" t="s">
        <v>69</v>
      </c>
      <c r="T16" t="s">
        <v>67</v>
      </c>
      <c r="U16" t="s">
        <v>70</v>
      </c>
      <c r="V16" t="s">
        <v>209</v>
      </c>
      <c r="W16" t="s">
        <v>79</v>
      </c>
      <c r="X16" t="s">
        <v>1030</v>
      </c>
      <c r="Y16" t="s">
        <v>1031</v>
      </c>
      <c r="Z16" t="s">
        <v>1032</v>
      </c>
      <c r="AA16" t="s">
        <v>1032</v>
      </c>
      <c r="AB16" t="s">
        <v>1033</v>
      </c>
      <c r="AC16" t="s">
        <v>1031</v>
      </c>
      <c r="AD16" s="3" t="s">
        <v>81</v>
      </c>
      <c r="AE16" s="3" t="s">
        <v>137</v>
      </c>
      <c r="AF16" t="s">
        <v>1034</v>
      </c>
    </row>
    <row r="17" spans="1:32" hidden="1" x14ac:dyDescent="0.35">
      <c r="A17">
        <v>225</v>
      </c>
      <c r="B17" t="s">
        <v>519</v>
      </c>
      <c r="C17" t="s">
        <v>566</v>
      </c>
      <c r="D17" t="s">
        <v>30</v>
      </c>
      <c r="E17" t="s">
        <v>927</v>
      </c>
      <c r="F17" t="s">
        <v>1035</v>
      </c>
      <c r="G17">
        <v>0</v>
      </c>
      <c r="I17" s="35" t="s">
        <v>1036</v>
      </c>
      <c r="J17" t="s">
        <v>66</v>
      </c>
      <c r="K17">
        <v>84414</v>
      </c>
      <c r="L17" t="s">
        <v>125</v>
      </c>
      <c r="M17" t="s">
        <v>497</v>
      </c>
      <c r="N17" t="s">
        <v>521</v>
      </c>
      <c r="O17" s="35" t="s">
        <v>1036</v>
      </c>
      <c r="P17">
        <v>1600</v>
      </c>
      <c r="Q17" t="s">
        <v>67</v>
      </c>
      <c r="R17" t="s">
        <v>68</v>
      </c>
      <c r="S17" t="s">
        <v>69</v>
      </c>
      <c r="T17" t="s">
        <v>67</v>
      </c>
      <c r="U17" t="s">
        <v>70</v>
      </c>
      <c r="V17" t="s">
        <v>214</v>
      </c>
      <c r="W17" t="s">
        <v>75</v>
      </c>
      <c r="X17" t="s">
        <v>531</v>
      </c>
      <c r="Z17" t="s">
        <v>1016</v>
      </c>
      <c r="AA17" t="s">
        <v>1016</v>
      </c>
      <c r="AB17" t="s">
        <v>1037</v>
      </c>
      <c r="AC17" t="s">
        <v>1038</v>
      </c>
      <c r="AD17" s="3" t="s">
        <v>77</v>
      </c>
      <c r="AE17" s="3" t="s">
        <v>81</v>
      </c>
      <c r="AF17" t="s">
        <v>1039</v>
      </c>
    </row>
    <row r="18" spans="1:32" hidden="1" x14ac:dyDescent="0.35">
      <c r="A18">
        <v>229</v>
      </c>
      <c r="B18" t="s">
        <v>526</v>
      </c>
      <c r="C18" t="s">
        <v>497</v>
      </c>
      <c r="D18" t="s">
        <v>30</v>
      </c>
      <c r="E18" t="s">
        <v>927</v>
      </c>
      <c r="F18" t="s">
        <v>1040</v>
      </c>
      <c r="G18">
        <v>0</v>
      </c>
      <c r="I18" s="35" t="s">
        <v>1041</v>
      </c>
      <c r="J18" t="s">
        <v>66</v>
      </c>
      <c r="K18">
        <v>84414</v>
      </c>
      <c r="L18" t="s">
        <v>110</v>
      </c>
      <c r="M18" t="s">
        <v>497</v>
      </c>
      <c r="N18" t="s">
        <v>528</v>
      </c>
      <c r="O18" s="35" t="s">
        <v>1041</v>
      </c>
      <c r="P18">
        <v>1230</v>
      </c>
      <c r="Q18" t="s">
        <v>67</v>
      </c>
      <c r="R18" t="s">
        <v>68</v>
      </c>
      <c r="S18" t="s">
        <v>107</v>
      </c>
      <c r="T18" t="s">
        <v>67</v>
      </c>
      <c r="U18" t="s">
        <v>70</v>
      </c>
      <c r="V18" t="s">
        <v>71</v>
      </c>
      <c r="W18" t="s">
        <v>72</v>
      </c>
      <c r="X18" t="s">
        <v>497</v>
      </c>
      <c r="Y18" t="s">
        <v>1042</v>
      </c>
      <c r="Z18" t="s">
        <v>1016</v>
      </c>
      <c r="AA18" t="s">
        <v>1016</v>
      </c>
      <c r="AB18" t="s">
        <v>1043</v>
      </c>
      <c r="AC18" t="s">
        <v>1044</v>
      </c>
      <c r="AD18" s="3" t="s">
        <v>77</v>
      </c>
      <c r="AE18" s="3" t="s">
        <v>81</v>
      </c>
    </row>
    <row r="19" spans="1:32" hidden="1" x14ac:dyDescent="0.35">
      <c r="A19">
        <v>235</v>
      </c>
      <c r="B19" t="s">
        <v>529</v>
      </c>
      <c r="C19" t="s">
        <v>566</v>
      </c>
      <c r="D19" t="s">
        <v>30</v>
      </c>
      <c r="E19" t="s">
        <v>927</v>
      </c>
      <c r="F19" t="s">
        <v>1045</v>
      </c>
      <c r="G19">
        <v>0</v>
      </c>
      <c r="I19" s="35" t="s">
        <v>1046</v>
      </c>
      <c r="J19" t="s">
        <v>66</v>
      </c>
      <c r="K19">
        <v>84414</v>
      </c>
      <c r="L19" t="s">
        <v>110</v>
      </c>
      <c r="M19" t="s">
        <v>531</v>
      </c>
      <c r="N19" t="s">
        <v>532</v>
      </c>
      <c r="O19" s="35" t="s">
        <v>1046</v>
      </c>
      <c r="P19">
        <v>1000</v>
      </c>
      <c r="Q19" t="s">
        <v>67</v>
      </c>
      <c r="R19" t="s">
        <v>68</v>
      </c>
      <c r="S19" t="s">
        <v>69</v>
      </c>
      <c r="T19" t="s">
        <v>67</v>
      </c>
      <c r="U19" t="s">
        <v>70</v>
      </c>
      <c r="V19" t="s">
        <v>71</v>
      </c>
      <c r="W19" t="s">
        <v>72</v>
      </c>
      <c r="Z19" t="s">
        <v>1016</v>
      </c>
      <c r="AA19" t="s">
        <v>1016</v>
      </c>
      <c r="AB19" t="s">
        <v>1047</v>
      </c>
      <c r="AC19" t="s">
        <v>1048</v>
      </c>
      <c r="AD19" s="3" t="s">
        <v>76</v>
      </c>
      <c r="AE19" s="3" t="s">
        <v>81</v>
      </c>
      <c r="AF19" t="s">
        <v>1049</v>
      </c>
    </row>
    <row r="20" spans="1:32" ht="29" hidden="1" x14ac:dyDescent="0.35">
      <c r="A20">
        <v>238</v>
      </c>
      <c r="B20" t="s">
        <v>538</v>
      </c>
      <c r="C20" t="s">
        <v>444</v>
      </c>
      <c r="D20" t="s">
        <v>30</v>
      </c>
      <c r="E20" t="s">
        <v>927</v>
      </c>
      <c r="F20" t="s">
        <v>1050</v>
      </c>
      <c r="G20">
        <v>0</v>
      </c>
      <c r="I20" s="35" t="s">
        <v>1051</v>
      </c>
      <c r="J20" t="s">
        <v>66</v>
      </c>
      <c r="K20">
        <v>1</v>
      </c>
      <c r="L20" t="s">
        <v>110</v>
      </c>
      <c r="M20" t="s">
        <v>444</v>
      </c>
      <c r="N20" t="s">
        <v>186</v>
      </c>
      <c r="O20" s="35" t="s">
        <v>1051</v>
      </c>
      <c r="P20" t="s">
        <v>4</v>
      </c>
      <c r="Q20" t="s">
        <v>67</v>
      </c>
      <c r="R20" t="s">
        <v>68</v>
      </c>
      <c r="S20" t="s">
        <v>69</v>
      </c>
      <c r="T20" t="s">
        <v>67</v>
      </c>
      <c r="U20" t="s">
        <v>203</v>
      </c>
      <c r="V20" t="s">
        <v>71</v>
      </c>
      <c r="Z20" t="s">
        <v>1008</v>
      </c>
      <c r="AA20" t="s">
        <v>1008</v>
      </c>
      <c r="AB20" t="s">
        <v>1052</v>
      </c>
      <c r="AC20" t="s">
        <v>1053</v>
      </c>
      <c r="AD20" s="3" t="s">
        <v>1054</v>
      </c>
      <c r="AE20" s="3"/>
    </row>
    <row r="21" spans="1:32" hidden="1" x14ac:dyDescent="0.35">
      <c r="A21">
        <v>243</v>
      </c>
      <c r="B21" t="s">
        <v>547</v>
      </c>
      <c r="C21" t="s">
        <v>110</v>
      </c>
      <c r="D21" t="s">
        <v>30</v>
      </c>
      <c r="E21" t="s">
        <v>927</v>
      </c>
      <c r="F21" t="s">
        <v>1055</v>
      </c>
      <c r="G21">
        <v>0</v>
      </c>
      <c r="I21" s="35" t="s">
        <v>1056</v>
      </c>
      <c r="J21" t="s">
        <v>66</v>
      </c>
      <c r="K21">
        <v>72584</v>
      </c>
      <c r="L21" t="s">
        <v>558</v>
      </c>
      <c r="M21" t="s">
        <v>110</v>
      </c>
      <c r="N21" t="s">
        <v>549</v>
      </c>
      <c r="O21" s="35" t="s">
        <v>1056</v>
      </c>
      <c r="P21" t="s">
        <v>4</v>
      </c>
      <c r="Q21" t="s">
        <v>67</v>
      </c>
      <c r="R21" t="s">
        <v>68</v>
      </c>
      <c r="S21" t="s">
        <v>69</v>
      </c>
      <c r="T21" t="s">
        <v>67</v>
      </c>
      <c r="U21" t="s">
        <v>70</v>
      </c>
      <c r="V21" t="s">
        <v>71</v>
      </c>
      <c r="Z21" t="s">
        <v>1032</v>
      </c>
      <c r="AA21" t="s">
        <v>1032</v>
      </c>
      <c r="AD21" s="3" t="s">
        <v>137</v>
      </c>
      <c r="AE21" s="3" t="s">
        <v>76</v>
      </c>
    </row>
    <row r="22" spans="1:32" hidden="1" x14ac:dyDescent="0.35">
      <c r="A22">
        <v>253</v>
      </c>
      <c r="B22" t="s">
        <v>556</v>
      </c>
      <c r="C22" t="s">
        <v>558</v>
      </c>
      <c r="D22" t="s">
        <v>30</v>
      </c>
      <c r="E22" t="s">
        <v>927</v>
      </c>
      <c r="F22" t="s">
        <v>1057</v>
      </c>
      <c r="G22">
        <v>0</v>
      </c>
      <c r="I22" s="35" t="s">
        <v>1058</v>
      </c>
      <c r="J22" t="s">
        <v>66</v>
      </c>
      <c r="K22">
        <v>72584</v>
      </c>
      <c r="L22" t="s">
        <v>679</v>
      </c>
      <c r="M22" t="s">
        <v>558</v>
      </c>
      <c r="N22" t="s">
        <v>559</v>
      </c>
      <c r="O22" s="35" t="s">
        <v>1058</v>
      </c>
      <c r="P22">
        <v>2030</v>
      </c>
      <c r="Q22" t="s">
        <v>1059</v>
      </c>
      <c r="R22" t="s">
        <v>68</v>
      </c>
      <c r="S22" t="s">
        <v>69</v>
      </c>
      <c r="T22" t="s">
        <v>1059</v>
      </c>
      <c r="U22" t="s">
        <v>70</v>
      </c>
      <c r="V22" t="s">
        <v>71</v>
      </c>
      <c r="W22" t="s">
        <v>1060</v>
      </c>
      <c r="X22" t="s">
        <v>487</v>
      </c>
      <c r="Y22" t="s">
        <v>1061</v>
      </c>
      <c r="Z22" t="s">
        <v>1062</v>
      </c>
      <c r="AA22" t="s">
        <v>1062</v>
      </c>
      <c r="AB22" t="s">
        <v>1063</v>
      </c>
      <c r="AC22" t="s">
        <v>1064</v>
      </c>
      <c r="AD22" s="3" t="s">
        <v>73</v>
      </c>
      <c r="AE22" s="3" t="s">
        <v>1065</v>
      </c>
    </row>
    <row r="23" spans="1:32" hidden="1" x14ac:dyDescent="0.35">
      <c r="A23">
        <v>258</v>
      </c>
      <c r="B23" t="s">
        <v>564</v>
      </c>
      <c r="C23" t="s">
        <v>566</v>
      </c>
      <c r="D23" t="s">
        <v>30</v>
      </c>
      <c r="E23" t="s">
        <v>927</v>
      </c>
      <c r="F23" t="s">
        <v>1066</v>
      </c>
      <c r="G23">
        <v>0</v>
      </c>
      <c r="I23" s="35" t="s">
        <v>1067</v>
      </c>
      <c r="J23" t="s">
        <v>66</v>
      </c>
      <c r="K23">
        <v>72584</v>
      </c>
      <c r="L23" t="s">
        <v>408</v>
      </c>
      <c r="M23" t="s">
        <v>566</v>
      </c>
      <c r="N23" t="s">
        <v>567</v>
      </c>
      <c r="O23" s="35" t="s">
        <v>1067</v>
      </c>
      <c r="P23">
        <v>1030</v>
      </c>
      <c r="Q23" t="s">
        <v>67</v>
      </c>
      <c r="R23" t="s">
        <v>68</v>
      </c>
      <c r="S23" t="s">
        <v>69</v>
      </c>
      <c r="T23" t="s">
        <v>67</v>
      </c>
      <c r="U23" t="s">
        <v>70</v>
      </c>
      <c r="V23" t="s">
        <v>71</v>
      </c>
      <c r="W23" t="s">
        <v>72</v>
      </c>
      <c r="Y23" t="s">
        <v>1068</v>
      </c>
      <c r="Z23" t="s">
        <v>1008</v>
      </c>
      <c r="AA23" t="s">
        <v>1008</v>
      </c>
      <c r="AB23" t="s">
        <v>1009</v>
      </c>
      <c r="AC23" t="s">
        <v>1069</v>
      </c>
      <c r="AD23" s="3" t="s">
        <v>77</v>
      </c>
      <c r="AE23" s="3" t="s">
        <v>81</v>
      </c>
    </row>
    <row r="24" spans="1:32" hidden="1" x14ac:dyDescent="0.35">
      <c r="A24">
        <v>273</v>
      </c>
      <c r="B24" t="s">
        <v>569</v>
      </c>
      <c r="C24" t="s">
        <v>508</v>
      </c>
      <c r="D24" t="s">
        <v>30</v>
      </c>
      <c r="E24" t="s">
        <v>927</v>
      </c>
      <c r="F24" t="s">
        <v>1070</v>
      </c>
      <c r="G24">
        <v>0</v>
      </c>
      <c r="I24" s="35" t="s">
        <v>1071</v>
      </c>
      <c r="J24" t="s">
        <v>66</v>
      </c>
      <c r="K24">
        <v>72606</v>
      </c>
      <c r="L24" t="s">
        <v>571</v>
      </c>
      <c r="M24" t="s">
        <v>508</v>
      </c>
      <c r="N24" t="s">
        <v>572</v>
      </c>
      <c r="O24" s="35" t="s">
        <v>1071</v>
      </c>
      <c r="P24">
        <v>1400</v>
      </c>
      <c r="Q24" t="s">
        <v>67</v>
      </c>
      <c r="R24" t="s">
        <v>136</v>
      </c>
      <c r="S24" t="s">
        <v>107</v>
      </c>
      <c r="T24" t="s">
        <v>67</v>
      </c>
      <c r="U24" t="s">
        <v>70</v>
      </c>
      <c r="V24" t="s">
        <v>71</v>
      </c>
      <c r="W24" t="s">
        <v>72</v>
      </c>
      <c r="X24" t="s">
        <v>531</v>
      </c>
      <c r="Y24" t="s">
        <v>1072</v>
      </c>
      <c r="Z24" t="s">
        <v>1016</v>
      </c>
      <c r="AA24" t="s">
        <v>1016</v>
      </c>
      <c r="AB24" t="s">
        <v>1073</v>
      </c>
      <c r="AC24" t="s">
        <v>1074</v>
      </c>
      <c r="AD24" s="3" t="s">
        <v>1075</v>
      </c>
      <c r="AE24" s="3"/>
      <c r="AF24" t="s">
        <v>1076</v>
      </c>
    </row>
    <row r="25" spans="1:32" hidden="1" x14ac:dyDescent="0.35">
      <c r="A25">
        <v>274</v>
      </c>
      <c r="B25" t="s">
        <v>574</v>
      </c>
      <c r="C25" t="s">
        <v>577</v>
      </c>
      <c r="D25" t="s">
        <v>30</v>
      </c>
      <c r="E25" t="s">
        <v>927</v>
      </c>
      <c r="F25" t="s">
        <v>1077</v>
      </c>
      <c r="G25">
        <v>0</v>
      </c>
      <c r="I25" s="35" t="s">
        <v>1078</v>
      </c>
      <c r="J25" t="s">
        <v>66</v>
      </c>
      <c r="K25">
        <v>15771</v>
      </c>
      <c r="L25" t="s">
        <v>576</v>
      </c>
      <c r="M25" t="s">
        <v>577</v>
      </c>
      <c r="N25" t="s">
        <v>578</v>
      </c>
      <c r="O25" s="35" t="s">
        <v>1078</v>
      </c>
      <c r="P25">
        <v>1000</v>
      </c>
      <c r="Q25" t="s">
        <v>963</v>
      </c>
      <c r="R25" t="s">
        <v>1079</v>
      </c>
      <c r="S25" t="s">
        <v>69</v>
      </c>
      <c r="T25" t="s">
        <v>963</v>
      </c>
      <c r="U25" t="s">
        <v>127</v>
      </c>
      <c r="V25" t="s">
        <v>124</v>
      </c>
      <c r="W25" t="s">
        <v>211</v>
      </c>
      <c r="X25" t="s">
        <v>964</v>
      </c>
      <c r="Y25" t="s">
        <v>1080</v>
      </c>
      <c r="Z25" t="s">
        <v>965</v>
      </c>
      <c r="AA25" t="s">
        <v>965</v>
      </c>
      <c r="AB25" t="s">
        <v>1081</v>
      </c>
      <c r="AC25" t="s">
        <v>1082</v>
      </c>
      <c r="AD25" s="3" t="s">
        <v>73</v>
      </c>
      <c r="AE25" s="3" t="s">
        <v>1083</v>
      </c>
    </row>
    <row r="26" spans="1:32" hidden="1" x14ac:dyDescent="0.35">
      <c r="A26">
        <v>278</v>
      </c>
      <c r="B26" t="s">
        <v>581</v>
      </c>
      <c r="C26" t="s">
        <v>558</v>
      </c>
      <c r="D26" t="s">
        <v>30</v>
      </c>
      <c r="E26" t="s">
        <v>927</v>
      </c>
      <c r="F26" t="s">
        <v>1084</v>
      </c>
      <c r="G26">
        <v>0</v>
      </c>
      <c r="I26" s="35" t="s">
        <v>1085</v>
      </c>
      <c r="J26" t="s">
        <v>66</v>
      </c>
      <c r="K26">
        <v>72606</v>
      </c>
      <c r="L26" t="s">
        <v>508</v>
      </c>
      <c r="M26" t="s">
        <v>558</v>
      </c>
      <c r="N26" t="s">
        <v>584</v>
      </c>
      <c r="O26" s="35" t="s">
        <v>1085</v>
      </c>
      <c r="P26" t="s">
        <v>74</v>
      </c>
      <c r="Q26" t="s">
        <v>67</v>
      </c>
      <c r="R26" t="s">
        <v>68</v>
      </c>
      <c r="S26" t="s">
        <v>69</v>
      </c>
      <c r="T26" t="s">
        <v>67</v>
      </c>
      <c r="U26" t="s">
        <v>70</v>
      </c>
      <c r="V26" t="s">
        <v>71</v>
      </c>
      <c r="W26" t="s">
        <v>72</v>
      </c>
      <c r="X26" t="s">
        <v>1086</v>
      </c>
      <c r="Y26" t="s">
        <v>1087</v>
      </c>
      <c r="Z26" t="s">
        <v>1032</v>
      </c>
      <c r="AA26" t="s">
        <v>1032</v>
      </c>
      <c r="AB26" t="s">
        <v>1088</v>
      </c>
      <c r="AC26" t="s">
        <v>1088</v>
      </c>
      <c r="AD26" s="3" t="s">
        <v>137</v>
      </c>
      <c r="AE26" s="3" t="s">
        <v>76</v>
      </c>
    </row>
    <row r="27" spans="1:32" hidden="1" x14ac:dyDescent="0.35">
      <c r="A27">
        <v>282</v>
      </c>
      <c r="B27" t="s">
        <v>587</v>
      </c>
      <c r="C27" t="s">
        <v>571</v>
      </c>
      <c r="D27" t="s">
        <v>30</v>
      </c>
      <c r="E27" t="s">
        <v>927</v>
      </c>
      <c r="F27" t="s">
        <v>1089</v>
      </c>
      <c r="G27">
        <v>0</v>
      </c>
      <c r="I27" s="35" t="s">
        <v>1090</v>
      </c>
      <c r="J27" t="s">
        <v>66</v>
      </c>
      <c r="K27">
        <v>72606</v>
      </c>
      <c r="L27" t="s">
        <v>408</v>
      </c>
      <c r="M27" t="s">
        <v>571</v>
      </c>
      <c r="N27" t="s">
        <v>578</v>
      </c>
      <c r="O27" s="35" t="s">
        <v>1090</v>
      </c>
      <c r="P27">
        <v>1000</v>
      </c>
      <c r="Q27" t="s">
        <v>1091</v>
      </c>
      <c r="R27" t="s">
        <v>1092</v>
      </c>
      <c r="S27" t="s">
        <v>69</v>
      </c>
      <c r="T27" t="s">
        <v>1091</v>
      </c>
      <c r="U27" t="s">
        <v>131</v>
      </c>
      <c r="V27" t="s">
        <v>71</v>
      </c>
      <c r="W27" t="s">
        <v>1093</v>
      </c>
      <c r="X27" t="s">
        <v>1094</v>
      </c>
      <c r="Y27" t="s">
        <v>1095</v>
      </c>
      <c r="Z27" t="s">
        <v>4</v>
      </c>
      <c r="AA27">
        <v>138</v>
      </c>
      <c r="AB27" t="s">
        <v>1096</v>
      </c>
      <c r="AD27" s="3"/>
      <c r="AE27" s="3" t="s">
        <v>80</v>
      </c>
    </row>
    <row r="28" spans="1:32" ht="29" hidden="1" x14ac:dyDescent="0.35">
      <c r="A28">
        <v>298</v>
      </c>
      <c r="B28" t="s">
        <v>1097</v>
      </c>
      <c r="C28" t="s">
        <v>444</v>
      </c>
      <c r="D28" t="s">
        <v>30</v>
      </c>
      <c r="E28" t="s">
        <v>927</v>
      </c>
      <c r="F28" t="s">
        <v>220</v>
      </c>
      <c r="G28">
        <v>0</v>
      </c>
      <c r="I28" s="35" t="s">
        <v>1098</v>
      </c>
      <c r="J28" t="s">
        <v>82</v>
      </c>
      <c r="K28">
        <v>72597</v>
      </c>
      <c r="L28" t="s">
        <v>679</v>
      </c>
      <c r="M28" t="s">
        <v>187</v>
      </c>
      <c r="N28" t="s">
        <v>1099</v>
      </c>
      <c r="O28" s="35" t="s">
        <v>1098</v>
      </c>
      <c r="P28">
        <v>1800</v>
      </c>
      <c r="Q28" t="s">
        <v>67</v>
      </c>
      <c r="R28" t="s">
        <v>68</v>
      </c>
      <c r="S28" t="s">
        <v>107</v>
      </c>
      <c r="T28" t="s">
        <v>67</v>
      </c>
      <c r="U28" t="s">
        <v>70</v>
      </c>
      <c r="V28" t="s">
        <v>71</v>
      </c>
      <c r="W28" t="s">
        <v>72</v>
      </c>
      <c r="Y28" t="s">
        <v>1100</v>
      </c>
      <c r="Z28" t="s">
        <v>1008</v>
      </c>
      <c r="AA28" t="s">
        <v>1008</v>
      </c>
      <c r="AB28" t="s">
        <v>1101</v>
      </c>
      <c r="AC28" t="s">
        <v>1102</v>
      </c>
      <c r="AD28" s="3" t="s">
        <v>1103</v>
      </c>
      <c r="AE28" s="3"/>
      <c r="AF28" t="s">
        <v>1104</v>
      </c>
    </row>
    <row r="29" spans="1:32" x14ac:dyDescent="0.35">
      <c r="A29">
        <v>324</v>
      </c>
      <c r="B29" t="s">
        <v>592</v>
      </c>
      <c r="C29" t="s">
        <v>596</v>
      </c>
      <c r="D29" t="s">
        <v>30</v>
      </c>
      <c r="E29" t="s">
        <v>927</v>
      </c>
      <c r="F29" t="s">
        <v>1105</v>
      </c>
      <c r="G29">
        <v>0</v>
      </c>
      <c r="I29" s="35" t="s">
        <v>1106</v>
      </c>
      <c r="J29" t="s">
        <v>199</v>
      </c>
      <c r="K29">
        <v>15860</v>
      </c>
      <c r="L29" t="s">
        <v>595</v>
      </c>
      <c r="M29" t="s">
        <v>596</v>
      </c>
      <c r="N29" t="s">
        <v>133</v>
      </c>
      <c r="O29" s="35" t="s">
        <v>1106</v>
      </c>
      <c r="P29">
        <v>2030</v>
      </c>
      <c r="Q29" t="s">
        <v>67</v>
      </c>
      <c r="R29" t="s">
        <v>77</v>
      </c>
      <c r="S29" t="s">
        <v>107</v>
      </c>
      <c r="T29" t="s">
        <v>67</v>
      </c>
      <c r="U29" t="s">
        <v>70</v>
      </c>
      <c r="V29" t="s">
        <v>71</v>
      </c>
      <c r="X29" t="s">
        <v>1107</v>
      </c>
      <c r="Y29" t="s">
        <v>1108</v>
      </c>
      <c r="Z29" t="s">
        <v>1013</v>
      </c>
      <c r="AA29" t="s">
        <v>1013</v>
      </c>
      <c r="AB29" t="s">
        <v>1109</v>
      </c>
      <c r="AD29" s="3"/>
      <c r="AE29" s="3" t="s">
        <v>215</v>
      </c>
      <c r="AF29" t="s">
        <v>1110</v>
      </c>
    </row>
    <row r="30" spans="1:32" ht="29" hidden="1" x14ac:dyDescent="0.35">
      <c r="A30">
        <v>326</v>
      </c>
      <c r="B30" t="s">
        <v>597</v>
      </c>
      <c r="C30" t="s">
        <v>583</v>
      </c>
      <c r="D30" t="s">
        <v>30</v>
      </c>
      <c r="E30" t="s">
        <v>927</v>
      </c>
      <c r="F30" t="s">
        <v>1111</v>
      </c>
      <c r="G30">
        <v>0</v>
      </c>
      <c r="I30" s="35" t="s">
        <v>1112</v>
      </c>
      <c r="J30" t="s">
        <v>199</v>
      </c>
      <c r="K30">
        <v>84608</v>
      </c>
      <c r="L30" t="s">
        <v>125</v>
      </c>
      <c r="M30" t="s">
        <v>187</v>
      </c>
      <c r="N30" t="s">
        <v>600</v>
      </c>
      <c r="O30" s="35" t="s">
        <v>1112</v>
      </c>
      <c r="P30">
        <v>2230</v>
      </c>
      <c r="Q30" t="s">
        <v>67</v>
      </c>
      <c r="R30" t="s">
        <v>68</v>
      </c>
      <c r="S30" t="s">
        <v>69</v>
      </c>
      <c r="T30" t="s">
        <v>67</v>
      </c>
      <c r="U30" t="s">
        <v>70</v>
      </c>
      <c r="V30" t="s">
        <v>71</v>
      </c>
      <c r="W30" t="s">
        <v>139</v>
      </c>
      <c r="X30" t="s">
        <v>583</v>
      </c>
      <c r="Y30" t="s">
        <v>1113</v>
      </c>
      <c r="AD30" s="3" t="s">
        <v>73</v>
      </c>
      <c r="AE30" s="3" t="s">
        <v>135</v>
      </c>
    </row>
    <row r="31" spans="1:32" hidden="1" x14ac:dyDescent="0.35">
      <c r="A31">
        <v>327</v>
      </c>
      <c r="B31" t="s">
        <v>604</v>
      </c>
      <c r="C31" t="s">
        <v>430</v>
      </c>
      <c r="D31" t="s">
        <v>30</v>
      </c>
      <c r="E31" t="s">
        <v>927</v>
      </c>
      <c r="F31">
        <v>72714</v>
      </c>
      <c r="G31">
        <v>0</v>
      </c>
      <c r="I31" s="35" t="s">
        <v>1114</v>
      </c>
      <c r="J31" t="s">
        <v>199</v>
      </c>
      <c r="K31">
        <v>72714</v>
      </c>
      <c r="L31" t="s">
        <v>1115</v>
      </c>
      <c r="M31" t="s">
        <v>430</v>
      </c>
      <c r="N31" t="s">
        <v>192</v>
      </c>
      <c r="O31" s="35" t="s">
        <v>1114</v>
      </c>
      <c r="P31" t="s">
        <v>74</v>
      </c>
      <c r="Q31" t="s">
        <v>67</v>
      </c>
      <c r="R31" t="s">
        <v>68</v>
      </c>
      <c r="S31" t="s">
        <v>107</v>
      </c>
      <c r="T31" t="s">
        <v>67</v>
      </c>
      <c r="U31" t="s">
        <v>70</v>
      </c>
      <c r="V31" t="s">
        <v>71</v>
      </c>
      <c r="W31" t="s">
        <v>72</v>
      </c>
      <c r="X31" t="s">
        <v>531</v>
      </c>
      <c r="AA31" t="s">
        <v>1016</v>
      </c>
      <c r="AD31" s="3" t="s">
        <v>77</v>
      </c>
      <c r="AE31" s="3"/>
    </row>
    <row r="32" spans="1:32" ht="29" x14ac:dyDescent="0.35">
      <c r="A32">
        <v>329</v>
      </c>
      <c r="B32" t="s">
        <v>607</v>
      </c>
      <c r="C32" t="s">
        <v>452</v>
      </c>
      <c r="D32" t="s">
        <v>30</v>
      </c>
      <c r="E32" t="s">
        <v>927</v>
      </c>
      <c r="F32" t="s">
        <v>1116</v>
      </c>
      <c r="G32">
        <v>0</v>
      </c>
      <c r="I32" s="35" t="s">
        <v>1117</v>
      </c>
      <c r="J32" t="s">
        <v>126</v>
      </c>
      <c r="K32" t="s">
        <v>1118</v>
      </c>
      <c r="M32" t="s">
        <v>452</v>
      </c>
      <c r="N32" t="s">
        <v>610</v>
      </c>
      <c r="O32" s="35" t="s">
        <v>1117</v>
      </c>
      <c r="P32">
        <v>1030</v>
      </c>
      <c r="Q32" t="s">
        <v>67</v>
      </c>
      <c r="R32" t="s">
        <v>68</v>
      </c>
      <c r="S32" t="s">
        <v>107</v>
      </c>
      <c r="T32" t="s">
        <v>67</v>
      </c>
      <c r="U32" t="s">
        <v>70</v>
      </c>
      <c r="V32" t="s">
        <v>71</v>
      </c>
      <c r="W32" t="s">
        <v>72</v>
      </c>
      <c r="X32" t="s">
        <v>594</v>
      </c>
      <c r="Z32" t="s">
        <v>1013</v>
      </c>
      <c r="AA32" t="s">
        <v>1013</v>
      </c>
      <c r="AD32" s="3" t="s">
        <v>1119</v>
      </c>
      <c r="AE32" s="3" t="s">
        <v>130</v>
      </c>
    </row>
    <row r="33" spans="1:32" hidden="1" x14ac:dyDescent="0.35">
      <c r="A33">
        <v>331</v>
      </c>
      <c r="B33" t="s">
        <v>612</v>
      </c>
      <c r="C33" t="s">
        <v>110</v>
      </c>
      <c r="D33" t="s">
        <v>30</v>
      </c>
      <c r="E33" t="s">
        <v>927</v>
      </c>
      <c r="F33" t="s">
        <v>1120</v>
      </c>
      <c r="G33">
        <v>0</v>
      </c>
      <c r="I33" s="35" t="s">
        <v>1121</v>
      </c>
      <c r="J33" t="s">
        <v>66</v>
      </c>
      <c r="K33" t="s">
        <v>1122</v>
      </c>
      <c r="L33" t="s">
        <v>571</v>
      </c>
      <c r="M33" t="s">
        <v>110</v>
      </c>
      <c r="N33" t="s">
        <v>521</v>
      </c>
      <c r="O33" s="35" t="s">
        <v>1121</v>
      </c>
      <c r="P33">
        <v>2000</v>
      </c>
      <c r="Q33" t="s">
        <v>67</v>
      </c>
      <c r="R33" t="s">
        <v>68</v>
      </c>
      <c r="S33" t="s">
        <v>69</v>
      </c>
      <c r="T33" t="s">
        <v>67</v>
      </c>
      <c r="U33" t="s">
        <v>70</v>
      </c>
      <c r="V33" t="s">
        <v>71</v>
      </c>
      <c r="Z33" t="s">
        <v>1032</v>
      </c>
      <c r="AA33" t="s">
        <v>1032</v>
      </c>
      <c r="AB33" t="s">
        <v>1123</v>
      </c>
      <c r="AC33" t="s">
        <v>4</v>
      </c>
      <c r="AD33" s="3"/>
      <c r="AE33" s="3" t="s">
        <v>130</v>
      </c>
    </row>
    <row r="34" spans="1:32" x14ac:dyDescent="0.35">
      <c r="A34">
        <v>332</v>
      </c>
      <c r="B34" t="s">
        <v>618</v>
      </c>
      <c r="C34" t="s">
        <v>452</v>
      </c>
      <c r="D34" t="s">
        <v>30</v>
      </c>
      <c r="E34" t="s">
        <v>927</v>
      </c>
      <c r="F34" t="s">
        <v>1124</v>
      </c>
      <c r="G34">
        <v>0</v>
      </c>
      <c r="I34" s="35" t="s">
        <v>193</v>
      </c>
      <c r="J34" t="s">
        <v>199</v>
      </c>
      <c r="K34">
        <v>15860</v>
      </c>
      <c r="L34" t="s">
        <v>125</v>
      </c>
      <c r="M34" t="s">
        <v>452</v>
      </c>
      <c r="N34" t="s">
        <v>190</v>
      </c>
      <c r="O34" s="35" t="s">
        <v>193</v>
      </c>
      <c r="P34">
        <v>1200</v>
      </c>
      <c r="Q34" t="s">
        <v>67</v>
      </c>
      <c r="R34" t="s">
        <v>68</v>
      </c>
      <c r="S34" t="s">
        <v>107</v>
      </c>
      <c r="T34" t="s">
        <v>67</v>
      </c>
      <c r="U34" t="s">
        <v>70</v>
      </c>
      <c r="V34" t="s">
        <v>71</v>
      </c>
      <c r="W34" t="s">
        <v>75</v>
      </c>
      <c r="X34" t="s">
        <v>609</v>
      </c>
      <c r="Z34" t="s">
        <v>1013</v>
      </c>
      <c r="AA34" t="s">
        <v>1013</v>
      </c>
      <c r="AD34" s="3" t="s">
        <v>215</v>
      </c>
      <c r="AE34" s="3"/>
    </row>
    <row r="35" spans="1:32" hidden="1" x14ac:dyDescent="0.35">
      <c r="A35">
        <v>346</v>
      </c>
      <c r="B35" t="s">
        <v>620</v>
      </c>
      <c r="C35" t="s">
        <v>622</v>
      </c>
      <c r="D35" t="s">
        <v>30</v>
      </c>
      <c r="E35" t="s">
        <v>927</v>
      </c>
      <c r="F35" t="s">
        <v>1125</v>
      </c>
      <c r="G35">
        <v>0</v>
      </c>
      <c r="I35" s="35" t="s">
        <v>1126</v>
      </c>
      <c r="J35" t="s">
        <v>126</v>
      </c>
      <c r="K35">
        <v>84608</v>
      </c>
      <c r="L35" t="s">
        <v>622</v>
      </c>
      <c r="M35" t="s">
        <v>622</v>
      </c>
      <c r="N35" t="s">
        <v>133</v>
      </c>
      <c r="O35" s="35" t="s">
        <v>1127</v>
      </c>
      <c r="P35" t="s">
        <v>4</v>
      </c>
      <c r="Q35" t="s">
        <v>134</v>
      </c>
      <c r="R35" t="s">
        <v>68</v>
      </c>
      <c r="S35" t="s">
        <v>69</v>
      </c>
      <c r="T35" t="s">
        <v>134</v>
      </c>
      <c r="U35" t="s">
        <v>128</v>
      </c>
      <c r="V35" t="s">
        <v>214</v>
      </c>
      <c r="X35" t="s">
        <v>1128</v>
      </c>
      <c r="Y35" t="s">
        <v>1129</v>
      </c>
      <c r="Z35" t="s">
        <v>1130</v>
      </c>
      <c r="AA35" t="s">
        <v>1130</v>
      </c>
      <c r="AB35" t="s">
        <v>1131</v>
      </c>
      <c r="AC35" t="s">
        <v>1132</v>
      </c>
      <c r="AD35" s="3" t="s">
        <v>987</v>
      </c>
      <c r="AE35" s="3" t="s">
        <v>138</v>
      </c>
      <c r="AF35" t="s">
        <v>4</v>
      </c>
    </row>
    <row r="36" spans="1:32" hidden="1" x14ac:dyDescent="0.35">
      <c r="A36">
        <v>347</v>
      </c>
      <c r="B36" t="s">
        <v>625</v>
      </c>
      <c r="C36" t="s">
        <v>110</v>
      </c>
      <c r="D36" t="s">
        <v>30</v>
      </c>
      <c r="E36" t="s">
        <v>927</v>
      </c>
      <c r="F36" t="s">
        <v>1133</v>
      </c>
      <c r="G36">
        <v>0</v>
      </c>
      <c r="I36" s="35" t="s">
        <v>1134</v>
      </c>
      <c r="J36" t="s">
        <v>66</v>
      </c>
      <c r="K36">
        <v>72584</v>
      </c>
      <c r="M36" t="s">
        <v>110</v>
      </c>
      <c r="N36" t="s">
        <v>197</v>
      </c>
      <c r="O36" s="35" t="s">
        <v>1134</v>
      </c>
      <c r="P36" t="s">
        <v>204</v>
      </c>
      <c r="Q36" t="s">
        <v>67</v>
      </c>
      <c r="R36" t="s">
        <v>68</v>
      </c>
      <c r="S36" t="s">
        <v>69</v>
      </c>
      <c r="T36" t="s">
        <v>67</v>
      </c>
      <c r="U36" t="s">
        <v>70</v>
      </c>
      <c r="V36" t="s">
        <v>71</v>
      </c>
      <c r="Z36" t="s">
        <v>1032</v>
      </c>
      <c r="AA36" t="s">
        <v>1032</v>
      </c>
      <c r="AB36" t="s">
        <v>1135</v>
      </c>
      <c r="AC36" t="s">
        <v>12</v>
      </c>
      <c r="AD36" s="3" t="s">
        <v>73</v>
      </c>
      <c r="AE36" s="3" t="s">
        <v>130</v>
      </c>
      <c r="AF36" t="s">
        <v>1136</v>
      </c>
    </row>
    <row r="37" spans="1:32" ht="29" hidden="1" x14ac:dyDescent="0.35">
      <c r="A37">
        <v>354</v>
      </c>
      <c r="B37" t="s">
        <v>634</v>
      </c>
      <c r="C37" t="s">
        <v>187</v>
      </c>
      <c r="D37" t="s">
        <v>30</v>
      </c>
      <c r="E37" t="s">
        <v>927</v>
      </c>
      <c r="F37" t="s">
        <v>1137</v>
      </c>
      <c r="G37">
        <v>0</v>
      </c>
      <c r="I37" s="35" t="s">
        <v>1138</v>
      </c>
      <c r="J37" t="s">
        <v>66</v>
      </c>
      <c r="K37">
        <v>72584</v>
      </c>
      <c r="L37" t="s">
        <v>110</v>
      </c>
      <c r="M37" t="s">
        <v>187</v>
      </c>
      <c r="N37" t="s">
        <v>197</v>
      </c>
      <c r="O37" s="35" t="s">
        <v>1138</v>
      </c>
      <c r="P37" t="s">
        <v>74</v>
      </c>
      <c r="Q37" t="s">
        <v>67</v>
      </c>
      <c r="R37" t="s">
        <v>68</v>
      </c>
      <c r="S37" t="s">
        <v>69</v>
      </c>
      <c r="T37" t="s">
        <v>67</v>
      </c>
      <c r="U37" t="s">
        <v>70</v>
      </c>
      <c r="V37" t="s">
        <v>71</v>
      </c>
      <c r="Z37" t="s">
        <v>1032</v>
      </c>
      <c r="AA37" t="s">
        <v>1032</v>
      </c>
      <c r="AB37" t="s">
        <v>1139</v>
      </c>
      <c r="AC37" t="s">
        <v>4</v>
      </c>
      <c r="AD37" s="3" t="s">
        <v>73</v>
      </c>
      <c r="AE37" s="3" t="s">
        <v>1140</v>
      </c>
    </row>
    <row r="38" spans="1:32" ht="29" hidden="1" x14ac:dyDescent="0.35">
      <c r="A38">
        <v>355</v>
      </c>
      <c r="B38" t="s">
        <v>643</v>
      </c>
      <c r="C38" t="s">
        <v>187</v>
      </c>
      <c r="D38" t="s">
        <v>30</v>
      </c>
      <c r="E38" t="s">
        <v>927</v>
      </c>
      <c r="F38" t="s">
        <v>1137</v>
      </c>
      <c r="G38">
        <v>0</v>
      </c>
      <c r="I38" s="35" t="s">
        <v>1141</v>
      </c>
      <c r="J38" t="s">
        <v>66</v>
      </c>
      <c r="K38">
        <v>72584</v>
      </c>
      <c r="L38" t="s">
        <v>110</v>
      </c>
      <c r="M38" t="s">
        <v>187</v>
      </c>
      <c r="N38" t="s">
        <v>197</v>
      </c>
      <c r="O38" s="35" t="s">
        <v>1141</v>
      </c>
      <c r="P38" t="s">
        <v>204</v>
      </c>
      <c r="Q38" t="s">
        <v>67</v>
      </c>
      <c r="R38" t="s">
        <v>68</v>
      </c>
      <c r="S38" t="s">
        <v>69</v>
      </c>
      <c r="T38" t="s">
        <v>67</v>
      </c>
      <c r="U38" t="s">
        <v>70</v>
      </c>
      <c r="V38" t="s">
        <v>71</v>
      </c>
      <c r="Z38" t="s">
        <v>1032</v>
      </c>
      <c r="AA38" t="s">
        <v>1032</v>
      </c>
      <c r="AB38" t="s">
        <v>1142</v>
      </c>
      <c r="AC38" t="s">
        <v>1143</v>
      </c>
      <c r="AD38" s="3" t="s">
        <v>73</v>
      </c>
      <c r="AE38" s="3" t="s">
        <v>212</v>
      </c>
      <c r="AF38" t="s">
        <v>1144</v>
      </c>
    </row>
    <row r="39" spans="1:32" ht="29" hidden="1" x14ac:dyDescent="0.35">
      <c r="A39">
        <v>361</v>
      </c>
      <c r="B39" t="s">
        <v>650</v>
      </c>
      <c r="C39" t="s">
        <v>583</v>
      </c>
      <c r="D39" t="s">
        <v>30</v>
      </c>
      <c r="E39" t="s">
        <v>927</v>
      </c>
      <c r="F39" t="s">
        <v>1133</v>
      </c>
      <c r="G39">
        <v>0</v>
      </c>
      <c r="I39" s="35" t="s">
        <v>1145</v>
      </c>
      <c r="J39" t="s">
        <v>199</v>
      </c>
      <c r="K39">
        <v>72584</v>
      </c>
      <c r="L39" t="s">
        <v>222</v>
      </c>
      <c r="M39" t="s">
        <v>430</v>
      </c>
      <c r="N39" t="s">
        <v>528</v>
      </c>
      <c r="O39" s="35" t="s">
        <v>1145</v>
      </c>
      <c r="P39">
        <v>2230</v>
      </c>
      <c r="Q39" t="s">
        <v>67</v>
      </c>
      <c r="R39" t="s">
        <v>68</v>
      </c>
      <c r="S39" t="s">
        <v>69</v>
      </c>
      <c r="T39" t="s">
        <v>67</v>
      </c>
      <c r="U39" t="s">
        <v>70</v>
      </c>
      <c r="V39" t="s">
        <v>124</v>
      </c>
      <c r="W39" t="s">
        <v>79</v>
      </c>
      <c r="X39" t="s">
        <v>603</v>
      </c>
      <c r="Y39" t="s">
        <v>1146</v>
      </c>
      <c r="AD39" s="3" t="s">
        <v>1147</v>
      </c>
      <c r="AE39" s="3" t="s">
        <v>1148</v>
      </c>
    </row>
    <row r="40" spans="1:32" hidden="1" x14ac:dyDescent="0.35">
      <c r="A40">
        <v>363</v>
      </c>
      <c r="B40" t="s">
        <v>1149</v>
      </c>
      <c r="C40" t="s">
        <v>552</v>
      </c>
      <c r="D40" t="s">
        <v>30</v>
      </c>
      <c r="E40" t="s">
        <v>927</v>
      </c>
      <c r="F40" t="s">
        <v>1150</v>
      </c>
      <c r="G40">
        <v>0</v>
      </c>
      <c r="I40" s="35" t="s">
        <v>1151</v>
      </c>
      <c r="J40" t="s">
        <v>82</v>
      </c>
      <c r="K40" t="s">
        <v>1118</v>
      </c>
      <c r="L40" t="s">
        <v>627</v>
      </c>
      <c r="M40" t="s">
        <v>552</v>
      </c>
      <c r="N40" t="s">
        <v>197</v>
      </c>
      <c r="O40" s="35" t="s">
        <v>1151</v>
      </c>
      <c r="P40" t="s">
        <v>216</v>
      </c>
      <c r="Q40" t="s">
        <v>67</v>
      </c>
      <c r="R40" t="s">
        <v>1092</v>
      </c>
      <c r="S40" t="s">
        <v>69</v>
      </c>
      <c r="T40" t="s">
        <v>67</v>
      </c>
      <c r="U40" t="s">
        <v>70</v>
      </c>
      <c r="V40" t="s">
        <v>1152</v>
      </c>
      <c r="W40" t="s">
        <v>79</v>
      </c>
      <c r="X40" t="s">
        <v>512</v>
      </c>
      <c r="Y40" t="s">
        <v>1153</v>
      </c>
      <c r="Z40" t="s">
        <v>1154</v>
      </c>
      <c r="AA40" t="s">
        <v>1154</v>
      </c>
      <c r="AB40" t="s">
        <v>1155</v>
      </c>
      <c r="AC40" t="s">
        <v>1156</v>
      </c>
      <c r="AD40" s="3" t="s">
        <v>77</v>
      </c>
      <c r="AE40" s="3"/>
    </row>
    <row r="41" spans="1:32" hidden="1" x14ac:dyDescent="0.35">
      <c r="A41">
        <v>365</v>
      </c>
      <c r="B41" t="s">
        <v>660</v>
      </c>
      <c r="C41" t="s">
        <v>552</v>
      </c>
      <c r="D41" t="s">
        <v>30</v>
      </c>
      <c r="E41" t="s">
        <v>927</v>
      </c>
      <c r="F41" t="s">
        <v>1150</v>
      </c>
      <c r="G41">
        <v>0</v>
      </c>
      <c r="I41" s="35" t="s">
        <v>1157</v>
      </c>
      <c r="J41" t="s">
        <v>82</v>
      </c>
      <c r="K41" t="s">
        <v>1118</v>
      </c>
      <c r="L41" t="s">
        <v>145</v>
      </c>
      <c r="M41" t="s">
        <v>552</v>
      </c>
      <c r="N41" t="s">
        <v>662</v>
      </c>
      <c r="O41" s="35" t="s">
        <v>1157</v>
      </c>
      <c r="P41" t="s">
        <v>1158</v>
      </c>
      <c r="Q41" t="s">
        <v>67</v>
      </c>
      <c r="R41" t="s">
        <v>68</v>
      </c>
      <c r="S41" t="s">
        <v>69</v>
      </c>
      <c r="T41" t="s">
        <v>67</v>
      </c>
      <c r="U41" t="s">
        <v>70</v>
      </c>
      <c r="V41" t="s">
        <v>71</v>
      </c>
      <c r="W41" t="s">
        <v>1159</v>
      </c>
      <c r="X41" t="s">
        <v>512</v>
      </c>
      <c r="Y41" t="s">
        <v>1160</v>
      </c>
      <c r="Z41" t="s">
        <v>1154</v>
      </c>
      <c r="AA41" t="s">
        <v>1154</v>
      </c>
      <c r="AB41" t="s">
        <v>1161</v>
      </c>
      <c r="AC41" t="s">
        <v>1162</v>
      </c>
      <c r="AD41" s="3" t="s">
        <v>76</v>
      </c>
      <c r="AE41" s="3" t="s">
        <v>81</v>
      </c>
      <c r="AF41" t="s">
        <v>1163</v>
      </c>
    </row>
    <row r="42" spans="1:32" hidden="1" x14ac:dyDescent="0.35">
      <c r="A42">
        <v>368</v>
      </c>
      <c r="B42" t="s">
        <v>666</v>
      </c>
      <c r="C42" t="s">
        <v>552</v>
      </c>
      <c r="D42" t="s">
        <v>30</v>
      </c>
      <c r="E42" t="s">
        <v>927</v>
      </c>
      <c r="F42" t="s">
        <v>1164</v>
      </c>
      <c r="G42">
        <v>0</v>
      </c>
      <c r="I42" s="35" t="s">
        <v>1165</v>
      </c>
      <c r="J42" t="s">
        <v>82</v>
      </c>
      <c r="K42">
        <v>84604</v>
      </c>
      <c r="M42" t="s">
        <v>552</v>
      </c>
      <c r="N42" t="s">
        <v>669</v>
      </c>
      <c r="O42" s="35" t="s">
        <v>1165</v>
      </c>
      <c r="P42">
        <v>1200</v>
      </c>
      <c r="Q42" t="s">
        <v>67</v>
      </c>
      <c r="R42" t="s">
        <v>68</v>
      </c>
      <c r="S42" t="s">
        <v>69</v>
      </c>
      <c r="T42" t="s">
        <v>67</v>
      </c>
      <c r="U42" t="s">
        <v>70</v>
      </c>
      <c r="V42" t="s">
        <v>71</v>
      </c>
      <c r="W42" t="s">
        <v>72</v>
      </c>
      <c r="X42" t="s">
        <v>531</v>
      </c>
      <c r="Y42" t="s">
        <v>1166</v>
      </c>
      <c r="Z42" t="s">
        <v>1016</v>
      </c>
      <c r="AA42" t="s">
        <v>1016</v>
      </c>
      <c r="AB42" t="s">
        <v>1167</v>
      </c>
      <c r="AC42" t="s">
        <v>1168</v>
      </c>
      <c r="AD42" s="3" t="s">
        <v>76</v>
      </c>
      <c r="AE42" s="3" t="s">
        <v>77</v>
      </c>
    </row>
    <row r="43" spans="1:32" hidden="1" x14ac:dyDescent="0.35">
      <c r="A43">
        <v>369</v>
      </c>
      <c r="B43" t="s">
        <v>1169</v>
      </c>
      <c r="C43" t="s">
        <v>1170</v>
      </c>
      <c r="D43" t="s">
        <v>30</v>
      </c>
      <c r="E43" t="s">
        <v>927</v>
      </c>
      <c r="F43" t="s">
        <v>1171</v>
      </c>
      <c r="G43">
        <v>0</v>
      </c>
      <c r="I43" s="35" t="s">
        <v>1172</v>
      </c>
      <c r="J43" t="s">
        <v>82</v>
      </c>
      <c r="K43" t="s">
        <v>1173</v>
      </c>
      <c r="L43" t="s">
        <v>576</v>
      </c>
      <c r="M43" t="s">
        <v>187</v>
      </c>
      <c r="N43" t="s">
        <v>1174</v>
      </c>
      <c r="O43" s="35" t="s">
        <v>1172</v>
      </c>
      <c r="P43" t="s">
        <v>204</v>
      </c>
      <c r="Q43" t="s">
        <v>963</v>
      </c>
      <c r="R43" t="s">
        <v>68</v>
      </c>
      <c r="S43" t="s">
        <v>107</v>
      </c>
      <c r="T43" t="s">
        <v>963</v>
      </c>
      <c r="U43" t="s">
        <v>70</v>
      </c>
      <c r="V43" t="s">
        <v>71</v>
      </c>
      <c r="W43" t="s">
        <v>72</v>
      </c>
      <c r="X43" t="s">
        <v>1170</v>
      </c>
      <c r="Y43" t="s">
        <v>1175</v>
      </c>
      <c r="Z43" t="s">
        <v>1176</v>
      </c>
      <c r="AA43" t="s">
        <v>1176</v>
      </c>
      <c r="AB43" t="s">
        <v>1177</v>
      </c>
      <c r="AC43" t="s">
        <v>12</v>
      </c>
      <c r="AD43" s="3" t="s">
        <v>1075</v>
      </c>
      <c r="AE43" s="3" t="s">
        <v>138</v>
      </c>
      <c r="AF43" t="s">
        <v>1178</v>
      </c>
    </row>
    <row r="44" spans="1:32" hidden="1" x14ac:dyDescent="0.35">
      <c r="A44">
        <v>376</v>
      </c>
      <c r="B44" t="s">
        <v>671</v>
      </c>
      <c r="C44" t="s">
        <v>110</v>
      </c>
      <c r="D44" t="s">
        <v>30</v>
      </c>
      <c r="E44" t="s">
        <v>927</v>
      </c>
      <c r="F44" t="s">
        <v>1179</v>
      </c>
      <c r="G44">
        <v>0</v>
      </c>
      <c r="I44" s="35" t="s">
        <v>1180</v>
      </c>
      <c r="J44" t="s">
        <v>126</v>
      </c>
      <c r="K44">
        <v>15914</v>
      </c>
      <c r="M44" t="s">
        <v>110</v>
      </c>
      <c r="N44" t="s">
        <v>669</v>
      </c>
      <c r="O44" s="35" t="s">
        <v>1180</v>
      </c>
      <c r="P44" t="s">
        <v>4</v>
      </c>
      <c r="Q44" t="s">
        <v>67</v>
      </c>
      <c r="R44" t="s">
        <v>77</v>
      </c>
      <c r="S44" t="s">
        <v>69</v>
      </c>
      <c r="T44" t="s">
        <v>67</v>
      </c>
      <c r="U44" t="s">
        <v>70</v>
      </c>
      <c r="V44" t="s">
        <v>71</v>
      </c>
      <c r="AB44" t="s">
        <v>117</v>
      </c>
      <c r="AC44" t="s">
        <v>117</v>
      </c>
      <c r="AD44" s="3" t="s">
        <v>221</v>
      </c>
      <c r="AE44" s="3" t="s">
        <v>130</v>
      </c>
    </row>
    <row r="45" spans="1:32" hidden="1" x14ac:dyDescent="0.35">
      <c r="A45">
        <v>377</v>
      </c>
      <c r="B45" t="s">
        <v>912</v>
      </c>
      <c r="C45" t="s">
        <v>110</v>
      </c>
      <c r="D45" t="s">
        <v>30</v>
      </c>
      <c r="E45" t="s">
        <v>927</v>
      </c>
      <c r="F45" t="s">
        <v>1133</v>
      </c>
      <c r="G45">
        <v>0</v>
      </c>
      <c r="I45" s="35" t="s">
        <v>198</v>
      </c>
      <c r="J45" t="s">
        <v>82</v>
      </c>
      <c r="K45">
        <v>72584</v>
      </c>
      <c r="M45" t="s">
        <v>110</v>
      </c>
      <c r="N45" t="s">
        <v>669</v>
      </c>
      <c r="O45" s="35" t="s">
        <v>1181</v>
      </c>
      <c r="P45" t="s">
        <v>219</v>
      </c>
      <c r="Q45" t="s">
        <v>67</v>
      </c>
      <c r="R45" t="s">
        <v>77</v>
      </c>
      <c r="S45" t="s">
        <v>69</v>
      </c>
      <c r="T45" t="s">
        <v>67</v>
      </c>
      <c r="U45" t="s">
        <v>70</v>
      </c>
      <c r="V45" t="s">
        <v>71</v>
      </c>
      <c r="AB45" t="s">
        <v>1182</v>
      </c>
      <c r="AC45" t="s">
        <v>4</v>
      </c>
      <c r="AD45" s="3" t="s">
        <v>1183</v>
      </c>
      <c r="AE45" s="3" t="s">
        <v>138</v>
      </c>
    </row>
    <row r="46" spans="1:32" ht="29" x14ac:dyDescent="0.35">
      <c r="A46">
        <v>384</v>
      </c>
      <c r="B46" t="s">
        <v>676</v>
      </c>
      <c r="C46" t="s">
        <v>679</v>
      </c>
      <c r="D46" t="s">
        <v>30</v>
      </c>
      <c r="E46" t="s">
        <v>927</v>
      </c>
      <c r="F46" t="s">
        <v>1184</v>
      </c>
      <c r="G46">
        <v>0</v>
      </c>
      <c r="I46" s="35" t="s">
        <v>1185</v>
      </c>
      <c r="J46" t="s">
        <v>66</v>
      </c>
      <c r="K46">
        <v>84756</v>
      </c>
      <c r="L46" t="s">
        <v>1186</v>
      </c>
      <c r="M46" t="s">
        <v>679</v>
      </c>
      <c r="N46" t="s">
        <v>680</v>
      </c>
      <c r="O46" s="35" t="s">
        <v>1185</v>
      </c>
      <c r="P46">
        <v>1500</v>
      </c>
      <c r="Q46" t="s">
        <v>134</v>
      </c>
      <c r="R46" t="s">
        <v>77</v>
      </c>
      <c r="S46" t="s">
        <v>69</v>
      </c>
      <c r="T46" t="s">
        <v>134</v>
      </c>
      <c r="U46" t="s">
        <v>128</v>
      </c>
      <c r="V46" t="s">
        <v>71</v>
      </c>
      <c r="W46" t="s">
        <v>1187</v>
      </c>
      <c r="X46" t="s">
        <v>678</v>
      </c>
      <c r="Y46" t="s">
        <v>1188</v>
      </c>
      <c r="Z46" t="s">
        <v>4</v>
      </c>
      <c r="AA46" t="s">
        <v>1013</v>
      </c>
      <c r="AB46" t="s">
        <v>1189</v>
      </c>
      <c r="AC46" t="s">
        <v>1190</v>
      </c>
      <c r="AD46" s="3" t="s">
        <v>208</v>
      </c>
      <c r="AE46" s="3" t="s">
        <v>1191</v>
      </c>
    </row>
    <row r="47" spans="1:32" x14ac:dyDescent="0.35">
      <c r="A47">
        <v>391</v>
      </c>
      <c r="B47" t="s">
        <v>685</v>
      </c>
      <c r="C47" t="s">
        <v>452</v>
      </c>
      <c r="D47" t="s">
        <v>30</v>
      </c>
      <c r="E47" t="s">
        <v>927</v>
      </c>
      <c r="F47" t="s">
        <v>1192</v>
      </c>
      <c r="G47">
        <v>0</v>
      </c>
      <c r="I47" s="35" t="s">
        <v>200</v>
      </c>
      <c r="J47" t="s">
        <v>82</v>
      </c>
      <c r="K47" t="s">
        <v>1193</v>
      </c>
      <c r="M47" t="s">
        <v>552</v>
      </c>
      <c r="N47" t="s">
        <v>687</v>
      </c>
      <c r="O47" s="35" t="s">
        <v>1194</v>
      </c>
      <c r="P47">
        <v>1130</v>
      </c>
      <c r="Q47" t="s">
        <v>67</v>
      </c>
      <c r="R47" t="s">
        <v>68</v>
      </c>
      <c r="S47" t="s">
        <v>107</v>
      </c>
      <c r="T47" t="s">
        <v>67</v>
      </c>
      <c r="U47" t="s">
        <v>70</v>
      </c>
      <c r="V47" t="s">
        <v>71</v>
      </c>
      <c r="W47" t="s">
        <v>72</v>
      </c>
      <c r="X47" t="s">
        <v>594</v>
      </c>
      <c r="Z47" t="s">
        <v>1013</v>
      </c>
      <c r="AA47" t="s">
        <v>1013</v>
      </c>
      <c r="AB47" t="s">
        <v>1195</v>
      </c>
      <c r="AC47" t="s">
        <v>1196</v>
      </c>
      <c r="AD47" s="3" t="s">
        <v>73</v>
      </c>
      <c r="AE47" s="3" t="s">
        <v>1065</v>
      </c>
    </row>
    <row r="48" spans="1:32" hidden="1" x14ac:dyDescent="0.35">
      <c r="A48">
        <v>398</v>
      </c>
      <c r="B48" t="s">
        <v>688</v>
      </c>
      <c r="C48" t="s">
        <v>576</v>
      </c>
      <c r="D48" t="s">
        <v>30</v>
      </c>
      <c r="E48" t="s">
        <v>927</v>
      </c>
      <c r="F48" t="s">
        <v>1197</v>
      </c>
      <c r="G48">
        <v>0</v>
      </c>
      <c r="I48" s="35" t="s">
        <v>1198</v>
      </c>
      <c r="J48" t="s">
        <v>82</v>
      </c>
      <c r="K48" t="s">
        <v>1199</v>
      </c>
      <c r="L48" t="s">
        <v>1200</v>
      </c>
      <c r="M48" t="s">
        <v>430</v>
      </c>
      <c r="N48" t="s">
        <v>690</v>
      </c>
      <c r="O48" s="35" t="s">
        <v>1201</v>
      </c>
      <c r="P48" t="s">
        <v>204</v>
      </c>
      <c r="Q48" t="s">
        <v>67</v>
      </c>
      <c r="R48" t="s">
        <v>68</v>
      </c>
      <c r="S48" t="s">
        <v>69</v>
      </c>
      <c r="T48" t="s">
        <v>67</v>
      </c>
      <c r="U48" t="s">
        <v>70</v>
      </c>
      <c r="V48" t="s">
        <v>71</v>
      </c>
      <c r="W48" t="s">
        <v>72</v>
      </c>
      <c r="Z48" t="s">
        <v>1013</v>
      </c>
      <c r="AA48" t="s">
        <v>1032</v>
      </c>
      <c r="AB48" t="s">
        <v>1202</v>
      </c>
      <c r="AC48" t="s">
        <v>1203</v>
      </c>
      <c r="AD48" s="3" t="s">
        <v>73</v>
      </c>
      <c r="AE48" s="3" t="s">
        <v>1204</v>
      </c>
    </row>
    <row r="49" spans="9:31" x14ac:dyDescent="0.35">
      <c r="I49" s="35"/>
      <c r="O49" s="35"/>
      <c r="AD49" s="3"/>
      <c r="AE49" s="3"/>
    </row>
    <row r="50" spans="9:31" x14ac:dyDescent="0.35">
      <c r="I50" s="35"/>
      <c r="O50" s="35"/>
      <c r="AD50" s="3"/>
      <c r="AE50" s="3"/>
    </row>
    <row r="51" spans="9:31" x14ac:dyDescent="0.35">
      <c r="I51" s="35"/>
      <c r="O51" s="35"/>
      <c r="AD51" s="3"/>
      <c r="AE51" s="3"/>
    </row>
    <row r="52" spans="9:31" x14ac:dyDescent="0.35">
      <c r="I52" s="35"/>
      <c r="O52" s="35"/>
      <c r="AD52" s="3"/>
      <c r="AE52" s="3"/>
    </row>
    <row r="53" spans="9:31" x14ac:dyDescent="0.35">
      <c r="I53" s="35"/>
      <c r="O53" s="35"/>
      <c r="AD53" s="3"/>
      <c r="AE53" s="3"/>
    </row>
    <row r="54" spans="9:31" x14ac:dyDescent="0.35">
      <c r="I54" s="35"/>
      <c r="O54" s="35"/>
      <c r="AD54" s="3"/>
      <c r="AE54" s="3"/>
    </row>
    <row r="55" spans="9:31" x14ac:dyDescent="0.35">
      <c r="I55" s="35"/>
      <c r="O55" s="35"/>
      <c r="AD55" s="3"/>
      <c r="AE55" s="3"/>
    </row>
    <row r="56" spans="9:31" x14ac:dyDescent="0.35">
      <c r="I56" s="35"/>
      <c r="O56" s="35"/>
      <c r="AD56" s="3"/>
      <c r="AE56" s="3"/>
    </row>
    <row r="57" spans="9:31" x14ac:dyDescent="0.35">
      <c r="I57" s="35"/>
      <c r="O57" s="35"/>
      <c r="AD57" s="3"/>
      <c r="AE57" s="3"/>
    </row>
    <row r="58" spans="9:31" x14ac:dyDescent="0.35">
      <c r="I58" s="35"/>
      <c r="O58" s="35"/>
      <c r="AD58" s="3"/>
      <c r="AE58" s="3"/>
    </row>
    <row r="59" spans="9:31" x14ac:dyDescent="0.35">
      <c r="I59" s="35"/>
      <c r="O59" s="35"/>
      <c r="AD59" s="3"/>
      <c r="AE59" s="3"/>
    </row>
    <row r="60" spans="9:31" x14ac:dyDescent="0.35">
      <c r="I60" s="35"/>
      <c r="O60" s="35"/>
      <c r="AD60" s="3"/>
      <c r="AE60" s="3"/>
    </row>
    <row r="61" spans="9:31" x14ac:dyDescent="0.35">
      <c r="I61" s="35"/>
      <c r="O61" s="35"/>
      <c r="AD61" s="3"/>
      <c r="AE61" s="3"/>
    </row>
    <row r="62" spans="9:31" x14ac:dyDescent="0.35">
      <c r="I62" s="35"/>
      <c r="O62" s="35"/>
      <c r="AD62" s="3"/>
      <c r="AE62" s="3"/>
    </row>
    <row r="63" spans="9:31" x14ac:dyDescent="0.35">
      <c r="I63" s="35"/>
      <c r="O63" s="35"/>
      <c r="AD63" s="3"/>
      <c r="AE63" s="3"/>
    </row>
    <row r="64" spans="9:31" x14ac:dyDescent="0.35">
      <c r="I64" s="35"/>
      <c r="O64" s="35"/>
      <c r="AD64" s="3"/>
      <c r="AE64" s="3"/>
    </row>
    <row r="65" spans="9:31" x14ac:dyDescent="0.35">
      <c r="I65" s="35"/>
      <c r="O65" s="35"/>
      <c r="AD65" s="3"/>
      <c r="AE65" s="3"/>
    </row>
    <row r="66" spans="9:31" x14ac:dyDescent="0.35">
      <c r="I66" s="35"/>
      <c r="O66" s="35"/>
      <c r="AD66" s="3"/>
      <c r="AE66" s="3"/>
    </row>
    <row r="67" spans="9:31" x14ac:dyDescent="0.35">
      <c r="I67" s="35"/>
      <c r="O67" s="35"/>
      <c r="AD67" s="3"/>
      <c r="AE67" s="3"/>
    </row>
    <row r="68" spans="9:31" x14ac:dyDescent="0.35">
      <c r="I68" s="35"/>
      <c r="O68" s="35"/>
      <c r="AD68" s="3"/>
      <c r="AE68" s="3"/>
    </row>
    <row r="69" spans="9:31" x14ac:dyDescent="0.35">
      <c r="I69" s="35"/>
      <c r="O69" s="35"/>
      <c r="AD69" s="3"/>
      <c r="AE69" s="3"/>
    </row>
    <row r="70" spans="9:31" x14ac:dyDescent="0.35">
      <c r="I70" s="35"/>
      <c r="O70" s="35"/>
      <c r="AD70" s="3"/>
      <c r="AE70" s="3"/>
    </row>
    <row r="71" spans="9:31" x14ac:dyDescent="0.35">
      <c r="I71" s="35"/>
      <c r="O71" s="35"/>
      <c r="AD71" s="3"/>
      <c r="AE71" s="3"/>
    </row>
    <row r="72" spans="9:31" x14ac:dyDescent="0.35">
      <c r="I72" s="35"/>
      <c r="O72" s="35"/>
      <c r="AD72" s="3"/>
      <c r="AE72" s="3"/>
    </row>
    <row r="73" spans="9:31" x14ac:dyDescent="0.35">
      <c r="I73" s="35"/>
      <c r="O73" s="35"/>
      <c r="AD73" s="3"/>
      <c r="AE73" s="3"/>
    </row>
    <row r="74" spans="9:31" x14ac:dyDescent="0.35">
      <c r="I74" s="35"/>
      <c r="O74" s="35"/>
      <c r="AD74" s="3"/>
      <c r="AE74" s="3"/>
    </row>
    <row r="75" spans="9:31" x14ac:dyDescent="0.35">
      <c r="I75" s="35"/>
      <c r="O75" s="35"/>
      <c r="AD75" s="3"/>
      <c r="AE75" s="3"/>
    </row>
    <row r="76" spans="9:31" x14ac:dyDescent="0.35">
      <c r="I76" s="35"/>
      <c r="O76" s="35"/>
      <c r="AD76" s="3"/>
      <c r="AE76" s="3"/>
    </row>
    <row r="77" spans="9:31" x14ac:dyDescent="0.35">
      <c r="I77" s="35"/>
      <c r="O77" s="35"/>
      <c r="AD77" s="3"/>
      <c r="AE77" s="3"/>
    </row>
    <row r="78" spans="9:31" x14ac:dyDescent="0.35">
      <c r="I78" s="35"/>
      <c r="O78" s="35"/>
      <c r="AD78" s="3"/>
      <c r="AE78" s="3"/>
    </row>
    <row r="79" spans="9:31" x14ac:dyDescent="0.35">
      <c r="I79" s="35"/>
      <c r="O79" s="35"/>
      <c r="AD79" s="3"/>
      <c r="AE79" s="3"/>
    </row>
    <row r="80" spans="9:31" x14ac:dyDescent="0.35">
      <c r="I80" s="35"/>
      <c r="O80" s="35"/>
      <c r="AD80" s="3"/>
      <c r="AE80" s="3"/>
    </row>
    <row r="81" spans="9:31" x14ac:dyDescent="0.35">
      <c r="I81" s="35"/>
      <c r="O81" s="35"/>
      <c r="AD81" s="3"/>
      <c r="AE81" s="3"/>
    </row>
    <row r="82" spans="9:31" x14ac:dyDescent="0.35">
      <c r="I82" s="35"/>
      <c r="O82" s="35"/>
      <c r="AD82" s="3"/>
      <c r="AE82" s="3"/>
    </row>
    <row r="83" spans="9:31" x14ac:dyDescent="0.35">
      <c r="I83" s="35"/>
      <c r="O83" s="35"/>
      <c r="AD83" s="3"/>
      <c r="AE83" s="3"/>
    </row>
    <row r="84" spans="9:31" x14ac:dyDescent="0.35">
      <c r="I84" s="35"/>
      <c r="O84" s="35"/>
      <c r="AD84" s="3"/>
      <c r="AE84" s="3"/>
    </row>
    <row r="85" spans="9:31" x14ac:dyDescent="0.35">
      <c r="I85" s="35"/>
      <c r="O85" s="35"/>
      <c r="AD85" s="3"/>
      <c r="AE85" s="3"/>
    </row>
    <row r="86" spans="9:31" x14ac:dyDescent="0.35">
      <c r="I86" s="35"/>
      <c r="O86" s="35"/>
      <c r="AD86" s="3"/>
      <c r="AE86" s="3"/>
    </row>
    <row r="87" spans="9:31" x14ac:dyDescent="0.35">
      <c r="I87" s="35"/>
      <c r="O87" s="35"/>
      <c r="AD87" s="3"/>
      <c r="AE87" s="3"/>
    </row>
    <row r="88" spans="9:31" x14ac:dyDescent="0.35">
      <c r="I88" s="35"/>
      <c r="O88" s="35"/>
      <c r="AD88" s="3"/>
      <c r="AE88" s="3"/>
    </row>
    <row r="89" spans="9:31" x14ac:dyDescent="0.35">
      <c r="I89" s="35"/>
      <c r="O89" s="35"/>
      <c r="AD89" s="3"/>
      <c r="AE89" s="3"/>
    </row>
    <row r="90" spans="9:31" x14ac:dyDescent="0.35">
      <c r="I90" s="35"/>
      <c r="O90" s="35"/>
      <c r="AD90" s="3"/>
      <c r="AE90" s="3"/>
    </row>
    <row r="91" spans="9:31" x14ac:dyDescent="0.35">
      <c r="I91" s="35"/>
      <c r="O91" s="35"/>
      <c r="AD91" s="3"/>
      <c r="AE91" s="3"/>
    </row>
    <row r="92" spans="9:31" x14ac:dyDescent="0.35">
      <c r="I92" s="35"/>
      <c r="O92" s="35"/>
      <c r="AD92" s="3"/>
      <c r="AE92" s="3"/>
    </row>
    <row r="93" spans="9:31" x14ac:dyDescent="0.35">
      <c r="I93" s="35"/>
      <c r="O93" s="35"/>
      <c r="AD93" s="3"/>
      <c r="AE93" s="3"/>
    </row>
    <row r="94" spans="9:31" x14ac:dyDescent="0.35">
      <c r="I94" s="35"/>
      <c r="O94" s="35"/>
      <c r="AD94" s="3"/>
      <c r="AE94" s="3"/>
    </row>
    <row r="95" spans="9:31" x14ac:dyDescent="0.35">
      <c r="I95" s="35"/>
      <c r="O95" s="35"/>
      <c r="AD95" s="3"/>
      <c r="AE95" s="3"/>
    </row>
    <row r="96" spans="9:31" x14ac:dyDescent="0.35">
      <c r="I96" s="35"/>
      <c r="O96" s="35"/>
      <c r="AD96" s="3"/>
      <c r="AE96" s="3"/>
    </row>
    <row r="97" spans="9:31" x14ac:dyDescent="0.35">
      <c r="I97" s="35"/>
      <c r="O97" s="35"/>
      <c r="AD97" s="3"/>
      <c r="AE97" s="3"/>
    </row>
    <row r="98" spans="9:31" x14ac:dyDescent="0.35">
      <c r="I98" s="35"/>
      <c r="O98" s="35"/>
      <c r="AD98" s="3"/>
      <c r="AE98" s="3"/>
    </row>
    <row r="99" spans="9:31" x14ac:dyDescent="0.35">
      <c r="I99" s="35"/>
      <c r="O99" s="35"/>
      <c r="AD99" s="3"/>
      <c r="AE99" s="3"/>
    </row>
    <row r="100" spans="9:31" x14ac:dyDescent="0.35">
      <c r="I100" s="35"/>
      <c r="O100" s="35"/>
      <c r="AD100" s="3"/>
      <c r="AE100" s="3"/>
    </row>
    <row r="101" spans="9:31" x14ac:dyDescent="0.35">
      <c r="I101" s="35"/>
      <c r="O101" s="35"/>
      <c r="AD101" s="3"/>
      <c r="AE101" s="3"/>
    </row>
    <row r="102" spans="9:31" x14ac:dyDescent="0.35">
      <c r="I102" s="35"/>
      <c r="O102" s="35"/>
      <c r="AD102" s="3"/>
      <c r="AE102" s="3"/>
    </row>
    <row r="103" spans="9:31" x14ac:dyDescent="0.35">
      <c r="I103" s="35"/>
      <c r="O103" s="35"/>
      <c r="AD103" s="3"/>
      <c r="AE103" s="3"/>
    </row>
    <row r="104" spans="9:31" x14ac:dyDescent="0.35">
      <c r="I104" s="35"/>
      <c r="O104" s="35"/>
      <c r="AD104" s="3"/>
      <c r="AE104" s="3"/>
    </row>
    <row r="105" spans="9:31" x14ac:dyDescent="0.35">
      <c r="I105" s="35"/>
      <c r="O105" s="35"/>
      <c r="AD105" s="3"/>
      <c r="AE105" s="3"/>
    </row>
    <row r="106" spans="9:31" x14ac:dyDescent="0.35">
      <c r="I106" s="35"/>
      <c r="O106" s="35"/>
      <c r="AD106" s="3"/>
      <c r="AE106" s="3"/>
    </row>
    <row r="107" spans="9:31" x14ac:dyDescent="0.35">
      <c r="I107" s="35"/>
      <c r="O107" s="35"/>
      <c r="AD107" s="3"/>
      <c r="AE107" s="3"/>
    </row>
    <row r="108" spans="9:31" x14ac:dyDescent="0.35">
      <c r="I108" s="35"/>
      <c r="O108" s="35"/>
      <c r="AD108" s="3"/>
      <c r="AE108" s="3"/>
    </row>
    <row r="109" spans="9:31" x14ac:dyDescent="0.35">
      <c r="I109" s="35"/>
      <c r="O109" s="35"/>
      <c r="AD109" s="3"/>
      <c r="AE109" s="3"/>
    </row>
    <row r="110" spans="9:31" x14ac:dyDescent="0.35">
      <c r="I110" s="35"/>
      <c r="O110" s="35"/>
      <c r="AD110" s="3"/>
      <c r="AE110" s="3"/>
    </row>
    <row r="111" spans="9:31" x14ac:dyDescent="0.35">
      <c r="I111" s="35"/>
      <c r="O111" s="35"/>
      <c r="AD111" s="3"/>
      <c r="AE111" s="3"/>
    </row>
    <row r="112" spans="9:31" x14ac:dyDescent="0.35">
      <c r="I112" s="35"/>
      <c r="O112" s="35"/>
      <c r="AD112" s="3"/>
      <c r="AE112" s="3"/>
    </row>
    <row r="113" spans="9:31" x14ac:dyDescent="0.35">
      <c r="I113" s="35"/>
      <c r="O113" s="35"/>
      <c r="AD113" s="3"/>
      <c r="AE113" s="3"/>
    </row>
    <row r="114" spans="9:31" x14ac:dyDescent="0.35">
      <c r="I114" s="35"/>
      <c r="O114" s="35"/>
      <c r="AD114" s="3"/>
      <c r="AE114" s="3"/>
    </row>
    <row r="115" spans="9:31" x14ac:dyDescent="0.35">
      <c r="I115" s="35"/>
      <c r="O115" s="35"/>
      <c r="AD115" s="3"/>
      <c r="AE115" s="3"/>
    </row>
    <row r="116" spans="9:31" x14ac:dyDescent="0.35">
      <c r="I116" s="35"/>
      <c r="O116" s="35"/>
      <c r="AD116" s="3"/>
      <c r="AE116" s="3"/>
    </row>
    <row r="117" spans="9:31" x14ac:dyDescent="0.35">
      <c r="I117" s="35"/>
      <c r="O117" s="35"/>
      <c r="AD117" s="3"/>
      <c r="AE117" s="3"/>
    </row>
    <row r="118" spans="9:31" x14ac:dyDescent="0.35">
      <c r="I118" s="35"/>
      <c r="O118" s="35"/>
      <c r="AD118" s="3"/>
      <c r="AE118" s="3"/>
    </row>
    <row r="119" spans="9:31" x14ac:dyDescent="0.35">
      <c r="I119" s="35"/>
      <c r="O119" s="35"/>
      <c r="AD119" s="3"/>
      <c r="AE119" s="3"/>
    </row>
    <row r="120" spans="9:31" x14ac:dyDescent="0.35">
      <c r="I120" s="35"/>
      <c r="O120" s="35"/>
      <c r="AD120" s="3"/>
      <c r="AE120" s="3"/>
    </row>
    <row r="121" spans="9:31" x14ac:dyDescent="0.35">
      <c r="I121" s="35"/>
      <c r="O121" s="35"/>
      <c r="AD121" s="3"/>
      <c r="AE121" s="3"/>
    </row>
    <row r="122" spans="9:31" x14ac:dyDescent="0.35">
      <c r="I122" s="35"/>
      <c r="O122" s="35"/>
      <c r="AD122" s="3"/>
      <c r="AE122" s="3"/>
    </row>
    <row r="123" spans="9:31" x14ac:dyDescent="0.35">
      <c r="I123" s="35"/>
      <c r="O123" s="35"/>
      <c r="AD123" s="3"/>
      <c r="AE123" s="3"/>
    </row>
    <row r="124" spans="9:31" x14ac:dyDescent="0.35">
      <c r="I124" s="35"/>
      <c r="O124" s="35"/>
      <c r="AD124" s="3"/>
      <c r="AE124" s="3"/>
    </row>
    <row r="125" spans="9:31" x14ac:dyDescent="0.35">
      <c r="I125" s="35"/>
      <c r="O125" s="35"/>
      <c r="AD125" s="3"/>
      <c r="AE125" s="3"/>
    </row>
    <row r="126" spans="9:31" x14ac:dyDescent="0.35">
      <c r="I126" s="35"/>
      <c r="O126" s="35"/>
      <c r="AD126" s="3"/>
      <c r="AE126" s="3"/>
    </row>
    <row r="127" spans="9:31" x14ac:dyDescent="0.35">
      <c r="I127" s="35"/>
      <c r="O127" s="35"/>
      <c r="AD127" s="3"/>
      <c r="AE127" s="3"/>
    </row>
    <row r="128" spans="9:31" x14ac:dyDescent="0.35">
      <c r="I128" s="35"/>
      <c r="O128" s="35"/>
      <c r="AD128" s="3"/>
      <c r="AE128" s="3"/>
    </row>
    <row r="129" spans="9:31" x14ac:dyDescent="0.35">
      <c r="I129" s="35"/>
      <c r="O129" s="35"/>
      <c r="AD129" s="3"/>
      <c r="AE129" s="3"/>
    </row>
    <row r="130" spans="9:31" x14ac:dyDescent="0.35">
      <c r="I130" s="35"/>
      <c r="O130" s="35"/>
      <c r="AD130" s="3"/>
      <c r="AE130" s="3"/>
    </row>
    <row r="131" spans="9:31" x14ac:dyDescent="0.35">
      <c r="I131" s="35"/>
      <c r="O131" s="35"/>
      <c r="AD131" s="3"/>
      <c r="AE131" s="3"/>
    </row>
    <row r="132" spans="9:31" x14ac:dyDescent="0.35">
      <c r="I132" s="35"/>
      <c r="O132" s="35"/>
      <c r="AD132" s="3"/>
      <c r="AE132" s="3"/>
    </row>
    <row r="133" spans="9:31" x14ac:dyDescent="0.35">
      <c r="I133" s="35"/>
      <c r="O133" s="35"/>
      <c r="AD133" s="3"/>
      <c r="AE133" s="3"/>
    </row>
    <row r="134" spans="9:31" x14ac:dyDescent="0.35">
      <c r="I134" s="35"/>
      <c r="O134" s="35"/>
      <c r="AD134" s="3"/>
      <c r="AE134" s="3"/>
    </row>
    <row r="135" spans="9:31" x14ac:dyDescent="0.35">
      <c r="I135" s="35"/>
      <c r="O135" s="35"/>
      <c r="AD135" s="3"/>
      <c r="AE135" s="3"/>
    </row>
    <row r="136" spans="9:31" x14ac:dyDescent="0.35">
      <c r="I136" s="35"/>
      <c r="O136" s="35"/>
      <c r="AD136" s="3"/>
      <c r="AE136" s="3"/>
    </row>
    <row r="137" spans="9:31" x14ac:dyDescent="0.35">
      <c r="I137" s="35"/>
      <c r="O137" s="35"/>
      <c r="AD137" s="3"/>
      <c r="AE137" s="3"/>
    </row>
    <row r="138" spans="9:31" x14ac:dyDescent="0.35">
      <c r="I138" s="35"/>
      <c r="O138" s="35"/>
      <c r="AD138" s="3"/>
      <c r="AE138" s="3"/>
    </row>
    <row r="139" spans="9:31" x14ac:dyDescent="0.35">
      <c r="I139" s="35"/>
      <c r="O139" s="35"/>
      <c r="AD139" s="3"/>
      <c r="AE139" s="3"/>
    </row>
    <row r="140" spans="9:31" x14ac:dyDescent="0.35">
      <c r="I140" s="35"/>
      <c r="O140" s="35"/>
      <c r="AD140" s="3"/>
      <c r="AE140" s="3"/>
    </row>
    <row r="141" spans="9:31" x14ac:dyDescent="0.35">
      <c r="I141" s="35"/>
      <c r="O141" s="35"/>
      <c r="AD141" s="3"/>
      <c r="AE141" s="3"/>
    </row>
    <row r="142" spans="9:31" x14ac:dyDescent="0.35">
      <c r="I142" s="35"/>
      <c r="O142" s="35"/>
      <c r="AD142" s="3"/>
      <c r="AE142" s="3"/>
    </row>
    <row r="143" spans="9:31" x14ac:dyDescent="0.35">
      <c r="I143" s="35"/>
      <c r="O143" s="35"/>
      <c r="AD143" s="3"/>
      <c r="AE143" s="3"/>
    </row>
    <row r="144" spans="9:31" x14ac:dyDescent="0.35">
      <c r="I144" s="35"/>
      <c r="O144" s="35"/>
      <c r="AD144" s="3"/>
      <c r="AE144" s="3"/>
    </row>
    <row r="145" spans="9:31" x14ac:dyDescent="0.35">
      <c r="I145" s="35"/>
      <c r="O145" s="35"/>
      <c r="AD145" s="3"/>
      <c r="AE145" s="3"/>
    </row>
    <row r="146" spans="9:31" x14ac:dyDescent="0.35">
      <c r="I146" s="35"/>
      <c r="O146" s="35"/>
      <c r="AD146" s="3"/>
      <c r="AE146" s="3"/>
    </row>
    <row r="147" spans="9:31" x14ac:dyDescent="0.35">
      <c r="I147" s="35"/>
      <c r="O147" s="35"/>
      <c r="AD147" s="3"/>
      <c r="AE147" s="3"/>
    </row>
    <row r="148" spans="9:31" x14ac:dyDescent="0.35">
      <c r="I148" s="35"/>
      <c r="O148" s="35"/>
      <c r="AD148" s="3"/>
      <c r="AE148" s="3"/>
    </row>
    <row r="149" spans="9:31" x14ac:dyDescent="0.35">
      <c r="I149" s="35"/>
      <c r="O149" s="35"/>
      <c r="AD149" s="3"/>
      <c r="AE149" s="3"/>
    </row>
    <row r="150" spans="9:31" x14ac:dyDescent="0.35">
      <c r="I150" s="35"/>
      <c r="O150" s="35"/>
      <c r="AD150" s="3"/>
      <c r="AE150" s="3"/>
    </row>
    <row r="151" spans="9:31" x14ac:dyDescent="0.35">
      <c r="I151" s="35"/>
      <c r="O151" s="35"/>
      <c r="AD151" s="3"/>
      <c r="AE151" s="3"/>
    </row>
    <row r="152" spans="9:31" x14ac:dyDescent="0.35">
      <c r="I152" s="35"/>
      <c r="O152" s="35"/>
      <c r="AD152" s="3"/>
      <c r="AE152" s="3"/>
    </row>
    <row r="153" spans="9:31" x14ac:dyDescent="0.35">
      <c r="I153" s="35"/>
      <c r="O153" s="35"/>
      <c r="AD153" s="3"/>
      <c r="AE153" s="3"/>
    </row>
    <row r="154" spans="9:31" x14ac:dyDescent="0.35">
      <c r="I154" s="35"/>
      <c r="O154" s="35"/>
      <c r="AD154" s="3"/>
      <c r="AE154" s="3"/>
    </row>
    <row r="155" spans="9:31" x14ac:dyDescent="0.35">
      <c r="I155" s="35"/>
      <c r="O155" s="35"/>
      <c r="AD155" s="3"/>
      <c r="AE155" s="3"/>
    </row>
    <row r="156" spans="9:31" x14ac:dyDescent="0.35">
      <c r="I156" s="35"/>
      <c r="O156" s="35"/>
      <c r="AD156" s="3"/>
      <c r="AE156" s="3"/>
    </row>
    <row r="157" spans="9:31" x14ac:dyDescent="0.35">
      <c r="I157" s="35"/>
      <c r="O157" s="35"/>
      <c r="AD157" s="3"/>
      <c r="AE157" s="3"/>
    </row>
    <row r="158" spans="9:31" x14ac:dyDescent="0.35">
      <c r="I158" s="35"/>
      <c r="O158" s="35"/>
      <c r="AD158" s="3"/>
      <c r="AE158" s="3"/>
    </row>
    <row r="159" spans="9:31" x14ac:dyDescent="0.35">
      <c r="I159" s="35"/>
      <c r="O159" s="35"/>
      <c r="AD159" s="3"/>
      <c r="AE159" s="3"/>
    </row>
    <row r="160" spans="9:31" x14ac:dyDescent="0.35">
      <c r="I160" s="35"/>
      <c r="O160" s="35"/>
      <c r="AD160" s="3"/>
      <c r="AE160" s="3"/>
    </row>
    <row r="161" spans="9:31" x14ac:dyDescent="0.35">
      <c r="I161" s="35"/>
      <c r="O161" s="35"/>
      <c r="AD161" s="3"/>
      <c r="AE161" s="3"/>
    </row>
    <row r="162" spans="9:31" x14ac:dyDescent="0.35">
      <c r="I162" s="35"/>
      <c r="O162" s="35"/>
      <c r="AD162" s="3"/>
      <c r="AE162" s="3"/>
    </row>
    <row r="163" spans="9:31" x14ac:dyDescent="0.35">
      <c r="I163" s="35"/>
      <c r="O163" s="35"/>
      <c r="AD163" s="3"/>
      <c r="AE163" s="3"/>
    </row>
    <row r="164" spans="9:31" x14ac:dyDescent="0.35">
      <c r="I164" s="35"/>
      <c r="O164" s="35"/>
      <c r="AD164" s="3"/>
      <c r="AE164" s="3"/>
    </row>
    <row r="165" spans="9:31" x14ac:dyDescent="0.35">
      <c r="I165" s="35"/>
      <c r="O165" s="35"/>
      <c r="AD165" s="3"/>
      <c r="AE165" s="3"/>
    </row>
    <row r="166" spans="9:31" x14ac:dyDescent="0.35">
      <c r="I166" s="35"/>
      <c r="O166" s="35"/>
      <c r="AD166" s="3"/>
      <c r="AE166" s="3"/>
    </row>
    <row r="167" spans="9:31" x14ac:dyDescent="0.35">
      <c r="I167" s="35"/>
      <c r="O167" s="35"/>
      <c r="AD167" s="3"/>
      <c r="AE167" s="3"/>
    </row>
    <row r="168" spans="9:31" x14ac:dyDescent="0.35">
      <c r="I168" s="35"/>
      <c r="O168" s="35"/>
      <c r="AD168" s="3"/>
      <c r="AE168" s="3"/>
    </row>
    <row r="169" spans="9:31" x14ac:dyDescent="0.35">
      <c r="I169" s="35"/>
      <c r="O169" s="35"/>
      <c r="AD169" s="3"/>
      <c r="AE169" s="3"/>
    </row>
    <row r="170" spans="9:31" x14ac:dyDescent="0.35">
      <c r="I170" s="35"/>
      <c r="O170" s="35"/>
      <c r="AD170" s="3"/>
      <c r="AE170" s="3"/>
    </row>
    <row r="171" spans="9:31" x14ac:dyDescent="0.35">
      <c r="I171" s="35"/>
      <c r="O171" s="35"/>
      <c r="AD171" s="3"/>
      <c r="AE171" s="3"/>
    </row>
    <row r="172" spans="9:31" x14ac:dyDescent="0.35">
      <c r="I172" s="35"/>
      <c r="O172" s="35"/>
      <c r="AD172" s="3"/>
      <c r="AE172" s="3"/>
    </row>
    <row r="173" spans="9:31" x14ac:dyDescent="0.35">
      <c r="I173" s="35"/>
      <c r="O173" s="35"/>
      <c r="AD173" s="3"/>
      <c r="AE173" s="3"/>
    </row>
    <row r="174" spans="9:31" x14ac:dyDescent="0.35">
      <c r="I174" s="35"/>
      <c r="O174" s="35"/>
      <c r="AD174" s="3"/>
      <c r="AE174" s="3"/>
    </row>
    <row r="175" spans="9:31" x14ac:dyDescent="0.35">
      <c r="I175" s="35"/>
      <c r="O175" s="35"/>
      <c r="AD175" s="3"/>
      <c r="AE175" s="3"/>
    </row>
    <row r="176" spans="9:31" x14ac:dyDescent="0.35">
      <c r="I176" s="35"/>
      <c r="O176" s="35"/>
      <c r="AD176" s="3"/>
      <c r="AE176" s="3"/>
    </row>
    <row r="177" spans="9:31" x14ac:dyDescent="0.35">
      <c r="I177" s="35"/>
      <c r="O177" s="35"/>
      <c r="AD177" s="3"/>
      <c r="AE177" s="3"/>
    </row>
    <row r="178" spans="9:31" x14ac:dyDescent="0.35">
      <c r="I178" s="35"/>
      <c r="O178" s="35"/>
      <c r="AD178" s="3"/>
      <c r="AE178" s="3"/>
    </row>
    <row r="179" spans="9:31" x14ac:dyDescent="0.35">
      <c r="I179" s="35"/>
      <c r="O179" s="35"/>
      <c r="AD179" s="3"/>
      <c r="AE179" s="3"/>
    </row>
    <row r="180" spans="9:31" x14ac:dyDescent="0.35">
      <c r="I180" s="35"/>
      <c r="O180" s="35"/>
      <c r="AD180" s="3"/>
      <c r="AE180" s="3"/>
    </row>
    <row r="181" spans="9:31" x14ac:dyDescent="0.35">
      <c r="I181" s="35"/>
      <c r="O181" s="35"/>
      <c r="AD181" s="3"/>
      <c r="AE181" s="3"/>
    </row>
    <row r="182" spans="9:31" x14ac:dyDescent="0.35">
      <c r="I182" s="35"/>
      <c r="O182" s="35"/>
      <c r="AD182" s="3"/>
      <c r="AE182" s="3"/>
    </row>
    <row r="183" spans="9:31" x14ac:dyDescent="0.35">
      <c r="I183" s="35"/>
      <c r="O183" s="35"/>
      <c r="AD183" s="3"/>
      <c r="AE183" s="3"/>
    </row>
    <row r="184" spans="9:31" x14ac:dyDescent="0.35">
      <c r="I184" s="35"/>
      <c r="O184" s="35"/>
      <c r="AD184" s="3"/>
      <c r="AE184" s="3"/>
    </row>
    <row r="185" spans="9:31" x14ac:dyDescent="0.35">
      <c r="I185" s="35"/>
      <c r="O185" s="35"/>
      <c r="AD185" s="3"/>
      <c r="AE185" s="3"/>
    </row>
    <row r="186" spans="9:31" x14ac:dyDescent="0.35">
      <c r="I186" s="35"/>
      <c r="O186" s="35"/>
      <c r="AD186" s="3"/>
      <c r="AE186" s="3"/>
    </row>
    <row r="187" spans="9:31" x14ac:dyDescent="0.35">
      <c r="I187" s="35"/>
      <c r="O187" s="35"/>
      <c r="AD187" s="3"/>
      <c r="AE187" s="3"/>
    </row>
    <row r="188" spans="9:31" x14ac:dyDescent="0.35">
      <c r="I188" s="35"/>
      <c r="O188" s="35"/>
      <c r="AD188" s="3"/>
      <c r="AE188" s="3"/>
    </row>
    <row r="189" spans="9:31" x14ac:dyDescent="0.35">
      <c r="I189" s="35"/>
      <c r="O189" s="35"/>
      <c r="AD189" s="3"/>
      <c r="AE189" s="3"/>
    </row>
    <row r="190" spans="9:31" x14ac:dyDescent="0.35">
      <c r="I190" s="35"/>
      <c r="O190" s="35"/>
      <c r="AD190" s="3"/>
      <c r="AE190" s="3"/>
    </row>
    <row r="191" spans="9:31" x14ac:dyDescent="0.35">
      <c r="I191" s="35"/>
      <c r="O191" s="35"/>
      <c r="AD191" s="3"/>
      <c r="AE191" s="3"/>
    </row>
    <row r="192" spans="9:31" x14ac:dyDescent="0.35">
      <c r="I192" s="35"/>
      <c r="O192" s="35"/>
      <c r="AD192" s="3"/>
      <c r="AE192" s="3"/>
    </row>
    <row r="193" spans="9:31" x14ac:dyDescent="0.35">
      <c r="I193" s="35"/>
      <c r="O193" s="35"/>
      <c r="AD193" s="3"/>
      <c r="AE193" s="3"/>
    </row>
    <row r="194" spans="9:31" x14ac:dyDescent="0.35">
      <c r="I194" s="35"/>
      <c r="O194" s="35"/>
      <c r="AD194" s="3"/>
      <c r="AE194" s="3"/>
    </row>
    <row r="195" spans="9:31" x14ac:dyDescent="0.35">
      <c r="I195" s="35"/>
      <c r="O195" s="35"/>
      <c r="AD195" s="3"/>
      <c r="AE195" s="3"/>
    </row>
    <row r="196" spans="9:31" x14ac:dyDescent="0.35">
      <c r="I196" s="35"/>
      <c r="O196" s="35"/>
      <c r="AD196" s="3"/>
      <c r="AE196" s="3"/>
    </row>
    <row r="197" spans="9:31" x14ac:dyDescent="0.35">
      <c r="I197" s="35"/>
      <c r="O197" s="35"/>
      <c r="AD197" s="3"/>
      <c r="AE197" s="3"/>
    </row>
    <row r="198" spans="9:31" x14ac:dyDescent="0.35">
      <c r="I198" s="35"/>
      <c r="O198" s="35"/>
      <c r="AD198" s="3"/>
      <c r="AE198" s="3"/>
    </row>
    <row r="199" spans="9:31" x14ac:dyDescent="0.35">
      <c r="I199" s="35"/>
      <c r="O199" s="35"/>
      <c r="AD199" s="3"/>
      <c r="AE199" s="3"/>
    </row>
    <row r="200" spans="9:31" x14ac:dyDescent="0.35">
      <c r="I200" s="35"/>
      <c r="O200" s="35"/>
      <c r="AD200" s="3"/>
      <c r="AE200" s="3"/>
    </row>
    <row r="201" spans="9:31" x14ac:dyDescent="0.35">
      <c r="I201" s="35"/>
      <c r="O201" s="35"/>
      <c r="AD201" s="3"/>
      <c r="AE201" s="3"/>
    </row>
    <row r="202" spans="9:31" x14ac:dyDescent="0.35">
      <c r="I202" s="35"/>
      <c r="O202" s="35"/>
      <c r="AD202" s="3"/>
      <c r="AE202" s="3"/>
    </row>
    <row r="203" spans="9:31" x14ac:dyDescent="0.35">
      <c r="I203" s="35"/>
      <c r="O203" s="35"/>
      <c r="AD203" s="3"/>
      <c r="AE203" s="3"/>
    </row>
    <row r="204" spans="9:31" x14ac:dyDescent="0.35">
      <c r="I204" s="35"/>
      <c r="O204" s="35"/>
      <c r="AD204" s="3"/>
      <c r="AE204" s="3"/>
    </row>
    <row r="205" spans="9:31" x14ac:dyDescent="0.35">
      <c r="I205" s="35"/>
      <c r="O205" s="35"/>
      <c r="AD205" s="3"/>
      <c r="AE205" s="3"/>
    </row>
    <row r="206" spans="9:31" x14ac:dyDescent="0.35">
      <c r="I206" s="35"/>
      <c r="O206" s="35"/>
      <c r="AD206" s="3"/>
      <c r="AE206" s="3"/>
    </row>
    <row r="207" spans="9:31" x14ac:dyDescent="0.35">
      <c r="I207" s="35"/>
      <c r="O207" s="35"/>
      <c r="AD207" s="3"/>
      <c r="AE207" s="3"/>
    </row>
    <row r="208" spans="9:31" x14ac:dyDescent="0.35">
      <c r="I208" s="35"/>
      <c r="O208" s="35"/>
      <c r="AD208" s="3"/>
      <c r="AE208" s="3"/>
    </row>
    <row r="209" spans="9:31" x14ac:dyDescent="0.35">
      <c r="I209" s="35"/>
      <c r="O209" s="35"/>
      <c r="AD209" s="3"/>
      <c r="AE209" s="3"/>
    </row>
    <row r="210" spans="9:31" x14ac:dyDescent="0.35">
      <c r="I210" s="35"/>
      <c r="O210" s="35"/>
      <c r="AD210" s="3"/>
      <c r="AE210" s="3"/>
    </row>
    <row r="211" spans="9:31" x14ac:dyDescent="0.35">
      <c r="I211" s="35"/>
      <c r="O211" s="35"/>
      <c r="AD211" s="3"/>
      <c r="AE211" s="3"/>
    </row>
    <row r="212" spans="9:31" x14ac:dyDescent="0.35">
      <c r="I212" s="35"/>
      <c r="O212" s="35"/>
      <c r="AD212" s="3"/>
      <c r="AE212" s="3"/>
    </row>
    <row r="213" spans="9:31" x14ac:dyDescent="0.35">
      <c r="I213" s="35"/>
      <c r="O213" s="35"/>
      <c r="AD213" s="3"/>
      <c r="AE213" s="3"/>
    </row>
    <row r="214" spans="9:31" x14ac:dyDescent="0.35">
      <c r="I214" s="35"/>
      <c r="O214" s="35"/>
      <c r="AD214" s="3"/>
      <c r="AE214" s="3"/>
    </row>
    <row r="215" spans="9:31" x14ac:dyDescent="0.35">
      <c r="I215" s="35"/>
      <c r="O215" s="35"/>
      <c r="AD215" s="3"/>
      <c r="AE215" s="3"/>
    </row>
    <row r="216" spans="9:31" x14ac:dyDescent="0.35">
      <c r="I216" s="35"/>
      <c r="O216" s="35"/>
      <c r="AD216" s="3"/>
      <c r="AE216" s="3"/>
    </row>
    <row r="217" spans="9:31" x14ac:dyDescent="0.35">
      <c r="I217" s="35"/>
      <c r="O217" s="35"/>
      <c r="AD217" s="3"/>
      <c r="AE217" s="3"/>
    </row>
    <row r="218" spans="9:31" x14ac:dyDescent="0.35">
      <c r="I218" s="35"/>
      <c r="O218" s="35"/>
      <c r="AD218" s="3"/>
      <c r="AE218" s="3"/>
    </row>
    <row r="219" spans="9:31" x14ac:dyDescent="0.35">
      <c r="I219" s="35"/>
      <c r="O219" s="35"/>
      <c r="AD219" s="3"/>
      <c r="AE219" s="3"/>
    </row>
    <row r="220" spans="9:31" x14ac:dyDescent="0.35">
      <c r="I220" s="35"/>
      <c r="O220" s="35"/>
      <c r="AD220" s="3"/>
      <c r="AE220" s="3"/>
    </row>
    <row r="221" spans="9:31" x14ac:dyDescent="0.35">
      <c r="I221" s="35"/>
      <c r="O221" s="35"/>
      <c r="AD221" s="3"/>
      <c r="AE221" s="3"/>
    </row>
    <row r="222" spans="9:31" x14ac:dyDescent="0.35">
      <c r="I222" s="35"/>
      <c r="O222" s="35"/>
      <c r="AD222" s="3"/>
      <c r="AE222" s="3"/>
    </row>
    <row r="223" spans="9:31" x14ac:dyDescent="0.35">
      <c r="I223" s="35"/>
      <c r="O223" s="35"/>
      <c r="AD223" s="3"/>
      <c r="AE223" s="3"/>
    </row>
    <row r="224" spans="9:31" x14ac:dyDescent="0.35">
      <c r="I224" s="35"/>
      <c r="O224" s="35"/>
      <c r="AD224" s="3"/>
      <c r="AE224" s="3"/>
    </row>
    <row r="225" spans="9:31" x14ac:dyDescent="0.35">
      <c r="I225" s="35"/>
      <c r="O225" s="35"/>
      <c r="AD225" s="3"/>
      <c r="AE225" s="3"/>
    </row>
    <row r="226" spans="9:31" x14ac:dyDescent="0.35">
      <c r="I226" s="35"/>
      <c r="O226" s="35"/>
      <c r="AD226" s="3"/>
      <c r="AE226" s="3"/>
    </row>
    <row r="227" spans="9:31" x14ac:dyDescent="0.35">
      <c r="I227" s="35"/>
      <c r="O227" s="35"/>
      <c r="AD227" s="3"/>
      <c r="AE227" s="3"/>
    </row>
    <row r="228" spans="9:31" x14ac:dyDescent="0.35">
      <c r="I228" s="35"/>
      <c r="O228" s="35"/>
      <c r="AD228" s="3"/>
      <c r="AE228" s="3"/>
    </row>
    <row r="229" spans="9:31" x14ac:dyDescent="0.35">
      <c r="I229" s="35"/>
      <c r="O229" s="35"/>
      <c r="AD229" s="3"/>
      <c r="AE229" s="3"/>
    </row>
    <row r="230" spans="9:31" x14ac:dyDescent="0.35">
      <c r="I230" s="35"/>
      <c r="O230" s="35"/>
      <c r="AD230" s="3"/>
      <c r="AE230" s="3"/>
    </row>
    <row r="231" spans="9:31" x14ac:dyDescent="0.35">
      <c r="I231" s="35"/>
      <c r="O231" s="35"/>
      <c r="AD231" s="3"/>
      <c r="AE231" s="3"/>
    </row>
    <row r="232" spans="9:31" x14ac:dyDescent="0.35">
      <c r="I232" s="35"/>
      <c r="O232" s="35"/>
      <c r="AD232" s="3"/>
      <c r="AE232" s="3"/>
    </row>
    <row r="233" spans="9:31" x14ac:dyDescent="0.35">
      <c r="I233" s="35"/>
      <c r="O233" s="35"/>
      <c r="AD233" s="3"/>
      <c r="AE233" s="3"/>
    </row>
    <row r="234" spans="9:31" x14ac:dyDescent="0.35">
      <c r="I234" s="35"/>
      <c r="O234" s="35"/>
      <c r="AD234" s="3"/>
      <c r="AE234" s="3"/>
    </row>
    <row r="235" spans="9:31" x14ac:dyDescent="0.35">
      <c r="I235" s="35"/>
      <c r="O235" s="35"/>
      <c r="AD235" s="3"/>
      <c r="AE235" s="3"/>
    </row>
    <row r="236" spans="9:31" x14ac:dyDescent="0.35">
      <c r="I236" s="35"/>
      <c r="O236" s="35"/>
      <c r="AD236" s="3"/>
      <c r="AE236" s="3"/>
    </row>
    <row r="237" spans="9:31" x14ac:dyDescent="0.35">
      <c r="I237" s="35"/>
      <c r="O237" s="35"/>
      <c r="AD237" s="3"/>
      <c r="AE237" s="3"/>
    </row>
    <row r="238" spans="9:31" x14ac:dyDescent="0.35">
      <c r="I238" s="35"/>
      <c r="O238" s="35"/>
      <c r="AD238" s="3"/>
      <c r="AE238" s="3"/>
    </row>
    <row r="239" spans="9:31" x14ac:dyDescent="0.35">
      <c r="I239" s="35"/>
      <c r="O239" s="35"/>
      <c r="AD239" s="3"/>
      <c r="AE239" s="3"/>
    </row>
    <row r="240" spans="9:31" x14ac:dyDescent="0.35">
      <c r="I240" s="35"/>
      <c r="O240" s="35"/>
      <c r="AD240" s="3"/>
      <c r="AE240" s="3"/>
    </row>
    <row r="241" spans="9:31" x14ac:dyDescent="0.35">
      <c r="I241" s="35"/>
      <c r="O241" s="35"/>
      <c r="AD241" s="3"/>
      <c r="AE241" s="3"/>
    </row>
    <row r="242" spans="9:31" x14ac:dyDescent="0.35">
      <c r="I242" s="35"/>
      <c r="O242" s="35"/>
      <c r="AD242" s="3"/>
      <c r="AE242" s="3"/>
    </row>
    <row r="243" spans="9:31" x14ac:dyDescent="0.35">
      <c r="I243" s="35"/>
      <c r="O243" s="35"/>
      <c r="AD243" s="3"/>
      <c r="AE243" s="3"/>
    </row>
    <row r="244" spans="9:31" x14ac:dyDescent="0.35">
      <c r="I244" s="35"/>
      <c r="O244" s="35"/>
      <c r="AD244" s="3"/>
      <c r="AE244" s="3"/>
    </row>
    <row r="245" spans="9:31" x14ac:dyDescent="0.35">
      <c r="I245" s="35"/>
      <c r="O245" s="35"/>
      <c r="AD245" s="3"/>
      <c r="AE245" s="3"/>
    </row>
    <row r="246" spans="9:31" x14ac:dyDescent="0.35">
      <c r="I246" s="35"/>
      <c r="O246" s="35"/>
      <c r="AD246" s="3"/>
      <c r="AE246" s="3"/>
    </row>
    <row r="247" spans="9:31" x14ac:dyDescent="0.35">
      <c r="I247" s="35"/>
      <c r="O247" s="35"/>
      <c r="AD247" s="3"/>
      <c r="AE247" s="3"/>
    </row>
    <row r="248" spans="9:31" x14ac:dyDescent="0.35">
      <c r="I248" s="35"/>
      <c r="O248" s="35"/>
      <c r="AD248" s="3"/>
      <c r="AE248" s="3"/>
    </row>
    <row r="249" spans="9:31" x14ac:dyDescent="0.35">
      <c r="I249" s="35"/>
      <c r="O249" s="35"/>
      <c r="AD249" s="3"/>
      <c r="AE249" s="3"/>
    </row>
    <row r="250" spans="9:31" x14ac:dyDescent="0.35">
      <c r="I250" s="35"/>
      <c r="O250" s="35"/>
      <c r="AD250" s="3"/>
      <c r="AE250" s="3"/>
    </row>
    <row r="251" spans="9:31" x14ac:dyDescent="0.35">
      <c r="I251" s="35"/>
      <c r="O251" s="35"/>
      <c r="AD251" s="3"/>
      <c r="AE251" s="3"/>
    </row>
    <row r="252" spans="9:31" x14ac:dyDescent="0.35">
      <c r="I252" s="35"/>
      <c r="O252" s="35"/>
      <c r="AD252" s="3"/>
      <c r="AE252" s="3"/>
    </row>
    <row r="253" spans="9:31" x14ac:dyDescent="0.35">
      <c r="I253" s="35"/>
      <c r="O253" s="35"/>
      <c r="AD253" s="3"/>
      <c r="AE253" s="3"/>
    </row>
    <row r="254" spans="9:31" x14ac:dyDescent="0.35">
      <c r="I254" s="35"/>
      <c r="O254" s="35"/>
      <c r="AD254" s="3"/>
      <c r="AE254" s="3"/>
    </row>
    <row r="255" spans="9:31" x14ac:dyDescent="0.35">
      <c r="I255" s="35"/>
      <c r="O255" s="35"/>
      <c r="AD255" s="3"/>
      <c r="AE255" s="3"/>
    </row>
    <row r="256" spans="9:31" x14ac:dyDescent="0.35">
      <c r="I256" s="35"/>
      <c r="O256" s="35"/>
      <c r="AD256" s="3"/>
      <c r="AE256" s="3"/>
    </row>
    <row r="257" spans="9:31" x14ac:dyDescent="0.35">
      <c r="I257" s="35"/>
      <c r="O257" s="35"/>
      <c r="AD257" s="3"/>
      <c r="AE257" s="3"/>
    </row>
    <row r="258" spans="9:31" x14ac:dyDescent="0.35">
      <c r="I258" s="35"/>
      <c r="O258" s="35"/>
      <c r="AD258" s="3"/>
      <c r="AE258" s="3"/>
    </row>
    <row r="259" spans="9:31" x14ac:dyDescent="0.35">
      <c r="I259" s="35"/>
      <c r="O259" s="35"/>
      <c r="AD259" s="3"/>
      <c r="AE259" s="3"/>
    </row>
    <row r="260" spans="9:31" x14ac:dyDescent="0.35">
      <c r="I260" s="35"/>
      <c r="O260" s="35"/>
      <c r="AD260" s="3"/>
      <c r="AE260" s="3"/>
    </row>
    <row r="261" spans="9:31" x14ac:dyDescent="0.35">
      <c r="I261" s="35"/>
      <c r="O261" s="35"/>
      <c r="AD261" s="3"/>
      <c r="AE261" s="3"/>
    </row>
    <row r="262" spans="9:31" x14ac:dyDescent="0.35">
      <c r="I262" s="35"/>
      <c r="O262" s="35"/>
      <c r="AD262" s="3"/>
      <c r="AE262" s="3"/>
    </row>
    <row r="263" spans="9:31" x14ac:dyDescent="0.35">
      <c r="I263" s="35"/>
      <c r="O263" s="35"/>
      <c r="AD263" s="3"/>
      <c r="AE263" s="3"/>
    </row>
    <row r="264" spans="9:31" x14ac:dyDescent="0.35">
      <c r="I264" s="35"/>
      <c r="O264" s="35"/>
      <c r="AD264" s="3"/>
      <c r="AE264" s="3"/>
    </row>
    <row r="265" spans="9:31" x14ac:dyDescent="0.35">
      <c r="I265" s="35"/>
      <c r="O265" s="35"/>
      <c r="AD265" s="3"/>
      <c r="AE265" s="3"/>
    </row>
    <row r="266" spans="9:31" x14ac:dyDescent="0.35">
      <c r="I266" s="35"/>
      <c r="O266" s="35"/>
      <c r="AD266" s="3"/>
      <c r="AE266" s="3"/>
    </row>
    <row r="267" spans="9:31" x14ac:dyDescent="0.35">
      <c r="I267" s="35"/>
      <c r="O267" s="35"/>
      <c r="AD267" s="3"/>
      <c r="AE267" s="3"/>
    </row>
    <row r="268" spans="9:31" x14ac:dyDescent="0.35">
      <c r="I268" s="35"/>
      <c r="O268" s="35"/>
      <c r="AD268" s="3"/>
      <c r="AE268" s="3"/>
    </row>
    <row r="269" spans="9:31" x14ac:dyDescent="0.35">
      <c r="I269" s="35"/>
      <c r="O269" s="35"/>
      <c r="AD269" s="3"/>
      <c r="AE269" s="3"/>
    </row>
    <row r="270" spans="9:31" x14ac:dyDescent="0.35">
      <c r="I270" s="35"/>
      <c r="O270" s="35"/>
      <c r="AD270" s="3"/>
      <c r="AE270" s="3"/>
    </row>
    <row r="271" spans="9:31" x14ac:dyDescent="0.35">
      <c r="I271" s="35"/>
      <c r="O271" s="35"/>
      <c r="AD271" s="3"/>
      <c r="AE271" s="3"/>
    </row>
    <row r="272" spans="9:31" x14ac:dyDescent="0.35">
      <c r="I272" s="35"/>
      <c r="O272" s="35"/>
      <c r="AD272" s="3"/>
      <c r="AE272" s="3"/>
    </row>
    <row r="273" spans="9:31" x14ac:dyDescent="0.35">
      <c r="I273" s="35"/>
      <c r="O273" s="35"/>
      <c r="AD273" s="3"/>
      <c r="AE273" s="3"/>
    </row>
    <row r="274" spans="9:31" x14ac:dyDescent="0.35">
      <c r="I274" s="35"/>
      <c r="O274" s="35"/>
      <c r="AD274" s="3"/>
      <c r="AE274" s="3"/>
    </row>
    <row r="275" spans="9:31" x14ac:dyDescent="0.35">
      <c r="I275" s="35"/>
      <c r="O275" s="35"/>
      <c r="AD275" s="3"/>
      <c r="AE275" s="3"/>
    </row>
    <row r="276" spans="9:31" x14ac:dyDescent="0.35">
      <c r="I276" s="35"/>
      <c r="O276" s="35"/>
      <c r="AD276" s="3"/>
      <c r="AE276" s="3"/>
    </row>
    <row r="277" spans="9:31" x14ac:dyDescent="0.35">
      <c r="I277" s="35"/>
      <c r="O277" s="35"/>
      <c r="AD277" s="3"/>
      <c r="AE277" s="3"/>
    </row>
    <row r="278" spans="9:31" x14ac:dyDescent="0.35">
      <c r="I278" s="35"/>
      <c r="O278" s="35"/>
      <c r="AD278" s="3"/>
      <c r="AE278" s="3"/>
    </row>
    <row r="279" spans="9:31" x14ac:dyDescent="0.35">
      <c r="I279" s="35"/>
      <c r="O279" s="35"/>
      <c r="AD279" s="3"/>
      <c r="AE279" s="3"/>
    </row>
    <row r="280" spans="9:31" x14ac:dyDescent="0.35">
      <c r="I280" s="35"/>
      <c r="O280" s="35"/>
      <c r="AD280" s="3"/>
      <c r="AE280" s="3"/>
    </row>
    <row r="281" spans="9:31" x14ac:dyDescent="0.35">
      <c r="I281" s="35"/>
      <c r="O281" s="35"/>
      <c r="AD281" s="3"/>
      <c r="AE281" s="3"/>
    </row>
    <row r="282" spans="9:31" x14ac:dyDescent="0.35">
      <c r="I282" s="35"/>
      <c r="O282" s="35"/>
      <c r="AD282" s="3"/>
      <c r="AE282" s="3"/>
    </row>
    <row r="283" spans="9:31" x14ac:dyDescent="0.35">
      <c r="I283" s="35"/>
      <c r="O283" s="35"/>
      <c r="AD283" s="3"/>
      <c r="AE283" s="3"/>
    </row>
    <row r="284" spans="9:31" x14ac:dyDescent="0.35">
      <c r="I284" s="35"/>
      <c r="O284" s="35"/>
      <c r="AD284" s="3"/>
      <c r="AE284" s="3"/>
    </row>
    <row r="285" spans="9:31" x14ac:dyDescent="0.35">
      <c r="I285" s="35"/>
      <c r="O285" s="35"/>
      <c r="AD285" s="3"/>
      <c r="AE285" s="3"/>
    </row>
    <row r="286" spans="9:31" x14ac:dyDescent="0.35">
      <c r="I286" s="35"/>
      <c r="O286" s="35"/>
      <c r="AD286" s="3"/>
      <c r="AE286" s="3"/>
    </row>
    <row r="287" spans="9:31" x14ac:dyDescent="0.35">
      <c r="I287" s="35"/>
      <c r="O287" s="35"/>
      <c r="AD287" s="3"/>
      <c r="AE287" s="3"/>
    </row>
    <row r="288" spans="9:31" x14ac:dyDescent="0.35">
      <c r="I288" s="35"/>
      <c r="O288" s="35"/>
      <c r="AD288" s="3"/>
      <c r="AE288" s="3"/>
    </row>
    <row r="289" spans="9:31" x14ac:dyDescent="0.35">
      <c r="I289" s="35"/>
      <c r="O289" s="35"/>
      <c r="AD289" s="3"/>
      <c r="AE289" s="3"/>
    </row>
    <row r="290" spans="9:31" x14ac:dyDescent="0.35">
      <c r="I290" s="35"/>
      <c r="O290" s="35"/>
      <c r="AD290" s="3"/>
      <c r="AE290" s="3"/>
    </row>
    <row r="291" spans="9:31" x14ac:dyDescent="0.35">
      <c r="I291" s="35"/>
      <c r="O291" s="35"/>
      <c r="AD291" s="3"/>
      <c r="AE291" s="3"/>
    </row>
    <row r="292" spans="9:31" x14ac:dyDescent="0.35">
      <c r="I292" s="35"/>
      <c r="O292" s="35"/>
      <c r="AD292" s="3"/>
      <c r="AE292" s="3"/>
    </row>
    <row r="293" spans="9:31" x14ac:dyDescent="0.35">
      <c r="I293" s="35"/>
      <c r="O293" s="35"/>
      <c r="AD293" s="3"/>
      <c r="AE293" s="3"/>
    </row>
    <row r="294" spans="9:31" x14ac:dyDescent="0.35">
      <c r="I294" s="35"/>
      <c r="O294" s="35"/>
      <c r="AD294" s="3"/>
      <c r="AE294" s="3"/>
    </row>
    <row r="295" spans="9:31" x14ac:dyDescent="0.35">
      <c r="I295" s="35"/>
      <c r="O295" s="35"/>
      <c r="AD295" s="3"/>
      <c r="AE295" s="3"/>
    </row>
    <row r="296" spans="9:31" x14ac:dyDescent="0.35">
      <c r="I296" s="35"/>
      <c r="O296" s="35"/>
      <c r="AD296" s="3"/>
      <c r="AE296" s="3"/>
    </row>
    <row r="297" spans="9:31" x14ac:dyDescent="0.35">
      <c r="I297" s="35"/>
      <c r="O297" s="35"/>
      <c r="AD297" s="3"/>
      <c r="AE297" s="3"/>
    </row>
    <row r="298" spans="9:31" x14ac:dyDescent="0.35">
      <c r="I298" s="35"/>
      <c r="O298" s="35"/>
      <c r="AD298" s="3"/>
      <c r="AE298" s="3"/>
    </row>
    <row r="299" spans="9:31" x14ac:dyDescent="0.35">
      <c r="I299" s="35"/>
      <c r="O299" s="35"/>
      <c r="AD299" s="3"/>
      <c r="AE299" s="3"/>
    </row>
    <row r="300" spans="9:31" x14ac:dyDescent="0.35">
      <c r="I300" s="35"/>
      <c r="O300" s="35"/>
      <c r="AD300" s="3"/>
      <c r="AE300" s="3"/>
    </row>
    <row r="301" spans="9:31" x14ac:dyDescent="0.35">
      <c r="I301" s="35"/>
      <c r="O301" s="35"/>
      <c r="AD301" s="3"/>
      <c r="AE301" s="3"/>
    </row>
    <row r="302" spans="9:31" x14ac:dyDescent="0.35">
      <c r="I302" s="35"/>
      <c r="O302" s="35"/>
      <c r="AD302" s="3"/>
      <c r="AE302" s="3"/>
    </row>
    <row r="303" spans="9:31" x14ac:dyDescent="0.35">
      <c r="I303" s="35"/>
      <c r="O303" s="35"/>
      <c r="AD303" s="3"/>
      <c r="AE303" s="3"/>
    </row>
    <row r="304" spans="9:31" x14ac:dyDescent="0.35">
      <c r="I304" s="35"/>
      <c r="O304" s="35"/>
      <c r="AD304" s="3"/>
      <c r="AE304" s="3"/>
    </row>
    <row r="305" spans="9:31" x14ac:dyDescent="0.35">
      <c r="I305" s="35"/>
      <c r="O305" s="35"/>
      <c r="AD305" s="3"/>
      <c r="AE305" s="3"/>
    </row>
    <row r="306" spans="9:31" x14ac:dyDescent="0.35">
      <c r="I306" s="35"/>
      <c r="O306" s="35"/>
      <c r="AD306" s="3"/>
      <c r="AE306" s="3"/>
    </row>
    <row r="307" spans="9:31" x14ac:dyDescent="0.35">
      <c r="I307" s="35"/>
      <c r="O307" s="35"/>
      <c r="AD307" s="3"/>
      <c r="AE307" s="3"/>
    </row>
    <row r="308" spans="9:31" x14ac:dyDescent="0.35">
      <c r="I308" s="35"/>
      <c r="O308" s="35"/>
      <c r="AD308" s="3"/>
      <c r="AE308" s="3"/>
    </row>
    <row r="309" spans="9:31" x14ac:dyDescent="0.35">
      <c r="I309" s="35"/>
      <c r="O309" s="35"/>
      <c r="AD309" s="3"/>
      <c r="AE309" s="3"/>
    </row>
    <row r="310" spans="9:31" x14ac:dyDescent="0.35">
      <c r="I310" s="35"/>
      <c r="O310" s="35"/>
      <c r="AD310" s="3"/>
      <c r="AE310" s="3"/>
    </row>
    <row r="311" spans="9:31" x14ac:dyDescent="0.35">
      <c r="I311" s="35"/>
      <c r="O311" s="35"/>
      <c r="AD311" s="3"/>
      <c r="AE311" s="3"/>
    </row>
    <row r="312" spans="9:31" x14ac:dyDescent="0.35">
      <c r="I312" s="35"/>
      <c r="O312" s="35"/>
      <c r="AD312" s="3"/>
      <c r="AE312" s="3"/>
    </row>
    <row r="313" spans="9:31" x14ac:dyDescent="0.35">
      <c r="I313" s="35"/>
      <c r="O313" s="35"/>
      <c r="AD313" s="3"/>
      <c r="AE313" s="3"/>
    </row>
    <row r="314" spans="9:31" x14ac:dyDescent="0.35">
      <c r="I314" s="35"/>
      <c r="O314" s="35"/>
      <c r="AD314" s="3"/>
      <c r="AE314" s="3"/>
    </row>
    <row r="315" spans="9:31" x14ac:dyDescent="0.35">
      <c r="I315" s="35"/>
      <c r="O315" s="35"/>
      <c r="AD315" s="3"/>
      <c r="AE315" s="3"/>
    </row>
    <row r="316" spans="9:31" x14ac:dyDescent="0.35">
      <c r="I316" s="35"/>
      <c r="O316" s="35"/>
      <c r="AD316" s="3"/>
      <c r="AE316" s="3"/>
    </row>
    <row r="317" spans="9:31" x14ac:dyDescent="0.35">
      <c r="I317" s="35"/>
      <c r="O317" s="35"/>
      <c r="AD317" s="3"/>
      <c r="AE317" s="3"/>
    </row>
    <row r="318" spans="9:31" x14ac:dyDescent="0.35">
      <c r="I318" s="35"/>
      <c r="O318" s="35"/>
      <c r="AD318" s="3"/>
      <c r="AE318" s="3"/>
    </row>
    <row r="319" spans="9:31" x14ac:dyDescent="0.35">
      <c r="I319" s="35"/>
      <c r="O319" s="35"/>
      <c r="AD319" s="3"/>
      <c r="AE319" s="3"/>
    </row>
    <row r="320" spans="9:31" x14ac:dyDescent="0.35">
      <c r="I320" s="35"/>
      <c r="O320" s="35"/>
      <c r="AD320" s="3"/>
      <c r="AE320" s="3"/>
    </row>
    <row r="321" spans="9:31" x14ac:dyDescent="0.35">
      <c r="I321" s="35"/>
      <c r="O321" s="35"/>
      <c r="AD321" s="3"/>
      <c r="AE321" s="3"/>
    </row>
    <row r="322" spans="9:31" x14ac:dyDescent="0.35">
      <c r="I322" s="35"/>
      <c r="O322" s="35"/>
      <c r="AD322" s="3"/>
      <c r="AE322" s="3"/>
    </row>
    <row r="323" spans="9:31" x14ac:dyDescent="0.35">
      <c r="I323" s="35"/>
      <c r="O323" s="35"/>
      <c r="AD323" s="3"/>
      <c r="AE323" s="3"/>
    </row>
    <row r="324" spans="9:31" x14ac:dyDescent="0.35">
      <c r="I324" s="35"/>
      <c r="O324" s="35"/>
      <c r="AD324" s="3"/>
      <c r="AE324" s="3"/>
    </row>
    <row r="325" spans="9:31" x14ac:dyDescent="0.35">
      <c r="I325" s="35"/>
      <c r="O325" s="35"/>
      <c r="AD325" s="3"/>
      <c r="AE325" s="3"/>
    </row>
    <row r="326" spans="9:31" x14ac:dyDescent="0.35">
      <c r="I326" s="35"/>
      <c r="O326" s="35"/>
      <c r="AD326" s="3"/>
      <c r="AE326" s="3"/>
    </row>
    <row r="327" spans="9:31" x14ac:dyDescent="0.35">
      <c r="I327" s="35"/>
      <c r="O327" s="35"/>
      <c r="AD327" s="3"/>
      <c r="AE327" s="3"/>
    </row>
    <row r="328" spans="9:31" x14ac:dyDescent="0.35">
      <c r="I328" s="35"/>
      <c r="O328" s="35"/>
      <c r="AD328" s="3"/>
      <c r="AE328" s="3"/>
    </row>
    <row r="329" spans="9:31" x14ac:dyDescent="0.35">
      <c r="I329" s="35"/>
      <c r="O329" s="35"/>
      <c r="AD329" s="3"/>
      <c r="AE329" s="3"/>
    </row>
    <row r="330" spans="9:31" x14ac:dyDescent="0.35">
      <c r="I330" s="35"/>
      <c r="O330" s="35"/>
      <c r="AD330" s="3"/>
      <c r="AE330" s="3"/>
    </row>
    <row r="331" spans="9:31" x14ac:dyDescent="0.35">
      <c r="I331" s="35"/>
      <c r="O331" s="35"/>
      <c r="AD331" s="3"/>
      <c r="AE331" s="3"/>
    </row>
    <row r="332" spans="9:31" x14ac:dyDescent="0.35">
      <c r="I332" s="35"/>
      <c r="O332" s="35"/>
      <c r="AD332" s="3"/>
      <c r="AE332" s="3"/>
    </row>
    <row r="333" spans="9:31" x14ac:dyDescent="0.35">
      <c r="I333" s="35"/>
      <c r="O333" s="35"/>
      <c r="AD333" s="3"/>
      <c r="AE333" s="3"/>
    </row>
    <row r="334" spans="9:31" x14ac:dyDescent="0.35">
      <c r="I334" s="35"/>
      <c r="O334" s="35"/>
      <c r="AD334" s="3"/>
      <c r="AE334" s="3"/>
    </row>
    <row r="335" spans="9:31" x14ac:dyDescent="0.35">
      <c r="I335" s="35"/>
      <c r="O335" s="35"/>
      <c r="AD335" s="3"/>
      <c r="AE335" s="3"/>
    </row>
    <row r="336" spans="9:31" x14ac:dyDescent="0.35">
      <c r="I336" s="35"/>
      <c r="O336" s="35"/>
      <c r="AD336" s="3"/>
      <c r="AE336" s="3"/>
    </row>
    <row r="337" spans="9:31" x14ac:dyDescent="0.35">
      <c r="I337" s="35"/>
      <c r="O337" s="35"/>
      <c r="AD337" s="3"/>
      <c r="AE337" s="3"/>
    </row>
    <row r="338" spans="9:31" x14ac:dyDescent="0.35">
      <c r="I338" s="35"/>
      <c r="O338" s="35"/>
      <c r="AD338" s="3"/>
      <c r="AE338" s="3"/>
    </row>
    <row r="339" spans="9:31" x14ac:dyDescent="0.35">
      <c r="I339" s="35"/>
      <c r="O339" s="35"/>
      <c r="AD339" s="3"/>
      <c r="AE339" s="3"/>
    </row>
    <row r="340" spans="9:31" x14ac:dyDescent="0.35">
      <c r="I340" s="35"/>
      <c r="O340" s="35"/>
      <c r="AD340" s="3"/>
      <c r="AE340" s="3"/>
    </row>
    <row r="341" spans="9:31" x14ac:dyDescent="0.35">
      <c r="I341" s="35"/>
      <c r="O341" s="35"/>
      <c r="AD341" s="3"/>
      <c r="AE341" s="3"/>
    </row>
    <row r="342" spans="9:31" x14ac:dyDescent="0.35">
      <c r="I342" s="35"/>
      <c r="O342" s="35"/>
      <c r="AD342" s="3"/>
      <c r="AE342" s="3"/>
    </row>
    <row r="343" spans="9:31" x14ac:dyDescent="0.35">
      <c r="I343" s="35"/>
      <c r="O343" s="35"/>
      <c r="AD343" s="3"/>
      <c r="AE343" s="3"/>
    </row>
    <row r="344" spans="9:31" x14ac:dyDescent="0.35">
      <c r="I344" s="35"/>
      <c r="O344" s="35"/>
      <c r="AD344" s="3"/>
      <c r="AE344" s="3"/>
    </row>
    <row r="345" spans="9:31" x14ac:dyDescent="0.35">
      <c r="I345" s="35"/>
      <c r="O345" s="35"/>
      <c r="AD345" s="3"/>
      <c r="AE345" s="3"/>
    </row>
    <row r="346" spans="9:31" x14ac:dyDescent="0.35">
      <c r="I346" s="35"/>
      <c r="O346" s="35"/>
      <c r="AD346" s="3"/>
      <c r="AE346" s="3"/>
    </row>
    <row r="347" spans="9:31" x14ac:dyDescent="0.35">
      <c r="I347" s="35"/>
      <c r="O347" s="35"/>
      <c r="AD347" s="3"/>
      <c r="AE347" s="3"/>
    </row>
    <row r="348" spans="9:31" x14ac:dyDescent="0.35">
      <c r="I348" s="35"/>
      <c r="O348" s="35"/>
      <c r="AD348" s="3"/>
      <c r="AE348" s="3"/>
    </row>
    <row r="349" spans="9:31" x14ac:dyDescent="0.35">
      <c r="I349" s="35"/>
      <c r="O349" s="35"/>
      <c r="AD349" s="3"/>
      <c r="AE349" s="3"/>
    </row>
    <row r="350" spans="9:31" x14ac:dyDescent="0.35">
      <c r="I350" s="35"/>
      <c r="O350" s="35"/>
      <c r="AD350" s="3"/>
      <c r="AE350" s="3"/>
    </row>
    <row r="351" spans="9:31" x14ac:dyDescent="0.35">
      <c r="I351" s="35"/>
      <c r="O351" s="35"/>
      <c r="AD351" s="3"/>
      <c r="AE351" s="3"/>
    </row>
    <row r="352" spans="9:31" x14ac:dyDescent="0.35">
      <c r="I352" s="35"/>
      <c r="O352" s="35"/>
      <c r="AD352" s="3"/>
      <c r="AE352" s="3"/>
    </row>
    <row r="353" spans="9:31" x14ac:dyDescent="0.35">
      <c r="I353" s="35"/>
      <c r="O353" s="35"/>
      <c r="AD353" s="3"/>
      <c r="AE353" s="3"/>
    </row>
    <row r="354" spans="9:31" x14ac:dyDescent="0.35">
      <c r="I354" s="35"/>
      <c r="O354" s="35"/>
      <c r="AD354" s="3"/>
      <c r="AE354" s="3"/>
    </row>
    <row r="355" spans="9:31" x14ac:dyDescent="0.35">
      <c r="I355" s="35"/>
      <c r="O355" s="35"/>
      <c r="AD355" s="3"/>
      <c r="AE355" s="3"/>
    </row>
    <row r="356" spans="9:31" x14ac:dyDescent="0.35">
      <c r="I356" s="35"/>
      <c r="O356" s="35"/>
      <c r="AD356" s="3"/>
      <c r="AE356" s="3"/>
    </row>
    <row r="357" spans="9:31" x14ac:dyDescent="0.35">
      <c r="I357" s="35"/>
      <c r="O357" s="35"/>
      <c r="AD357" s="3"/>
      <c r="AE357" s="3"/>
    </row>
    <row r="358" spans="9:31" x14ac:dyDescent="0.35">
      <c r="I358" s="35"/>
      <c r="O358" s="35"/>
      <c r="AD358" s="3"/>
      <c r="AE358" s="3"/>
    </row>
    <row r="359" spans="9:31" x14ac:dyDescent="0.35">
      <c r="I359" s="35"/>
      <c r="O359" s="35"/>
      <c r="AD359" s="3"/>
      <c r="AE359" s="3"/>
    </row>
    <row r="360" spans="9:31" x14ac:dyDescent="0.35">
      <c r="I360" s="35"/>
      <c r="O360" s="35"/>
      <c r="AD360" s="3"/>
      <c r="AE360" s="3"/>
    </row>
    <row r="361" spans="9:31" x14ac:dyDescent="0.35">
      <c r="I361" s="35"/>
      <c r="O361" s="35"/>
      <c r="AD361" s="3"/>
      <c r="AE361" s="3"/>
    </row>
    <row r="362" spans="9:31" x14ac:dyDescent="0.35">
      <c r="I362" s="35"/>
      <c r="O362" s="35"/>
      <c r="AD362" s="3"/>
      <c r="AE362" s="3"/>
    </row>
    <row r="363" spans="9:31" x14ac:dyDescent="0.35">
      <c r="I363" s="35"/>
      <c r="O363" s="35"/>
      <c r="AD363" s="3"/>
      <c r="AE363" s="3"/>
    </row>
    <row r="364" spans="9:31" x14ac:dyDescent="0.35">
      <c r="I364" s="35"/>
      <c r="O364" s="35"/>
      <c r="AD364" s="3"/>
      <c r="AE364" s="3"/>
    </row>
    <row r="365" spans="9:31" x14ac:dyDescent="0.35">
      <c r="I365" s="35"/>
      <c r="O365" s="35"/>
      <c r="AD365" s="3"/>
      <c r="AE365" s="3"/>
    </row>
    <row r="366" spans="9:31" x14ac:dyDescent="0.35">
      <c r="I366" s="35"/>
      <c r="O366" s="35"/>
      <c r="AD366" s="3"/>
      <c r="AE366" s="3"/>
    </row>
    <row r="367" spans="9:31" x14ac:dyDescent="0.35">
      <c r="I367" s="35"/>
      <c r="O367" s="35"/>
      <c r="AD367" s="3"/>
      <c r="AE367" s="3"/>
    </row>
    <row r="368" spans="9:31" x14ac:dyDescent="0.35">
      <c r="I368" s="35"/>
      <c r="O368" s="35"/>
      <c r="AD368" s="3"/>
      <c r="AE368" s="3"/>
    </row>
    <row r="369" spans="9:31" x14ac:dyDescent="0.35">
      <c r="I369" s="35"/>
      <c r="O369" s="35"/>
      <c r="AD369" s="3"/>
      <c r="AE369" s="3"/>
    </row>
    <row r="370" spans="9:31" x14ac:dyDescent="0.35">
      <c r="I370" s="35"/>
      <c r="O370" s="35"/>
      <c r="AD370" s="3"/>
      <c r="AE370" s="3"/>
    </row>
    <row r="371" spans="9:31" x14ac:dyDescent="0.35">
      <c r="I371" s="35"/>
      <c r="O371" s="35"/>
      <c r="AD371" s="3"/>
      <c r="AE371" s="3"/>
    </row>
    <row r="372" spans="9:31" x14ac:dyDescent="0.35">
      <c r="I372" s="35"/>
      <c r="O372" s="35"/>
      <c r="AD372" s="3"/>
      <c r="AE372" s="3"/>
    </row>
    <row r="373" spans="9:31" x14ac:dyDescent="0.35">
      <c r="I373" s="35"/>
      <c r="O373" s="35"/>
      <c r="AD373" s="3"/>
      <c r="AE373" s="3"/>
    </row>
    <row r="374" spans="9:31" x14ac:dyDescent="0.35">
      <c r="I374" s="35"/>
      <c r="O374" s="35"/>
      <c r="AD374" s="3"/>
      <c r="AE374" s="3"/>
    </row>
    <row r="375" spans="9:31" x14ac:dyDescent="0.35">
      <c r="I375" s="35"/>
      <c r="O375" s="35"/>
      <c r="AD375" s="3"/>
      <c r="AE375" s="3"/>
    </row>
    <row r="376" spans="9:31" x14ac:dyDescent="0.35">
      <c r="I376" s="35"/>
      <c r="O376" s="35"/>
      <c r="AD376" s="3"/>
      <c r="AE376" s="3"/>
    </row>
    <row r="377" spans="9:31" x14ac:dyDescent="0.35">
      <c r="I377" s="35"/>
      <c r="O377" s="35"/>
      <c r="AD377" s="3"/>
      <c r="AE377" s="3"/>
    </row>
    <row r="378" spans="9:31" x14ac:dyDescent="0.35">
      <c r="I378" s="35"/>
      <c r="O378" s="35"/>
      <c r="AD378" s="3"/>
      <c r="AE378" s="3"/>
    </row>
    <row r="379" spans="9:31" x14ac:dyDescent="0.35">
      <c r="I379" s="35"/>
      <c r="O379" s="35"/>
      <c r="AD379" s="3"/>
      <c r="AE379" s="3"/>
    </row>
    <row r="380" spans="9:31" x14ac:dyDescent="0.35">
      <c r="I380" s="35"/>
      <c r="O380" s="35"/>
      <c r="AD380" s="3"/>
      <c r="AE380" s="3"/>
    </row>
    <row r="381" spans="9:31" x14ac:dyDescent="0.35">
      <c r="I381" s="35"/>
      <c r="O381" s="35"/>
      <c r="AD381" s="3"/>
      <c r="AE381" s="3"/>
    </row>
    <row r="382" spans="9:31" x14ac:dyDescent="0.35">
      <c r="I382" s="35"/>
      <c r="O382" s="35"/>
      <c r="AD382" s="3"/>
      <c r="AE382" s="3"/>
    </row>
    <row r="383" spans="9:31" x14ac:dyDescent="0.35">
      <c r="I383" s="35"/>
      <c r="O383" s="35"/>
      <c r="AD383" s="3"/>
      <c r="AE383" s="3"/>
    </row>
    <row r="384" spans="9:31" x14ac:dyDescent="0.35">
      <c r="I384" s="35"/>
      <c r="O384" s="35"/>
      <c r="AD384" s="3"/>
      <c r="AE384" s="3"/>
    </row>
    <row r="385" spans="9:31" x14ac:dyDescent="0.35">
      <c r="I385" s="35"/>
      <c r="O385" s="35"/>
      <c r="AD385" s="3"/>
      <c r="AE385" s="3"/>
    </row>
    <row r="386" spans="9:31" x14ac:dyDescent="0.35">
      <c r="I386" s="35"/>
      <c r="O386" s="35"/>
      <c r="AD386" s="3"/>
      <c r="AE386" s="3"/>
    </row>
    <row r="387" spans="9:31" x14ac:dyDescent="0.35">
      <c r="I387" s="35"/>
      <c r="O387" s="35"/>
      <c r="AD387" s="3"/>
      <c r="AE387" s="3"/>
    </row>
    <row r="388" spans="9:31" x14ac:dyDescent="0.35">
      <c r="I388" s="35"/>
      <c r="O388" s="35"/>
      <c r="AD388" s="3"/>
      <c r="AE388" s="3"/>
    </row>
    <row r="389" spans="9:31" x14ac:dyDescent="0.35">
      <c r="I389" s="35"/>
      <c r="O389" s="35"/>
      <c r="AD389" s="3"/>
      <c r="AE389" s="3"/>
    </row>
    <row r="390" spans="9:31" x14ac:dyDescent="0.35">
      <c r="I390" s="35"/>
      <c r="O390" s="35"/>
      <c r="AD390" s="3"/>
      <c r="AE390" s="3"/>
    </row>
    <row r="391" spans="9:31" x14ac:dyDescent="0.35">
      <c r="I391" s="35"/>
      <c r="O391" s="35"/>
      <c r="AD391" s="3"/>
      <c r="AE391" s="3"/>
    </row>
    <row r="392" spans="9:31" x14ac:dyDescent="0.35">
      <c r="I392" s="35"/>
      <c r="O392" s="35"/>
      <c r="AD392" s="3"/>
      <c r="AE392" s="3"/>
    </row>
    <row r="393" spans="9:31" x14ac:dyDescent="0.35">
      <c r="I393" s="35"/>
      <c r="O393" s="35"/>
      <c r="AD393" s="3"/>
      <c r="AE393" s="3"/>
    </row>
    <row r="394" spans="9:31" x14ac:dyDescent="0.35">
      <c r="I394" s="35"/>
      <c r="O394" s="35"/>
      <c r="AD394" s="3"/>
      <c r="AE394" s="3"/>
    </row>
    <row r="395" spans="9:31" x14ac:dyDescent="0.35">
      <c r="I395" s="35"/>
      <c r="O395" s="35"/>
      <c r="AD395" s="3"/>
      <c r="AE395" s="3"/>
    </row>
    <row r="396" spans="9:31" x14ac:dyDescent="0.35">
      <c r="I396" s="35"/>
      <c r="O396" s="35"/>
      <c r="AD396" s="3"/>
      <c r="AE396" s="3"/>
    </row>
    <row r="397" spans="9:31" x14ac:dyDescent="0.35">
      <c r="I397" s="35"/>
      <c r="O397" s="35"/>
      <c r="AD397" s="3"/>
      <c r="AE397" s="3"/>
    </row>
    <row r="398" spans="9:31" x14ac:dyDescent="0.35">
      <c r="I398" s="35"/>
      <c r="O398" s="35"/>
      <c r="AD398" s="3"/>
      <c r="AE398" s="3"/>
    </row>
    <row r="399" spans="9:31" x14ac:dyDescent="0.35">
      <c r="I399" s="35"/>
      <c r="O399" s="35"/>
      <c r="AD399" s="3"/>
      <c r="AE399" s="3"/>
    </row>
    <row r="400" spans="9:31" x14ac:dyDescent="0.35">
      <c r="I400" s="35"/>
      <c r="O400" s="35"/>
      <c r="AD400" s="3"/>
      <c r="AE400" s="3"/>
    </row>
    <row r="401" spans="9:31" x14ac:dyDescent="0.35">
      <c r="I401" s="35"/>
      <c r="O401" s="35"/>
      <c r="AD401" s="3"/>
      <c r="AE401" s="3"/>
    </row>
    <row r="402" spans="9:31" x14ac:dyDescent="0.35">
      <c r="I402" s="35"/>
      <c r="O402" s="35"/>
      <c r="AD402" s="3"/>
      <c r="AE402" s="3"/>
    </row>
    <row r="403" spans="9:31" x14ac:dyDescent="0.35">
      <c r="I403" s="35"/>
      <c r="O403" s="35"/>
      <c r="AD403" s="3"/>
      <c r="AE403" s="3"/>
    </row>
    <row r="404" spans="9:31" x14ac:dyDescent="0.35">
      <c r="I404" s="35"/>
      <c r="O404" s="35"/>
      <c r="AD404" s="3"/>
      <c r="AE404" s="3"/>
    </row>
    <row r="405" spans="9:31" x14ac:dyDescent="0.35">
      <c r="I405" s="35"/>
      <c r="O405" s="35"/>
      <c r="AD405" s="3"/>
      <c r="AE405" s="3"/>
    </row>
    <row r="406" spans="9:31" x14ac:dyDescent="0.35">
      <c r="I406" s="35"/>
      <c r="O406" s="35"/>
      <c r="AD406" s="3"/>
      <c r="AE406" s="3"/>
    </row>
    <row r="407" spans="9:31" x14ac:dyDescent="0.35">
      <c r="I407" s="35"/>
      <c r="O407" s="35"/>
      <c r="AD407" s="3"/>
      <c r="AE407" s="3"/>
    </row>
    <row r="408" spans="9:31" x14ac:dyDescent="0.35">
      <c r="I408" s="35"/>
      <c r="O408" s="35"/>
      <c r="AD408" s="3"/>
      <c r="AE408" s="3"/>
    </row>
    <row r="409" spans="9:31" x14ac:dyDescent="0.35">
      <c r="I409" s="35"/>
      <c r="O409" s="35"/>
      <c r="AD409" s="3"/>
      <c r="AE409" s="3"/>
    </row>
    <row r="410" spans="9:31" x14ac:dyDescent="0.35">
      <c r="I410" s="35"/>
      <c r="O410" s="35"/>
      <c r="AD410" s="3"/>
      <c r="AE410" s="3"/>
    </row>
    <row r="411" spans="9:31" x14ac:dyDescent="0.35">
      <c r="I411" s="35"/>
      <c r="O411" s="35"/>
      <c r="AD411" s="3"/>
      <c r="AE411" s="3"/>
    </row>
    <row r="412" spans="9:31" x14ac:dyDescent="0.35">
      <c r="I412" s="35"/>
      <c r="O412" s="35"/>
      <c r="AD412" s="3"/>
      <c r="AE412" s="3"/>
    </row>
    <row r="413" spans="9:31" x14ac:dyDescent="0.35">
      <c r="I413" s="35"/>
      <c r="O413" s="35"/>
      <c r="AD413" s="3"/>
      <c r="AE413" s="3"/>
    </row>
    <row r="414" spans="9:31" x14ac:dyDescent="0.35">
      <c r="I414" s="35"/>
      <c r="O414" s="35"/>
      <c r="AD414" s="3"/>
      <c r="AE414" s="3"/>
    </row>
    <row r="415" spans="9:31" x14ac:dyDescent="0.35">
      <c r="I415" s="35"/>
      <c r="O415" s="35"/>
      <c r="AD415" s="3"/>
      <c r="AE415" s="3"/>
    </row>
    <row r="416" spans="9:31" x14ac:dyDescent="0.35">
      <c r="I416" s="35"/>
      <c r="O416" s="35"/>
      <c r="AD416" s="3"/>
      <c r="AE416" s="3"/>
    </row>
    <row r="417" spans="9:31" x14ac:dyDescent="0.35">
      <c r="I417" s="35"/>
      <c r="O417" s="35"/>
      <c r="AD417" s="3"/>
      <c r="AE417" s="3"/>
    </row>
    <row r="418" spans="9:31" x14ac:dyDescent="0.35">
      <c r="I418" s="35"/>
      <c r="O418" s="35"/>
      <c r="AD418" s="3"/>
      <c r="AE418" s="3"/>
    </row>
    <row r="419" spans="9:31" x14ac:dyDescent="0.35">
      <c r="I419" s="35"/>
      <c r="O419" s="35"/>
      <c r="AD419" s="3"/>
      <c r="AE419" s="3"/>
    </row>
    <row r="420" spans="9:31" x14ac:dyDescent="0.35">
      <c r="I420" s="35"/>
      <c r="O420" s="35"/>
      <c r="AD420" s="3"/>
      <c r="AE420" s="3"/>
    </row>
    <row r="421" spans="9:31" x14ac:dyDescent="0.35">
      <c r="I421" s="35"/>
      <c r="O421" s="35"/>
      <c r="AD421" s="3"/>
      <c r="AE421" s="3"/>
    </row>
    <row r="422" spans="9:31" x14ac:dyDescent="0.35">
      <c r="I422" s="35"/>
      <c r="O422" s="35"/>
      <c r="AD422" s="3"/>
      <c r="AE422" s="3"/>
    </row>
    <row r="423" spans="9:31" x14ac:dyDescent="0.35">
      <c r="I423" s="35"/>
      <c r="O423" s="35"/>
      <c r="AD423" s="3"/>
      <c r="AE423" s="3"/>
    </row>
    <row r="424" spans="9:31" x14ac:dyDescent="0.35">
      <c r="I424" s="35"/>
      <c r="O424" s="35"/>
      <c r="AD424" s="3"/>
      <c r="AE424" s="3"/>
    </row>
    <row r="425" spans="9:31" x14ac:dyDescent="0.35">
      <c r="I425" s="35"/>
      <c r="O425" s="35"/>
      <c r="AD425" s="3"/>
      <c r="AE425" s="3"/>
    </row>
    <row r="426" spans="9:31" x14ac:dyDescent="0.35">
      <c r="I426" s="35"/>
      <c r="O426" s="35"/>
      <c r="AD426" s="3"/>
      <c r="AE426" s="3"/>
    </row>
    <row r="427" spans="9:31" x14ac:dyDescent="0.35">
      <c r="I427" s="35"/>
      <c r="O427" s="35"/>
      <c r="AD427" s="3"/>
      <c r="AE427" s="3"/>
    </row>
    <row r="428" spans="9:31" x14ac:dyDescent="0.35">
      <c r="I428" s="35"/>
      <c r="O428" s="35"/>
      <c r="AD428" s="3"/>
      <c r="AE428" s="3"/>
    </row>
    <row r="429" spans="9:31" x14ac:dyDescent="0.35">
      <c r="I429" s="35"/>
      <c r="O429" s="35"/>
      <c r="AD429" s="3"/>
      <c r="AE429" s="3"/>
    </row>
    <row r="430" spans="9:31" x14ac:dyDescent="0.35">
      <c r="I430" s="35"/>
      <c r="O430" s="35"/>
      <c r="AD430" s="3"/>
      <c r="AE430" s="3"/>
    </row>
    <row r="431" spans="9:31" x14ac:dyDescent="0.35">
      <c r="I431" s="35"/>
      <c r="O431" s="35"/>
      <c r="AD431" s="3"/>
      <c r="AE431" s="3"/>
    </row>
    <row r="432" spans="9:31" x14ac:dyDescent="0.35">
      <c r="I432" s="35"/>
      <c r="O432" s="35"/>
      <c r="AD432" s="3"/>
      <c r="AE432" s="3"/>
    </row>
    <row r="433" spans="9:31" x14ac:dyDescent="0.35">
      <c r="I433" s="35"/>
      <c r="O433" s="35"/>
      <c r="AD433" s="3"/>
      <c r="AE433" s="3"/>
    </row>
    <row r="434" spans="9:31" x14ac:dyDescent="0.35">
      <c r="I434" s="35"/>
      <c r="O434" s="35"/>
      <c r="AD434" s="3"/>
      <c r="AE434" s="3"/>
    </row>
    <row r="435" spans="9:31" x14ac:dyDescent="0.35">
      <c r="I435" s="35"/>
      <c r="O435" s="35"/>
      <c r="AD435" s="3"/>
      <c r="AE435" s="3"/>
    </row>
    <row r="436" spans="9:31" x14ac:dyDescent="0.35">
      <c r="I436" s="35"/>
      <c r="O436" s="35"/>
      <c r="AD436" s="3"/>
      <c r="AE436" s="3"/>
    </row>
    <row r="437" spans="9:31" x14ac:dyDescent="0.35">
      <c r="I437" s="35"/>
      <c r="O437" s="35"/>
      <c r="AD437" s="3"/>
      <c r="AE437" s="3"/>
    </row>
    <row r="438" spans="9:31" x14ac:dyDescent="0.35">
      <c r="I438" s="35"/>
      <c r="O438" s="35"/>
      <c r="AD438" s="3"/>
      <c r="AE438" s="3"/>
    </row>
    <row r="439" spans="9:31" x14ac:dyDescent="0.35">
      <c r="I439" s="35"/>
      <c r="O439" s="35"/>
      <c r="AD439" s="3"/>
      <c r="AE439" s="3"/>
    </row>
    <row r="440" spans="9:31" x14ac:dyDescent="0.35">
      <c r="I440" s="35"/>
      <c r="O440" s="35"/>
      <c r="AD440" s="3"/>
      <c r="AE440" s="3"/>
    </row>
    <row r="441" spans="9:31" x14ac:dyDescent="0.35">
      <c r="I441" s="35"/>
      <c r="O441" s="35"/>
      <c r="AD441" s="3"/>
      <c r="AE441" s="3"/>
    </row>
    <row r="442" spans="9:31" x14ac:dyDescent="0.35">
      <c r="I442" s="35"/>
      <c r="O442" s="35"/>
      <c r="AD442" s="3"/>
      <c r="AE442" s="3"/>
    </row>
    <row r="443" spans="9:31" x14ac:dyDescent="0.35">
      <c r="I443" s="35"/>
      <c r="O443" s="35"/>
      <c r="AD443" s="3"/>
      <c r="AE443" s="3"/>
    </row>
    <row r="444" spans="9:31" x14ac:dyDescent="0.35">
      <c r="I444" s="35"/>
      <c r="O444" s="35"/>
      <c r="AD444" s="3"/>
      <c r="AE444" s="3"/>
    </row>
    <row r="445" spans="9:31" x14ac:dyDescent="0.35">
      <c r="I445" s="35"/>
      <c r="O445" s="35"/>
      <c r="AD445" s="3"/>
      <c r="AE445" s="3"/>
    </row>
    <row r="446" spans="9:31" x14ac:dyDescent="0.35">
      <c r="I446" s="35"/>
      <c r="O446" s="35"/>
      <c r="AD446" s="3"/>
      <c r="AE446" s="3"/>
    </row>
    <row r="447" spans="9:31" x14ac:dyDescent="0.35">
      <c r="I447" s="35"/>
      <c r="O447" s="35"/>
      <c r="AD447" s="3"/>
      <c r="AE447" s="3"/>
    </row>
    <row r="448" spans="9:31" x14ac:dyDescent="0.35">
      <c r="I448" s="35"/>
      <c r="O448" s="35"/>
      <c r="AD448" s="3"/>
      <c r="AE448" s="3"/>
    </row>
    <row r="449" spans="9:31" x14ac:dyDescent="0.35">
      <c r="I449" s="35"/>
      <c r="O449" s="35"/>
      <c r="AD449" s="3"/>
      <c r="AE449" s="3"/>
    </row>
    <row r="450" spans="9:31" x14ac:dyDescent="0.35">
      <c r="I450" s="35"/>
      <c r="O450" s="35"/>
      <c r="AD450" s="3"/>
      <c r="AE450" s="3"/>
    </row>
    <row r="451" spans="9:31" x14ac:dyDescent="0.35">
      <c r="I451" s="35"/>
      <c r="O451" s="35"/>
      <c r="AD451" s="3"/>
      <c r="AE451" s="3"/>
    </row>
    <row r="452" spans="9:31" x14ac:dyDescent="0.35">
      <c r="I452" s="35"/>
      <c r="O452" s="35"/>
      <c r="AD452" s="3"/>
      <c r="AE452" s="3"/>
    </row>
    <row r="453" spans="9:31" x14ac:dyDescent="0.35">
      <c r="I453" s="35"/>
      <c r="O453" s="35"/>
      <c r="AD453" s="3"/>
      <c r="AE453" s="3"/>
    </row>
    <row r="454" spans="9:31" x14ac:dyDescent="0.35">
      <c r="I454" s="35"/>
      <c r="O454" s="35"/>
      <c r="AD454" s="3"/>
      <c r="AE454" s="3"/>
    </row>
    <row r="455" spans="9:31" x14ac:dyDescent="0.35">
      <c r="I455" s="35"/>
      <c r="O455" s="35"/>
      <c r="AD455" s="3"/>
      <c r="AE455" s="3"/>
    </row>
    <row r="456" spans="9:31" x14ac:dyDescent="0.35">
      <c r="I456" s="35"/>
      <c r="O456" s="35"/>
      <c r="AD456" s="3"/>
      <c r="AE456" s="3"/>
    </row>
    <row r="457" spans="9:31" x14ac:dyDescent="0.35">
      <c r="I457" s="35"/>
      <c r="O457" s="35"/>
      <c r="AD457" s="3"/>
      <c r="AE457" s="3"/>
    </row>
    <row r="458" spans="9:31" x14ac:dyDescent="0.35">
      <c r="I458" s="35"/>
      <c r="O458" s="35"/>
      <c r="AD458" s="3"/>
      <c r="AE458" s="3"/>
    </row>
    <row r="459" spans="9:31" x14ac:dyDescent="0.35">
      <c r="I459" s="35"/>
      <c r="O459" s="35"/>
      <c r="AD459" s="3"/>
      <c r="AE459" s="3"/>
    </row>
    <row r="460" spans="9:31" x14ac:dyDescent="0.35">
      <c r="I460" s="35"/>
      <c r="O460" s="35"/>
      <c r="AD460" s="3"/>
      <c r="AE460" s="3"/>
    </row>
    <row r="461" spans="9:31" x14ac:dyDescent="0.35">
      <c r="I461" s="35"/>
      <c r="O461" s="35"/>
      <c r="AD461" s="3"/>
      <c r="AE461" s="3"/>
    </row>
    <row r="462" spans="9:31" x14ac:dyDescent="0.35">
      <c r="I462" s="35"/>
      <c r="O462" s="35"/>
      <c r="AD462" s="3"/>
      <c r="AE462" s="3"/>
    </row>
    <row r="463" spans="9:31" x14ac:dyDescent="0.35">
      <c r="I463" s="35"/>
      <c r="O463" s="35"/>
      <c r="AD463" s="3"/>
      <c r="AE463" s="3"/>
    </row>
    <row r="464" spans="9:31" x14ac:dyDescent="0.35">
      <c r="I464" s="35"/>
      <c r="O464" s="35"/>
      <c r="AD464" s="3"/>
      <c r="AE464" s="3"/>
    </row>
    <row r="465" spans="9:31" x14ac:dyDescent="0.35">
      <c r="I465" s="35"/>
      <c r="O465" s="35"/>
      <c r="AD465" s="3"/>
      <c r="AE465" s="3"/>
    </row>
    <row r="466" spans="9:31" x14ac:dyDescent="0.35">
      <c r="I466" s="35"/>
      <c r="O466" s="35"/>
      <c r="AD466" s="3"/>
      <c r="AE466" s="3"/>
    </row>
    <row r="467" spans="9:31" x14ac:dyDescent="0.35">
      <c r="I467" s="35"/>
      <c r="O467" s="35"/>
      <c r="AD467" s="3"/>
      <c r="AE467" s="3"/>
    </row>
    <row r="468" spans="9:31" x14ac:dyDescent="0.35">
      <c r="I468" s="35"/>
      <c r="O468" s="35"/>
      <c r="AD468" s="3"/>
      <c r="AE468" s="3"/>
    </row>
    <row r="469" spans="9:31" x14ac:dyDescent="0.35">
      <c r="I469" s="35"/>
      <c r="O469" s="35"/>
      <c r="AD469" s="3"/>
      <c r="AE469" s="3"/>
    </row>
    <row r="470" spans="9:31" x14ac:dyDescent="0.35">
      <c r="I470" s="35"/>
      <c r="O470" s="35"/>
      <c r="AD470" s="3"/>
      <c r="AE470" s="3"/>
    </row>
    <row r="471" spans="9:31" x14ac:dyDescent="0.35">
      <c r="I471" s="35"/>
      <c r="O471" s="35"/>
      <c r="AD471" s="3"/>
      <c r="AE471" s="3"/>
    </row>
    <row r="472" spans="9:31" x14ac:dyDescent="0.35">
      <c r="I472" s="35"/>
      <c r="O472" s="35"/>
      <c r="AD472" s="3"/>
      <c r="AE472" s="3"/>
    </row>
    <row r="473" spans="9:31" x14ac:dyDescent="0.35">
      <c r="I473" s="35"/>
      <c r="O473" s="35"/>
      <c r="AD473" s="3"/>
      <c r="AE473" s="3"/>
    </row>
    <row r="474" spans="9:31" x14ac:dyDescent="0.35">
      <c r="I474" s="35"/>
      <c r="O474" s="35"/>
      <c r="AD474" s="3"/>
      <c r="AE474" s="3"/>
    </row>
    <row r="475" spans="9:31" x14ac:dyDescent="0.35">
      <c r="I475" s="35"/>
      <c r="O475" s="35"/>
      <c r="AD475" s="3"/>
      <c r="AE475" s="3"/>
    </row>
    <row r="476" spans="9:31" x14ac:dyDescent="0.35">
      <c r="I476" s="35"/>
      <c r="O476" s="35"/>
      <c r="AD476" s="3"/>
      <c r="AE476" s="3"/>
    </row>
    <row r="477" spans="9:31" x14ac:dyDescent="0.35">
      <c r="I477" s="35"/>
      <c r="O477" s="35"/>
      <c r="AD477" s="3"/>
      <c r="AE477" s="3"/>
    </row>
    <row r="478" spans="9:31" x14ac:dyDescent="0.35">
      <c r="I478" s="35"/>
      <c r="O478" s="35"/>
      <c r="AD478" s="3"/>
      <c r="AE478" s="3"/>
    </row>
    <row r="479" spans="9:31" x14ac:dyDescent="0.35">
      <c r="I479" s="35"/>
      <c r="O479" s="35"/>
      <c r="AD479" s="3"/>
      <c r="AE479" s="3"/>
    </row>
    <row r="480" spans="9:31" x14ac:dyDescent="0.35">
      <c r="I480" s="35"/>
      <c r="O480" s="35"/>
      <c r="AD480" s="3"/>
      <c r="AE480" s="3"/>
    </row>
    <row r="481" spans="9:31" x14ac:dyDescent="0.35">
      <c r="I481" s="35"/>
      <c r="O481" s="35"/>
      <c r="AD481" s="3"/>
      <c r="AE481" s="3"/>
    </row>
    <row r="482" spans="9:31" x14ac:dyDescent="0.35">
      <c r="I482" s="35"/>
      <c r="O482" s="35"/>
      <c r="AD482" s="3"/>
      <c r="AE482" s="3"/>
    </row>
    <row r="483" spans="9:31" x14ac:dyDescent="0.35">
      <c r="I483" s="35"/>
      <c r="O483" s="35"/>
      <c r="AD483" s="3"/>
      <c r="AE483" s="3"/>
    </row>
    <row r="484" spans="9:31" x14ac:dyDescent="0.35">
      <c r="I484" s="35"/>
      <c r="O484" s="35"/>
      <c r="AD484" s="3"/>
      <c r="AE484" s="3"/>
    </row>
    <row r="485" spans="9:31" x14ac:dyDescent="0.35">
      <c r="I485" s="35"/>
      <c r="O485" s="35"/>
      <c r="AD485" s="3"/>
      <c r="AE485" s="3"/>
    </row>
    <row r="486" spans="9:31" x14ac:dyDescent="0.35">
      <c r="I486" s="35"/>
      <c r="O486" s="35"/>
      <c r="AD486" s="3"/>
      <c r="AE486" s="3"/>
    </row>
    <row r="487" spans="9:31" x14ac:dyDescent="0.35">
      <c r="I487" s="35"/>
      <c r="O487" s="35"/>
      <c r="AD487" s="3"/>
      <c r="AE487" s="3"/>
    </row>
    <row r="488" spans="9:31" x14ac:dyDescent="0.35">
      <c r="I488" s="35"/>
      <c r="O488" s="35"/>
      <c r="AD488" s="3"/>
      <c r="AE488" s="3"/>
    </row>
    <row r="489" spans="9:31" x14ac:dyDescent="0.35">
      <c r="I489" s="35"/>
      <c r="O489" s="35"/>
      <c r="AD489" s="3"/>
      <c r="AE489" s="3"/>
    </row>
    <row r="490" spans="9:31" x14ac:dyDescent="0.35">
      <c r="I490" s="35"/>
      <c r="O490" s="35"/>
      <c r="AD490" s="3"/>
      <c r="AE490" s="3"/>
    </row>
    <row r="491" spans="9:31" x14ac:dyDescent="0.35">
      <c r="I491" s="35"/>
      <c r="O491" s="35"/>
      <c r="AD491" s="3"/>
      <c r="AE491" s="3"/>
    </row>
    <row r="492" spans="9:31" x14ac:dyDescent="0.35">
      <c r="I492" s="35"/>
      <c r="O492" s="35"/>
      <c r="AD492" s="3"/>
      <c r="AE492" s="3"/>
    </row>
    <row r="493" spans="9:31" x14ac:dyDescent="0.35">
      <c r="I493" s="35"/>
      <c r="O493" s="35"/>
      <c r="AD493" s="3"/>
      <c r="AE493" s="3"/>
    </row>
    <row r="494" spans="9:31" x14ac:dyDescent="0.35">
      <c r="I494" s="35"/>
      <c r="O494" s="35"/>
      <c r="AD494" s="3"/>
      <c r="AE494" s="3"/>
    </row>
    <row r="495" spans="9:31" x14ac:dyDescent="0.35">
      <c r="I495" s="35"/>
      <c r="O495" s="35"/>
      <c r="AD495" s="3"/>
      <c r="AE495" s="3"/>
    </row>
    <row r="496" spans="9:31" x14ac:dyDescent="0.35">
      <c r="I496" s="35"/>
      <c r="O496" s="35"/>
      <c r="AD496" s="3"/>
      <c r="AE496" s="3"/>
    </row>
    <row r="497" spans="9:31" x14ac:dyDescent="0.35">
      <c r="I497" s="35"/>
      <c r="O497" s="35"/>
      <c r="AD497" s="3"/>
      <c r="AE497" s="3"/>
    </row>
    <row r="498" spans="9:31" x14ac:dyDescent="0.35">
      <c r="I498" s="35"/>
      <c r="O498" s="35"/>
      <c r="AD498" s="3"/>
      <c r="AE498" s="3"/>
    </row>
    <row r="499" spans="9:31" x14ac:dyDescent="0.35">
      <c r="I499" s="35"/>
      <c r="O499" s="35"/>
      <c r="AD499" s="3"/>
      <c r="AE499" s="3"/>
    </row>
    <row r="500" spans="9:31" x14ac:dyDescent="0.35">
      <c r="I500" s="35"/>
      <c r="O500" s="35"/>
      <c r="AD500" s="3"/>
      <c r="AE500" s="3"/>
    </row>
    <row r="501" spans="9:31" x14ac:dyDescent="0.35">
      <c r="I501" s="35"/>
      <c r="O501" s="35"/>
      <c r="AD501" s="3"/>
      <c r="AE501" s="3"/>
    </row>
    <row r="502" spans="9:31" x14ac:dyDescent="0.35">
      <c r="I502" s="35"/>
      <c r="O502" s="35"/>
      <c r="AD502" s="3"/>
      <c r="AE502" s="3"/>
    </row>
    <row r="503" spans="9:31" x14ac:dyDescent="0.35">
      <c r="I503" s="35"/>
      <c r="O503" s="35"/>
      <c r="AD503" s="3"/>
      <c r="AE503" s="3"/>
    </row>
    <row r="504" spans="9:31" x14ac:dyDescent="0.35">
      <c r="I504" s="35"/>
      <c r="O504" s="35"/>
      <c r="AD504" s="3"/>
      <c r="AE504" s="3"/>
    </row>
    <row r="505" spans="9:31" x14ac:dyDescent="0.35">
      <c r="I505" s="35"/>
      <c r="O505" s="35"/>
      <c r="AD505" s="3"/>
      <c r="AE505" s="3"/>
    </row>
    <row r="506" spans="9:31" x14ac:dyDescent="0.35">
      <c r="I506" s="35"/>
      <c r="O506" s="35"/>
      <c r="AD506" s="3"/>
      <c r="AE506" s="3"/>
    </row>
    <row r="507" spans="9:31" x14ac:dyDescent="0.35">
      <c r="I507" s="35"/>
      <c r="O507" s="35"/>
      <c r="AD507" s="3"/>
      <c r="AE507" s="3"/>
    </row>
    <row r="508" spans="9:31" x14ac:dyDescent="0.35">
      <c r="I508" s="35"/>
      <c r="O508" s="35"/>
      <c r="AD508" s="3"/>
      <c r="AE508" s="3"/>
    </row>
    <row r="509" spans="9:31" x14ac:dyDescent="0.35">
      <c r="I509" s="35"/>
      <c r="O509" s="35"/>
      <c r="AD509" s="3"/>
      <c r="AE509" s="3"/>
    </row>
    <row r="510" spans="9:31" x14ac:dyDescent="0.35">
      <c r="I510" s="35"/>
      <c r="O510" s="35"/>
      <c r="AD510" s="3"/>
      <c r="AE510" s="3"/>
    </row>
    <row r="511" spans="9:31" x14ac:dyDescent="0.35">
      <c r="I511" s="35"/>
      <c r="O511" s="35"/>
      <c r="AD511" s="3"/>
      <c r="AE511" s="3"/>
    </row>
    <row r="512" spans="9:31" x14ac:dyDescent="0.35">
      <c r="I512" s="35"/>
      <c r="O512" s="35"/>
      <c r="AD512" s="3"/>
      <c r="AE512" s="3"/>
    </row>
    <row r="513" spans="9:31" x14ac:dyDescent="0.35">
      <c r="I513" s="35"/>
      <c r="O513" s="35"/>
      <c r="AD513" s="3"/>
      <c r="AE513" s="3"/>
    </row>
    <row r="514" spans="9:31" x14ac:dyDescent="0.35">
      <c r="I514" s="35"/>
      <c r="O514" s="35"/>
      <c r="AD514" s="3"/>
      <c r="AE514" s="3"/>
    </row>
    <row r="515" spans="9:31" x14ac:dyDescent="0.35">
      <c r="I515" s="35"/>
      <c r="O515" s="35"/>
      <c r="AD515" s="3"/>
      <c r="AE515" s="3"/>
    </row>
    <row r="516" spans="9:31" x14ac:dyDescent="0.35">
      <c r="I516" s="35"/>
      <c r="O516" s="35"/>
      <c r="AD516" s="3"/>
      <c r="AE516" s="3"/>
    </row>
    <row r="517" spans="9:31" x14ac:dyDescent="0.35">
      <c r="I517" s="35"/>
      <c r="O517" s="35"/>
      <c r="AD517" s="3"/>
      <c r="AE517" s="3"/>
    </row>
    <row r="518" spans="9:31" x14ac:dyDescent="0.35">
      <c r="I518" s="35"/>
      <c r="O518" s="35"/>
      <c r="AD518" s="3"/>
      <c r="AE518" s="3"/>
    </row>
    <row r="519" spans="9:31" x14ac:dyDescent="0.35">
      <c r="I519" s="35"/>
      <c r="O519" s="35"/>
      <c r="AD519" s="3"/>
      <c r="AE519" s="3"/>
    </row>
    <row r="520" spans="9:31" x14ac:dyDescent="0.35">
      <c r="I520" s="35"/>
      <c r="O520" s="35"/>
      <c r="AD520" s="3"/>
      <c r="AE520" s="3"/>
    </row>
    <row r="521" spans="9:31" x14ac:dyDescent="0.35">
      <c r="I521" s="35"/>
      <c r="O521" s="35"/>
      <c r="AD521" s="3"/>
      <c r="AE521" s="3"/>
    </row>
    <row r="522" spans="9:31" x14ac:dyDescent="0.35">
      <c r="I522" s="35"/>
      <c r="O522" s="35"/>
      <c r="AD522" s="3"/>
      <c r="AE522" s="3"/>
    </row>
    <row r="523" spans="9:31" x14ac:dyDescent="0.35">
      <c r="I523" s="35"/>
      <c r="O523" s="35"/>
      <c r="AD523" s="3"/>
      <c r="AE523" s="3"/>
    </row>
    <row r="524" spans="9:31" x14ac:dyDescent="0.35">
      <c r="I524" s="35"/>
      <c r="O524" s="35"/>
      <c r="AD524" s="3"/>
      <c r="AE524" s="3"/>
    </row>
    <row r="525" spans="9:31" x14ac:dyDescent="0.35">
      <c r="I525" s="35"/>
      <c r="O525" s="35"/>
      <c r="AD525" s="3"/>
      <c r="AE525" s="3"/>
    </row>
    <row r="526" spans="9:31" x14ac:dyDescent="0.35">
      <c r="I526" s="35"/>
      <c r="O526" s="35"/>
      <c r="AD526" s="3"/>
      <c r="AE526" s="3"/>
    </row>
    <row r="527" spans="9:31" x14ac:dyDescent="0.35">
      <c r="I527" s="35"/>
      <c r="O527" s="35"/>
      <c r="AD527" s="3"/>
      <c r="AE527" s="3"/>
    </row>
    <row r="528" spans="9:31" x14ac:dyDescent="0.35">
      <c r="I528" s="35"/>
      <c r="O528" s="35"/>
      <c r="AD528" s="3"/>
      <c r="AE528" s="3"/>
    </row>
    <row r="529" spans="9:31" x14ac:dyDescent="0.35">
      <c r="I529" s="35"/>
      <c r="O529" s="35"/>
      <c r="AD529" s="3"/>
      <c r="AE529" s="3"/>
    </row>
    <row r="530" spans="9:31" x14ac:dyDescent="0.35">
      <c r="I530" s="35"/>
      <c r="O530" s="35"/>
      <c r="AD530" s="3"/>
      <c r="AE530" s="3"/>
    </row>
    <row r="531" spans="9:31" x14ac:dyDescent="0.35">
      <c r="I531" s="35"/>
      <c r="O531" s="35"/>
      <c r="AD531" s="3"/>
      <c r="AE531" s="3"/>
    </row>
    <row r="532" spans="9:31" x14ac:dyDescent="0.35">
      <c r="I532" s="35"/>
      <c r="O532" s="35"/>
      <c r="AD532" s="3"/>
      <c r="AE532" s="3"/>
    </row>
    <row r="533" spans="9:31" x14ac:dyDescent="0.35">
      <c r="I533" s="35"/>
      <c r="O533" s="35"/>
      <c r="AD533" s="3"/>
      <c r="AE533" s="3"/>
    </row>
    <row r="534" spans="9:31" x14ac:dyDescent="0.35">
      <c r="I534" s="35"/>
      <c r="O534" s="35"/>
      <c r="AD534" s="3"/>
      <c r="AE534" s="3"/>
    </row>
    <row r="535" spans="9:31" x14ac:dyDescent="0.35">
      <c r="I535" s="35"/>
      <c r="O535" s="35"/>
      <c r="AD535" s="3"/>
      <c r="AE535" s="3"/>
    </row>
    <row r="536" spans="9:31" x14ac:dyDescent="0.35">
      <c r="I536" s="35"/>
      <c r="O536" s="35"/>
      <c r="AD536" s="3"/>
      <c r="AE536" s="3"/>
    </row>
    <row r="537" spans="9:31" x14ac:dyDescent="0.35">
      <c r="I537" s="35"/>
      <c r="O537" s="35"/>
      <c r="AD537" s="3"/>
      <c r="AE537" s="3"/>
    </row>
    <row r="538" spans="9:31" x14ac:dyDescent="0.35">
      <c r="I538" s="35"/>
      <c r="O538" s="35"/>
      <c r="AD538" s="3"/>
      <c r="AE538" s="3"/>
    </row>
    <row r="539" spans="9:31" x14ac:dyDescent="0.35">
      <c r="I539" s="35"/>
      <c r="O539" s="35"/>
      <c r="AD539" s="3"/>
      <c r="AE539" s="3"/>
    </row>
    <row r="540" spans="9:31" x14ac:dyDescent="0.35">
      <c r="I540" s="35"/>
      <c r="O540" s="35"/>
      <c r="AD540" s="3"/>
      <c r="AE540" s="3"/>
    </row>
    <row r="541" spans="9:31" x14ac:dyDescent="0.35">
      <c r="I541" s="35"/>
      <c r="O541" s="35"/>
      <c r="AD541" s="3"/>
      <c r="AE541" s="3"/>
    </row>
    <row r="542" spans="9:31" x14ac:dyDescent="0.35">
      <c r="I542" s="35"/>
      <c r="O542" s="35"/>
      <c r="AD542" s="3"/>
      <c r="AE542" s="3"/>
    </row>
    <row r="543" spans="9:31" x14ac:dyDescent="0.35">
      <c r="I543" s="35"/>
      <c r="O543" s="35"/>
      <c r="AD543" s="3"/>
      <c r="AE543" s="3"/>
    </row>
    <row r="544" spans="9:31" x14ac:dyDescent="0.35">
      <c r="I544" s="35"/>
      <c r="O544" s="35"/>
      <c r="AD544" s="3"/>
      <c r="AE544" s="3"/>
    </row>
    <row r="545" spans="9:31" x14ac:dyDescent="0.35">
      <c r="I545" s="35"/>
      <c r="O545" s="35"/>
      <c r="AD545" s="3"/>
      <c r="AE545" s="3"/>
    </row>
    <row r="546" spans="9:31" x14ac:dyDescent="0.35">
      <c r="I546" s="35"/>
      <c r="O546" s="35"/>
      <c r="AD546" s="3"/>
      <c r="AE546" s="3"/>
    </row>
    <row r="547" spans="9:31" x14ac:dyDescent="0.35">
      <c r="I547" s="35"/>
      <c r="O547" s="35"/>
      <c r="AD547" s="3"/>
      <c r="AE547" s="3"/>
    </row>
    <row r="548" spans="9:31" x14ac:dyDescent="0.35">
      <c r="I548" s="35"/>
      <c r="O548" s="35"/>
      <c r="AD548" s="3"/>
      <c r="AE548" s="3"/>
    </row>
    <row r="549" spans="9:31" x14ac:dyDescent="0.35">
      <c r="I549" s="35"/>
      <c r="O549" s="35"/>
      <c r="AD549" s="3"/>
      <c r="AE549" s="3"/>
    </row>
    <row r="550" spans="9:31" x14ac:dyDescent="0.35">
      <c r="I550" s="35"/>
      <c r="O550" s="35"/>
      <c r="AD550" s="3"/>
      <c r="AE550" s="3"/>
    </row>
    <row r="551" spans="9:31" x14ac:dyDescent="0.35">
      <c r="I551" s="35"/>
      <c r="O551" s="35"/>
      <c r="AD551" s="3"/>
      <c r="AE551" s="3"/>
    </row>
    <row r="552" spans="9:31" x14ac:dyDescent="0.35">
      <c r="I552" s="35"/>
      <c r="O552" s="35"/>
      <c r="AD552" s="3"/>
      <c r="AE552" s="3"/>
    </row>
    <row r="553" spans="9:31" x14ac:dyDescent="0.35">
      <c r="I553" s="35"/>
      <c r="O553" s="35"/>
      <c r="AD553" s="3"/>
      <c r="AE553" s="3"/>
    </row>
    <row r="554" spans="9:31" x14ac:dyDescent="0.35">
      <c r="I554" s="35"/>
      <c r="O554" s="35"/>
      <c r="AD554" s="3"/>
      <c r="AE554" s="3"/>
    </row>
    <row r="555" spans="9:31" x14ac:dyDescent="0.35">
      <c r="I555" s="35"/>
      <c r="O555" s="35"/>
      <c r="AD555" s="3"/>
      <c r="AE555" s="3"/>
    </row>
    <row r="556" spans="9:31" x14ac:dyDescent="0.35">
      <c r="I556" s="35"/>
      <c r="O556" s="35"/>
      <c r="AD556" s="3"/>
      <c r="AE556" s="3"/>
    </row>
    <row r="557" spans="9:31" x14ac:dyDescent="0.35">
      <c r="I557" s="35"/>
      <c r="O557" s="35"/>
      <c r="AD557" s="3"/>
      <c r="AE557" s="3"/>
    </row>
    <row r="558" spans="9:31" x14ac:dyDescent="0.35">
      <c r="I558" s="35"/>
      <c r="O558" s="35"/>
      <c r="AD558" s="3"/>
      <c r="AE558" s="3"/>
    </row>
    <row r="559" spans="9:31" x14ac:dyDescent="0.35">
      <c r="I559" s="35"/>
      <c r="O559" s="35"/>
      <c r="AD559" s="3"/>
      <c r="AE559" s="3"/>
    </row>
    <row r="560" spans="9:31" x14ac:dyDescent="0.35">
      <c r="I560" s="35"/>
      <c r="O560" s="35"/>
      <c r="AD560" s="3"/>
      <c r="AE560" s="3"/>
    </row>
    <row r="561" spans="9:31" x14ac:dyDescent="0.35">
      <c r="I561" s="35"/>
      <c r="O561" s="35"/>
      <c r="AD561" s="3"/>
      <c r="AE561" s="3"/>
    </row>
    <row r="562" spans="9:31" x14ac:dyDescent="0.35">
      <c r="I562" s="35"/>
      <c r="O562" s="35"/>
      <c r="AD562" s="3"/>
      <c r="AE562" s="3"/>
    </row>
    <row r="563" spans="9:31" x14ac:dyDescent="0.35">
      <c r="I563" s="35"/>
      <c r="O563" s="35"/>
      <c r="AD563" s="3"/>
      <c r="AE563" s="3"/>
    </row>
    <row r="564" spans="9:31" x14ac:dyDescent="0.35">
      <c r="I564" s="35"/>
      <c r="O564" s="35"/>
      <c r="AD564" s="3"/>
      <c r="AE564" s="3"/>
    </row>
    <row r="565" spans="9:31" x14ac:dyDescent="0.35">
      <c r="I565" s="35"/>
      <c r="O565" s="35"/>
      <c r="AD565" s="3"/>
      <c r="AE565" s="3"/>
    </row>
    <row r="566" spans="9:31" x14ac:dyDescent="0.35">
      <c r="I566" s="35"/>
      <c r="O566" s="35"/>
      <c r="AD566" s="3"/>
      <c r="AE566" s="3"/>
    </row>
    <row r="567" spans="9:31" x14ac:dyDescent="0.35">
      <c r="I567" s="35"/>
      <c r="O567" s="35"/>
      <c r="AD567" s="3"/>
      <c r="AE567" s="3"/>
    </row>
    <row r="568" spans="9:31" x14ac:dyDescent="0.35">
      <c r="I568" s="35"/>
      <c r="O568" s="35"/>
      <c r="AD568" s="3"/>
      <c r="AE568" s="3"/>
    </row>
    <row r="569" spans="9:31" x14ac:dyDescent="0.35">
      <c r="I569" s="35"/>
      <c r="O569" s="35"/>
      <c r="AD569" s="3"/>
      <c r="AE569" s="3"/>
    </row>
    <row r="570" spans="9:31" x14ac:dyDescent="0.35">
      <c r="I570" s="35"/>
      <c r="O570" s="35"/>
      <c r="AD570" s="3"/>
      <c r="AE570" s="3"/>
    </row>
    <row r="571" spans="9:31" x14ac:dyDescent="0.35">
      <c r="I571" s="35"/>
      <c r="O571" s="35"/>
      <c r="AD571" s="3"/>
      <c r="AE571" s="3"/>
    </row>
    <row r="572" spans="9:31" x14ac:dyDescent="0.35">
      <c r="I572" s="35"/>
      <c r="O572" s="35"/>
      <c r="AD572" s="3"/>
      <c r="AE572" s="3"/>
    </row>
    <row r="573" spans="9:31" x14ac:dyDescent="0.35">
      <c r="I573" s="35"/>
      <c r="O573" s="35"/>
      <c r="AD573" s="3"/>
      <c r="AE573" s="3"/>
    </row>
    <row r="574" spans="9:31" x14ac:dyDescent="0.35">
      <c r="I574" s="35"/>
      <c r="O574" s="35"/>
      <c r="AD574" s="3"/>
      <c r="AE574" s="3"/>
    </row>
    <row r="575" spans="9:31" x14ac:dyDescent="0.35">
      <c r="I575" s="35"/>
      <c r="O575" s="35"/>
      <c r="AD575" s="3"/>
      <c r="AE575" s="3"/>
    </row>
    <row r="576" spans="9:31" x14ac:dyDescent="0.35">
      <c r="I576" s="35"/>
      <c r="O576" s="35"/>
      <c r="AD576" s="3"/>
      <c r="AE576" s="3"/>
    </row>
    <row r="577" spans="9:31" x14ac:dyDescent="0.35">
      <c r="I577" s="35"/>
      <c r="O577" s="35"/>
      <c r="AD577" s="3"/>
      <c r="AE577" s="3"/>
    </row>
    <row r="578" spans="9:31" x14ac:dyDescent="0.35">
      <c r="I578" s="35"/>
      <c r="O578" s="35"/>
      <c r="AD578" s="3"/>
      <c r="AE578" s="3"/>
    </row>
    <row r="579" spans="9:31" x14ac:dyDescent="0.35">
      <c r="I579" s="35"/>
      <c r="O579" s="35"/>
      <c r="AD579" s="3"/>
      <c r="AE579" s="3"/>
    </row>
    <row r="580" spans="9:31" x14ac:dyDescent="0.35">
      <c r="I580" s="35"/>
      <c r="O580" s="35"/>
      <c r="AD580" s="3"/>
      <c r="AE580" s="3"/>
    </row>
    <row r="581" spans="9:31" x14ac:dyDescent="0.35">
      <c r="I581" s="35"/>
      <c r="O581" s="35"/>
      <c r="AD581" s="3"/>
      <c r="AE581" s="3"/>
    </row>
    <row r="582" spans="9:31" x14ac:dyDescent="0.35">
      <c r="I582" s="35"/>
      <c r="O582" s="35"/>
      <c r="AD582" s="3"/>
      <c r="AE582" s="3"/>
    </row>
    <row r="583" spans="9:31" x14ac:dyDescent="0.35">
      <c r="I583" s="35"/>
      <c r="O583" s="35"/>
      <c r="AD583" s="3"/>
      <c r="AE583" s="3"/>
    </row>
    <row r="584" spans="9:31" x14ac:dyDescent="0.35">
      <c r="I584" s="35"/>
      <c r="O584" s="35"/>
      <c r="AD584" s="3"/>
      <c r="AE584" s="3"/>
    </row>
    <row r="585" spans="9:31" x14ac:dyDescent="0.35">
      <c r="I585" s="35"/>
      <c r="O585" s="35"/>
      <c r="AD585" s="3"/>
      <c r="AE585" s="3"/>
    </row>
    <row r="586" spans="9:31" x14ac:dyDescent="0.35">
      <c r="I586" s="35"/>
      <c r="O586" s="35"/>
      <c r="AD586" s="3"/>
      <c r="AE586" s="3"/>
    </row>
    <row r="587" spans="9:31" x14ac:dyDescent="0.35">
      <c r="I587" s="35"/>
      <c r="O587" s="35"/>
      <c r="AD587" s="3"/>
      <c r="AE587" s="3"/>
    </row>
    <row r="588" spans="9:31" x14ac:dyDescent="0.35">
      <c r="I588" s="35"/>
      <c r="O588" s="35"/>
      <c r="AD588" s="3"/>
      <c r="AE588" s="3"/>
    </row>
    <row r="589" spans="9:31" x14ac:dyDescent="0.35">
      <c r="I589" s="35"/>
      <c r="O589" s="35"/>
      <c r="AD589" s="3"/>
      <c r="AE589" s="3"/>
    </row>
    <row r="590" spans="9:31" x14ac:dyDescent="0.35">
      <c r="I590" s="35"/>
      <c r="O590" s="35"/>
      <c r="AD590" s="3"/>
      <c r="AE590" s="3"/>
    </row>
    <row r="591" spans="9:31" x14ac:dyDescent="0.35">
      <c r="I591" s="35"/>
      <c r="O591" s="35"/>
      <c r="AD591" s="3"/>
      <c r="AE591" s="3"/>
    </row>
    <row r="592" spans="9:31" x14ac:dyDescent="0.35">
      <c r="I592" s="35"/>
      <c r="O592" s="35"/>
      <c r="AD592" s="3"/>
      <c r="AE592" s="3"/>
    </row>
    <row r="593" spans="9:31" x14ac:dyDescent="0.35">
      <c r="I593" s="35"/>
      <c r="O593" s="35"/>
      <c r="AD593" s="3"/>
      <c r="AE593" s="3"/>
    </row>
    <row r="594" spans="9:31" x14ac:dyDescent="0.35">
      <c r="I594" s="35"/>
      <c r="O594" s="35"/>
      <c r="AD594" s="3"/>
      <c r="AE594" s="3"/>
    </row>
    <row r="595" spans="9:31" x14ac:dyDescent="0.35">
      <c r="I595" s="35"/>
      <c r="O595" s="35"/>
      <c r="AD595" s="3"/>
      <c r="AE595" s="3"/>
    </row>
    <row r="596" spans="9:31" x14ac:dyDescent="0.35">
      <c r="I596" s="35"/>
      <c r="O596" s="35"/>
      <c r="AD596" s="3"/>
      <c r="AE596" s="3"/>
    </row>
    <row r="597" spans="9:31" x14ac:dyDescent="0.35">
      <c r="I597" s="35"/>
      <c r="O597" s="35"/>
      <c r="AD597" s="3"/>
      <c r="AE597" s="3"/>
    </row>
    <row r="598" spans="9:31" x14ac:dyDescent="0.35">
      <c r="I598" s="35"/>
      <c r="O598" s="35"/>
      <c r="AD598" s="3"/>
      <c r="AE598" s="3"/>
    </row>
    <row r="599" spans="9:31" x14ac:dyDescent="0.35">
      <c r="I599" s="35"/>
      <c r="O599" s="35"/>
      <c r="AD599" s="3"/>
      <c r="AE599" s="3"/>
    </row>
    <row r="600" spans="9:31" x14ac:dyDescent="0.35">
      <c r="I600" s="35"/>
      <c r="O600" s="35"/>
      <c r="AD600" s="3"/>
      <c r="AE600" s="3"/>
    </row>
    <row r="601" spans="9:31" x14ac:dyDescent="0.35">
      <c r="I601" s="35"/>
      <c r="O601" s="35"/>
      <c r="AD601" s="3"/>
      <c r="AE601" s="3"/>
    </row>
    <row r="602" spans="9:31" x14ac:dyDescent="0.35">
      <c r="I602" s="35"/>
      <c r="O602" s="35"/>
      <c r="AD602" s="3"/>
      <c r="AE602" s="3"/>
    </row>
    <row r="603" spans="9:31" x14ac:dyDescent="0.35">
      <c r="I603" s="35"/>
      <c r="O603" s="35"/>
      <c r="AD603" s="3"/>
      <c r="AE603" s="3"/>
    </row>
    <row r="604" spans="9:31" x14ac:dyDescent="0.35">
      <c r="I604" s="35"/>
      <c r="O604" s="35"/>
      <c r="AD604" s="3"/>
      <c r="AE604" s="3"/>
    </row>
    <row r="605" spans="9:31" x14ac:dyDescent="0.35">
      <c r="I605" s="35"/>
      <c r="O605" s="35"/>
      <c r="AD605" s="3"/>
      <c r="AE605" s="3"/>
    </row>
    <row r="606" spans="9:31" x14ac:dyDescent="0.35">
      <c r="I606" s="35"/>
      <c r="O606" s="35"/>
      <c r="AD606" s="3"/>
      <c r="AE606" s="3"/>
    </row>
    <row r="607" spans="9:31" x14ac:dyDescent="0.35">
      <c r="I607" s="35"/>
      <c r="O607" s="35"/>
      <c r="AD607" s="3"/>
      <c r="AE607" s="3"/>
    </row>
    <row r="608" spans="9:31" x14ac:dyDescent="0.35">
      <c r="I608" s="35"/>
      <c r="O608" s="35"/>
      <c r="AD608" s="3"/>
      <c r="AE608" s="3"/>
    </row>
    <row r="609" spans="9:31" x14ac:dyDescent="0.35">
      <c r="I609" s="35"/>
      <c r="O609" s="35"/>
      <c r="AD609" s="3"/>
      <c r="AE609" s="3"/>
    </row>
    <row r="610" spans="9:31" x14ac:dyDescent="0.35">
      <c r="I610" s="35"/>
      <c r="O610" s="35"/>
      <c r="AD610" s="3"/>
      <c r="AE610" s="3"/>
    </row>
    <row r="611" spans="9:31" x14ac:dyDescent="0.35">
      <c r="I611" s="35"/>
      <c r="O611" s="35"/>
      <c r="AD611" s="3"/>
      <c r="AE611" s="3"/>
    </row>
    <row r="612" spans="9:31" x14ac:dyDescent="0.35">
      <c r="I612" s="35"/>
      <c r="O612" s="35"/>
      <c r="AD612" s="3"/>
      <c r="AE612" s="3"/>
    </row>
    <row r="613" spans="9:31" x14ac:dyDescent="0.35">
      <c r="I613" s="35"/>
      <c r="O613" s="35"/>
      <c r="AD613" s="3"/>
      <c r="AE613" s="3"/>
    </row>
    <row r="614" spans="9:31" x14ac:dyDescent="0.35">
      <c r="I614" s="35"/>
      <c r="O614" s="35"/>
      <c r="AD614" s="3"/>
      <c r="AE614" s="3"/>
    </row>
    <row r="615" spans="9:31" x14ac:dyDescent="0.35">
      <c r="I615" s="35"/>
      <c r="O615" s="35"/>
      <c r="AD615" s="3"/>
      <c r="AE615" s="3"/>
    </row>
    <row r="616" spans="9:31" x14ac:dyDescent="0.35">
      <c r="I616" s="35"/>
      <c r="O616" s="35"/>
      <c r="AD616" s="3"/>
      <c r="AE616" s="3"/>
    </row>
    <row r="617" spans="9:31" x14ac:dyDescent="0.35">
      <c r="I617" s="35"/>
      <c r="O617" s="35"/>
      <c r="AD617" s="3"/>
      <c r="AE617" s="3"/>
    </row>
    <row r="618" spans="9:31" x14ac:dyDescent="0.35">
      <c r="I618" s="35"/>
      <c r="O618" s="35"/>
      <c r="AD618" s="3"/>
      <c r="AE618" s="3"/>
    </row>
    <row r="619" spans="9:31" x14ac:dyDescent="0.35">
      <c r="I619" s="35"/>
      <c r="O619" s="35"/>
      <c r="AD619" s="3"/>
      <c r="AE619" s="3"/>
    </row>
    <row r="620" spans="9:31" x14ac:dyDescent="0.35">
      <c r="I620" s="35"/>
      <c r="O620" s="35"/>
      <c r="AD620" s="3"/>
      <c r="AE620" s="3"/>
    </row>
    <row r="621" spans="9:31" x14ac:dyDescent="0.35">
      <c r="I621" s="35"/>
      <c r="O621" s="35"/>
      <c r="AD621" s="3"/>
      <c r="AE621" s="3"/>
    </row>
    <row r="622" spans="9:31" x14ac:dyDescent="0.35">
      <c r="I622" s="35"/>
      <c r="O622" s="35"/>
      <c r="AD622" s="3"/>
      <c r="AE622" s="3"/>
    </row>
    <row r="623" spans="9:31" x14ac:dyDescent="0.35">
      <c r="I623" s="35"/>
      <c r="O623" s="35"/>
      <c r="AD623" s="3"/>
      <c r="AE623" s="3"/>
    </row>
    <row r="624" spans="9:31" x14ac:dyDescent="0.35">
      <c r="I624" s="35"/>
      <c r="O624" s="35"/>
      <c r="AD624" s="3"/>
      <c r="AE624" s="3"/>
    </row>
    <row r="625" spans="9:31" x14ac:dyDescent="0.35">
      <c r="I625" s="35"/>
      <c r="O625" s="35"/>
      <c r="AD625" s="3"/>
      <c r="AE625" s="3"/>
    </row>
    <row r="626" spans="9:31" x14ac:dyDescent="0.35">
      <c r="I626" s="35"/>
      <c r="O626" s="35"/>
      <c r="AD626" s="3"/>
      <c r="AE626" s="3"/>
    </row>
    <row r="627" spans="9:31" x14ac:dyDescent="0.35">
      <c r="I627" s="35"/>
      <c r="O627" s="35"/>
      <c r="AD627" s="3"/>
      <c r="AE627" s="3"/>
    </row>
    <row r="628" spans="9:31" x14ac:dyDescent="0.35">
      <c r="I628" s="35"/>
      <c r="O628" s="35"/>
      <c r="AD628" s="3"/>
      <c r="AE628" s="3"/>
    </row>
    <row r="629" spans="9:31" x14ac:dyDescent="0.35">
      <c r="I629" s="35"/>
      <c r="O629" s="35"/>
      <c r="AD629" s="3"/>
      <c r="AE629" s="3"/>
    </row>
    <row r="630" spans="9:31" x14ac:dyDescent="0.35">
      <c r="I630" s="35"/>
      <c r="O630" s="35"/>
      <c r="AD630" s="3"/>
      <c r="AE630" s="3"/>
    </row>
    <row r="631" spans="9:31" x14ac:dyDescent="0.35">
      <c r="I631" s="35"/>
      <c r="O631" s="35"/>
      <c r="AD631" s="3"/>
      <c r="AE631" s="3"/>
    </row>
    <row r="632" spans="9:31" x14ac:dyDescent="0.35">
      <c r="I632" s="35"/>
      <c r="O632" s="35"/>
      <c r="AD632" s="3"/>
      <c r="AE632" s="3"/>
    </row>
    <row r="633" spans="9:31" x14ac:dyDescent="0.35">
      <c r="I633" s="35"/>
      <c r="O633" s="35"/>
      <c r="AD633" s="3"/>
      <c r="AE633" s="3"/>
    </row>
    <row r="634" spans="9:31" x14ac:dyDescent="0.35">
      <c r="I634" s="35"/>
      <c r="O634" s="35"/>
      <c r="AD634" s="3"/>
      <c r="AE634" s="3"/>
    </row>
    <row r="635" spans="9:31" x14ac:dyDescent="0.35">
      <c r="I635" s="35"/>
      <c r="O635" s="35"/>
      <c r="AD635" s="3"/>
      <c r="AE635" s="3"/>
    </row>
    <row r="636" spans="9:31" x14ac:dyDescent="0.35">
      <c r="I636" s="35"/>
      <c r="O636" s="35"/>
      <c r="AD636" s="3"/>
      <c r="AE636" s="3"/>
    </row>
    <row r="637" spans="9:31" x14ac:dyDescent="0.35">
      <c r="I637" s="35"/>
      <c r="O637" s="35"/>
      <c r="AD637" s="3"/>
      <c r="AE637" s="3"/>
    </row>
    <row r="638" spans="9:31" x14ac:dyDescent="0.35">
      <c r="I638" s="35"/>
      <c r="O638" s="35"/>
      <c r="AD638" s="3"/>
      <c r="AE638" s="3"/>
    </row>
    <row r="639" spans="9:31" x14ac:dyDescent="0.35">
      <c r="I639" s="35"/>
      <c r="O639" s="35"/>
      <c r="AD639" s="3"/>
      <c r="AE639" s="3"/>
    </row>
    <row r="640" spans="9:31" x14ac:dyDescent="0.35">
      <c r="I640" s="35"/>
      <c r="O640" s="35"/>
      <c r="AD640" s="3"/>
      <c r="AE640" s="3"/>
    </row>
    <row r="641" spans="9:31" x14ac:dyDescent="0.35">
      <c r="I641" s="35"/>
      <c r="O641" s="35"/>
      <c r="AD641" s="3"/>
      <c r="AE641" s="3"/>
    </row>
    <row r="642" spans="9:31" x14ac:dyDescent="0.35">
      <c r="I642" s="35"/>
      <c r="O642" s="35"/>
      <c r="AD642" s="3"/>
      <c r="AE642" s="3"/>
    </row>
    <row r="643" spans="9:31" x14ac:dyDescent="0.35">
      <c r="I643" s="35"/>
      <c r="O643" s="35"/>
      <c r="AD643" s="3"/>
      <c r="AE643" s="3"/>
    </row>
    <row r="644" spans="9:31" x14ac:dyDescent="0.35">
      <c r="I644" s="35"/>
      <c r="O644" s="35"/>
      <c r="AD644" s="3"/>
      <c r="AE644" s="3"/>
    </row>
    <row r="645" spans="9:31" x14ac:dyDescent="0.35">
      <c r="I645" s="35"/>
      <c r="O645" s="35"/>
      <c r="AD645" s="3"/>
      <c r="AE645" s="3"/>
    </row>
    <row r="646" spans="9:31" x14ac:dyDescent="0.35">
      <c r="I646" s="35"/>
      <c r="O646" s="35"/>
      <c r="AD646" s="3"/>
      <c r="AE646" s="3"/>
    </row>
    <row r="647" spans="9:31" x14ac:dyDescent="0.35">
      <c r="I647" s="35"/>
      <c r="O647" s="35"/>
      <c r="AD647" s="3"/>
      <c r="AE647" s="3"/>
    </row>
    <row r="648" spans="9:31" x14ac:dyDescent="0.35">
      <c r="I648" s="35"/>
      <c r="O648" s="35"/>
      <c r="AD648" s="3"/>
      <c r="AE648" s="3"/>
    </row>
    <row r="649" spans="9:31" x14ac:dyDescent="0.35">
      <c r="I649" s="35"/>
      <c r="O649" s="35"/>
      <c r="AD649" s="3"/>
      <c r="AE649" s="3"/>
    </row>
    <row r="650" spans="9:31" x14ac:dyDescent="0.35">
      <c r="I650" s="35"/>
      <c r="O650" s="35"/>
      <c r="AD650" s="3"/>
      <c r="AE650" s="3"/>
    </row>
    <row r="651" spans="9:31" x14ac:dyDescent="0.35">
      <c r="I651" s="35"/>
      <c r="O651" s="35"/>
      <c r="AD651" s="3"/>
      <c r="AE651" s="3"/>
    </row>
    <row r="652" spans="9:31" x14ac:dyDescent="0.35">
      <c r="I652" s="35"/>
      <c r="O652" s="35"/>
      <c r="AD652" s="3"/>
      <c r="AE652" s="3"/>
    </row>
    <row r="653" spans="9:31" x14ac:dyDescent="0.35">
      <c r="I653" s="35"/>
      <c r="O653" s="35"/>
      <c r="AD653" s="3"/>
      <c r="AE653" s="3"/>
    </row>
    <row r="654" spans="9:31" x14ac:dyDescent="0.35">
      <c r="I654" s="35"/>
      <c r="O654" s="35"/>
      <c r="AD654" s="3"/>
      <c r="AE654" s="3"/>
    </row>
    <row r="655" spans="9:31" x14ac:dyDescent="0.35">
      <c r="I655" s="35"/>
      <c r="O655" s="35"/>
      <c r="AD655" s="3"/>
      <c r="AE655" s="3"/>
    </row>
    <row r="656" spans="9:31" x14ac:dyDescent="0.35">
      <c r="I656" s="35"/>
      <c r="O656" s="35"/>
      <c r="AD656" s="3"/>
      <c r="AE656" s="3"/>
    </row>
    <row r="657" spans="9:31" x14ac:dyDescent="0.35">
      <c r="I657" s="35"/>
      <c r="O657" s="35"/>
      <c r="AD657" s="3"/>
      <c r="AE657" s="3"/>
    </row>
    <row r="658" spans="9:31" x14ac:dyDescent="0.35">
      <c r="I658" s="35"/>
      <c r="O658" s="35"/>
      <c r="AD658" s="3"/>
      <c r="AE658" s="3"/>
    </row>
    <row r="659" spans="9:31" x14ac:dyDescent="0.35">
      <c r="I659" s="35"/>
      <c r="O659" s="35"/>
      <c r="AD659" s="3"/>
      <c r="AE659" s="3"/>
    </row>
    <row r="660" spans="9:31" x14ac:dyDescent="0.35">
      <c r="I660" s="35"/>
      <c r="O660" s="35"/>
      <c r="AD660" s="3"/>
      <c r="AE660" s="3"/>
    </row>
    <row r="661" spans="9:31" x14ac:dyDescent="0.35">
      <c r="I661" s="35"/>
      <c r="O661" s="35"/>
      <c r="AD661" s="3"/>
      <c r="AE661" s="3"/>
    </row>
    <row r="662" spans="9:31" x14ac:dyDescent="0.35">
      <c r="I662" s="35"/>
      <c r="O662" s="35"/>
      <c r="AD662" s="3"/>
      <c r="AE662" s="3"/>
    </row>
    <row r="663" spans="9:31" x14ac:dyDescent="0.35">
      <c r="I663" s="35"/>
      <c r="O663" s="35"/>
      <c r="AD663" s="3"/>
      <c r="AE663" s="3"/>
    </row>
    <row r="664" spans="9:31" x14ac:dyDescent="0.35">
      <c r="I664" s="35"/>
      <c r="O664" s="35"/>
      <c r="AD664" s="3"/>
      <c r="AE664" s="3"/>
    </row>
    <row r="665" spans="9:31" x14ac:dyDescent="0.35">
      <c r="I665" s="35"/>
      <c r="O665" s="35"/>
      <c r="AD665" s="3"/>
      <c r="AE665" s="3"/>
    </row>
    <row r="666" spans="9:31" x14ac:dyDescent="0.35">
      <c r="I666" s="35"/>
      <c r="O666" s="35"/>
      <c r="AD666" s="3"/>
      <c r="AE666" s="3"/>
    </row>
    <row r="667" spans="9:31" x14ac:dyDescent="0.35">
      <c r="I667" s="35"/>
      <c r="O667" s="35"/>
      <c r="AD667" s="3"/>
      <c r="AE667" s="3"/>
    </row>
    <row r="668" spans="9:31" x14ac:dyDescent="0.35">
      <c r="I668" s="35"/>
      <c r="O668" s="35"/>
      <c r="AD668" s="3"/>
      <c r="AE668" s="3"/>
    </row>
    <row r="669" spans="9:31" x14ac:dyDescent="0.35">
      <c r="I669" s="35"/>
      <c r="O669" s="35"/>
      <c r="AD669" s="3"/>
      <c r="AE669" s="3"/>
    </row>
    <row r="670" spans="9:31" x14ac:dyDescent="0.35">
      <c r="I670" s="35"/>
      <c r="O670" s="35"/>
      <c r="AD670" s="3"/>
      <c r="AE670" s="3"/>
    </row>
    <row r="671" spans="9:31" x14ac:dyDescent="0.35">
      <c r="I671" s="35"/>
      <c r="O671" s="35"/>
      <c r="AD671" s="3"/>
      <c r="AE671" s="3"/>
    </row>
    <row r="672" spans="9:31" x14ac:dyDescent="0.35">
      <c r="I672" s="35"/>
      <c r="O672" s="35"/>
      <c r="AD672" s="3"/>
      <c r="AE672" s="3"/>
    </row>
    <row r="673" spans="9:31" x14ac:dyDescent="0.35">
      <c r="I673" s="35"/>
      <c r="O673" s="35"/>
      <c r="AD673" s="3"/>
      <c r="AE673" s="3"/>
    </row>
    <row r="674" spans="9:31" x14ac:dyDescent="0.35">
      <c r="I674" s="35"/>
      <c r="O674" s="35"/>
      <c r="AD674" s="3"/>
      <c r="AE674" s="3"/>
    </row>
    <row r="675" spans="9:31" x14ac:dyDescent="0.35">
      <c r="I675" s="35"/>
      <c r="O675" s="35"/>
      <c r="AD675" s="3"/>
      <c r="AE675" s="3"/>
    </row>
    <row r="676" spans="9:31" x14ac:dyDescent="0.35">
      <c r="I676" s="35"/>
      <c r="O676" s="35"/>
      <c r="AD676" s="3"/>
      <c r="AE676" s="3"/>
    </row>
    <row r="677" spans="9:31" x14ac:dyDescent="0.35">
      <c r="I677" s="35"/>
      <c r="O677" s="35"/>
      <c r="AD677" s="3"/>
      <c r="AE677" s="3"/>
    </row>
    <row r="678" spans="9:31" x14ac:dyDescent="0.35">
      <c r="I678" s="35"/>
      <c r="O678" s="35"/>
      <c r="AD678" s="3"/>
      <c r="AE678" s="3"/>
    </row>
    <row r="679" spans="9:31" x14ac:dyDescent="0.35">
      <c r="I679" s="35"/>
      <c r="O679" s="35"/>
      <c r="AD679" s="3"/>
      <c r="AE679" s="3"/>
    </row>
    <row r="680" spans="9:31" x14ac:dyDescent="0.35">
      <c r="I680" s="35"/>
      <c r="O680" s="35"/>
      <c r="AD680" s="3"/>
      <c r="AE680" s="3"/>
    </row>
    <row r="681" spans="9:31" x14ac:dyDescent="0.35">
      <c r="I681" s="35"/>
      <c r="O681" s="35"/>
      <c r="AD681" s="3"/>
      <c r="AE681" s="3"/>
    </row>
    <row r="682" spans="9:31" x14ac:dyDescent="0.35">
      <c r="I682" s="35"/>
      <c r="O682" s="35"/>
      <c r="AD682" s="3"/>
      <c r="AE682" s="3"/>
    </row>
    <row r="683" spans="9:31" x14ac:dyDescent="0.35">
      <c r="I683" s="35"/>
      <c r="O683" s="35"/>
      <c r="AD683" s="3"/>
      <c r="AE683" s="3"/>
    </row>
    <row r="684" spans="9:31" x14ac:dyDescent="0.35">
      <c r="I684" s="35"/>
      <c r="O684" s="35"/>
      <c r="AD684" s="3"/>
      <c r="AE684" s="3"/>
    </row>
    <row r="685" spans="9:31" x14ac:dyDescent="0.35">
      <c r="I685" s="35"/>
      <c r="O685" s="35"/>
      <c r="AD685" s="3"/>
      <c r="AE685" s="3"/>
    </row>
    <row r="686" spans="9:31" x14ac:dyDescent="0.35">
      <c r="I686" s="35"/>
      <c r="O686" s="35"/>
      <c r="AD686" s="3"/>
      <c r="AE686" s="3"/>
    </row>
    <row r="687" spans="9:31" x14ac:dyDescent="0.35">
      <c r="I687" s="35"/>
      <c r="O687" s="35"/>
      <c r="AD687" s="3"/>
      <c r="AE687" s="3"/>
    </row>
    <row r="688" spans="9:31" x14ac:dyDescent="0.35">
      <c r="I688" s="35"/>
      <c r="O688" s="35"/>
      <c r="AD688" s="3"/>
      <c r="AE688" s="3"/>
    </row>
    <row r="689" spans="9:31" x14ac:dyDescent="0.35">
      <c r="I689" s="35"/>
      <c r="O689" s="35"/>
      <c r="AD689" s="3"/>
      <c r="AE689" s="3"/>
    </row>
    <row r="690" spans="9:31" x14ac:dyDescent="0.35">
      <c r="I690" s="35"/>
      <c r="O690" s="35"/>
      <c r="AD690" s="3"/>
      <c r="AE690" s="3"/>
    </row>
    <row r="691" spans="9:31" x14ac:dyDescent="0.35">
      <c r="I691" s="35"/>
      <c r="O691" s="35"/>
      <c r="AD691" s="3"/>
      <c r="AE691" s="3"/>
    </row>
    <row r="692" spans="9:31" x14ac:dyDescent="0.35">
      <c r="I692" s="35"/>
      <c r="O692" s="35"/>
      <c r="AD692" s="3"/>
      <c r="AE692" s="3"/>
    </row>
    <row r="693" spans="9:31" x14ac:dyDescent="0.35">
      <c r="I693" s="35"/>
      <c r="O693" s="35"/>
      <c r="AD693" s="3"/>
      <c r="AE693" s="3"/>
    </row>
    <row r="694" spans="9:31" x14ac:dyDescent="0.35">
      <c r="I694" s="35"/>
      <c r="O694" s="35"/>
      <c r="AD694" s="3"/>
      <c r="AE694" s="3"/>
    </row>
    <row r="695" spans="9:31" x14ac:dyDescent="0.35">
      <c r="I695" s="35"/>
      <c r="O695" s="35"/>
      <c r="AD695" s="3"/>
      <c r="AE695" s="3"/>
    </row>
    <row r="696" spans="9:31" x14ac:dyDescent="0.35">
      <c r="I696" s="35"/>
      <c r="O696" s="35"/>
      <c r="AD696" s="3"/>
      <c r="AE696" s="3"/>
    </row>
    <row r="697" spans="9:31" x14ac:dyDescent="0.35">
      <c r="I697" s="35"/>
      <c r="O697" s="35"/>
      <c r="AD697" s="3"/>
      <c r="AE697" s="3"/>
    </row>
    <row r="698" spans="9:31" x14ac:dyDescent="0.35">
      <c r="I698" s="35"/>
      <c r="O698" s="35"/>
      <c r="AD698" s="3"/>
      <c r="AE698" s="3"/>
    </row>
    <row r="699" spans="9:31" x14ac:dyDescent="0.35">
      <c r="I699" s="35"/>
      <c r="O699" s="35"/>
      <c r="AD699" s="3"/>
      <c r="AE699" s="3"/>
    </row>
    <row r="700" spans="9:31" x14ac:dyDescent="0.35">
      <c r="I700" s="35"/>
      <c r="O700" s="35"/>
      <c r="AD700" s="3"/>
      <c r="AE700" s="3"/>
    </row>
    <row r="701" spans="9:31" x14ac:dyDescent="0.35">
      <c r="I701" s="35"/>
      <c r="O701" s="35"/>
      <c r="AD701" s="3"/>
      <c r="AE701" s="3"/>
    </row>
    <row r="702" spans="9:31" x14ac:dyDescent="0.35">
      <c r="I702" s="35"/>
      <c r="O702" s="35"/>
      <c r="AD702" s="3"/>
      <c r="AE702" s="3"/>
    </row>
    <row r="703" spans="9:31" x14ac:dyDescent="0.35">
      <c r="I703" s="35"/>
      <c r="O703" s="35"/>
      <c r="AD703" s="3"/>
      <c r="AE703" s="3"/>
    </row>
    <row r="704" spans="9:31" x14ac:dyDescent="0.35">
      <c r="I704" s="35"/>
      <c r="O704" s="35"/>
      <c r="AD704" s="3"/>
      <c r="AE704" s="3"/>
    </row>
    <row r="705" spans="9:31" x14ac:dyDescent="0.35">
      <c r="I705" s="35"/>
      <c r="O705" s="35"/>
      <c r="AD705" s="3"/>
      <c r="AE705" s="3"/>
    </row>
    <row r="706" spans="9:31" x14ac:dyDescent="0.35">
      <c r="I706" s="35"/>
      <c r="O706" s="35"/>
      <c r="AD706" s="3"/>
      <c r="AE706" s="3"/>
    </row>
    <row r="707" spans="9:31" x14ac:dyDescent="0.35">
      <c r="I707" s="35"/>
      <c r="O707" s="35"/>
      <c r="AD707" s="3"/>
      <c r="AE707" s="3"/>
    </row>
    <row r="708" spans="9:31" x14ac:dyDescent="0.35">
      <c r="I708" s="35"/>
      <c r="O708" s="35"/>
      <c r="AD708" s="3"/>
      <c r="AE708" s="3"/>
    </row>
    <row r="709" spans="9:31" x14ac:dyDescent="0.35">
      <c r="I709" s="35"/>
      <c r="O709" s="35"/>
      <c r="AD709" s="3"/>
      <c r="AE709" s="3"/>
    </row>
    <row r="710" spans="9:31" x14ac:dyDescent="0.35">
      <c r="I710" s="35"/>
      <c r="O710" s="35"/>
      <c r="AD710" s="3"/>
      <c r="AE710" s="3"/>
    </row>
    <row r="711" spans="9:31" x14ac:dyDescent="0.35">
      <c r="I711" s="35"/>
      <c r="O711" s="35"/>
      <c r="AD711" s="3"/>
      <c r="AE711" s="3"/>
    </row>
    <row r="712" spans="9:31" x14ac:dyDescent="0.35">
      <c r="I712" s="35"/>
      <c r="O712" s="35"/>
      <c r="AD712" s="3"/>
      <c r="AE712" s="3"/>
    </row>
    <row r="713" spans="9:31" x14ac:dyDescent="0.35">
      <c r="I713" s="35"/>
      <c r="O713" s="35"/>
      <c r="AD713" s="3"/>
      <c r="AE713" s="3"/>
    </row>
    <row r="714" spans="9:31" x14ac:dyDescent="0.35">
      <c r="I714" s="35"/>
      <c r="O714" s="35"/>
      <c r="AD714" s="3"/>
      <c r="AE714" s="3"/>
    </row>
    <row r="715" spans="9:31" x14ac:dyDescent="0.35">
      <c r="I715" s="35"/>
      <c r="O715" s="35"/>
      <c r="AD715" s="3"/>
      <c r="AE715" s="3"/>
    </row>
    <row r="716" spans="9:31" x14ac:dyDescent="0.35">
      <c r="I716" s="35"/>
      <c r="O716" s="35"/>
      <c r="AD716" s="3"/>
      <c r="AE716" s="3"/>
    </row>
    <row r="717" spans="9:31" x14ac:dyDescent="0.35">
      <c r="I717" s="35"/>
      <c r="O717" s="35"/>
      <c r="AD717" s="3"/>
      <c r="AE717" s="3"/>
    </row>
    <row r="718" spans="9:31" x14ac:dyDescent="0.35">
      <c r="I718" s="35"/>
      <c r="O718" s="35"/>
      <c r="AD718" s="3"/>
      <c r="AE718" s="3"/>
    </row>
    <row r="719" spans="9:31" x14ac:dyDescent="0.35">
      <c r="I719" s="35"/>
      <c r="O719" s="35"/>
      <c r="AD719" s="3"/>
      <c r="AE719" s="3"/>
    </row>
    <row r="720" spans="9:31" x14ac:dyDescent="0.35">
      <c r="I720" s="35"/>
      <c r="O720" s="35"/>
      <c r="AD720" s="3"/>
      <c r="AE720" s="3"/>
    </row>
    <row r="721" spans="9:31" x14ac:dyDescent="0.35">
      <c r="I721" s="35"/>
      <c r="O721" s="35"/>
      <c r="AD721" s="3"/>
      <c r="AE721" s="3"/>
    </row>
    <row r="722" spans="9:31" x14ac:dyDescent="0.35">
      <c r="I722" s="35"/>
      <c r="O722" s="35"/>
      <c r="AD722" s="3"/>
      <c r="AE722" s="3"/>
    </row>
    <row r="723" spans="9:31" x14ac:dyDescent="0.35">
      <c r="I723" s="35"/>
      <c r="O723" s="35"/>
      <c r="AD723" s="3"/>
      <c r="AE723" s="3"/>
    </row>
    <row r="724" spans="9:31" x14ac:dyDescent="0.35">
      <c r="I724" s="35"/>
      <c r="O724" s="35"/>
      <c r="AD724" s="3"/>
      <c r="AE724" s="3"/>
    </row>
    <row r="725" spans="9:31" x14ac:dyDescent="0.35">
      <c r="I725" s="35"/>
      <c r="O725" s="35"/>
      <c r="AD725" s="3"/>
      <c r="AE725" s="3"/>
    </row>
    <row r="726" spans="9:31" x14ac:dyDescent="0.35">
      <c r="I726" s="35"/>
      <c r="O726" s="35"/>
      <c r="AD726" s="3"/>
      <c r="AE726" s="3"/>
    </row>
    <row r="727" spans="9:31" x14ac:dyDescent="0.35">
      <c r="I727" s="35"/>
      <c r="O727" s="35"/>
      <c r="AD727" s="3"/>
      <c r="AE727" s="3"/>
    </row>
    <row r="728" spans="9:31" x14ac:dyDescent="0.35">
      <c r="I728" s="35"/>
      <c r="O728" s="35"/>
      <c r="AD728" s="3"/>
      <c r="AE728" s="3"/>
    </row>
    <row r="729" spans="9:31" x14ac:dyDescent="0.35">
      <c r="I729" s="35"/>
      <c r="O729" s="35"/>
      <c r="AD729" s="3"/>
      <c r="AE729" s="3"/>
    </row>
    <row r="730" spans="9:31" x14ac:dyDescent="0.35">
      <c r="I730" s="35"/>
      <c r="O730" s="35"/>
      <c r="AD730" s="3"/>
      <c r="AE730" s="3"/>
    </row>
    <row r="731" spans="9:31" x14ac:dyDescent="0.35">
      <c r="I731" s="35"/>
      <c r="O731" s="35"/>
      <c r="AD731" s="3"/>
      <c r="AE731" s="3"/>
    </row>
    <row r="732" spans="9:31" x14ac:dyDescent="0.35">
      <c r="I732" s="35"/>
      <c r="O732" s="35"/>
      <c r="AD732" s="3"/>
      <c r="AE732" s="3"/>
    </row>
    <row r="733" spans="9:31" x14ac:dyDescent="0.35">
      <c r="I733" s="35"/>
      <c r="O733" s="35"/>
      <c r="AD733" s="3"/>
      <c r="AE733" s="3"/>
    </row>
    <row r="734" spans="9:31" x14ac:dyDescent="0.35">
      <c r="I734" s="35"/>
      <c r="O734" s="35"/>
      <c r="AD734" s="3"/>
      <c r="AE734" s="3"/>
    </row>
    <row r="735" spans="9:31" x14ac:dyDescent="0.35">
      <c r="I735" s="35"/>
      <c r="O735" s="35"/>
      <c r="AD735" s="3"/>
      <c r="AE735" s="3"/>
    </row>
    <row r="736" spans="9:31" x14ac:dyDescent="0.35">
      <c r="I736" s="35"/>
      <c r="O736" s="35"/>
      <c r="AD736" s="3"/>
      <c r="AE736" s="3"/>
    </row>
    <row r="737" spans="9:31" x14ac:dyDescent="0.35">
      <c r="I737" s="35"/>
      <c r="O737" s="35"/>
      <c r="AD737" s="3"/>
      <c r="AE737" s="3"/>
    </row>
    <row r="738" spans="9:31" x14ac:dyDescent="0.35">
      <c r="I738" s="35"/>
      <c r="O738" s="35"/>
      <c r="AD738" s="3"/>
      <c r="AE738" s="3"/>
    </row>
    <row r="739" spans="9:31" x14ac:dyDescent="0.35">
      <c r="I739" s="35"/>
      <c r="O739" s="35"/>
      <c r="AD739" s="3"/>
      <c r="AE739" s="3"/>
    </row>
    <row r="740" spans="9:31" x14ac:dyDescent="0.35">
      <c r="I740" s="35"/>
      <c r="O740" s="35"/>
      <c r="AD740" s="3"/>
      <c r="AE740" s="3"/>
    </row>
    <row r="741" spans="9:31" x14ac:dyDescent="0.35">
      <c r="I741" s="35"/>
      <c r="O741" s="35"/>
      <c r="AD741" s="3"/>
      <c r="AE741" s="3"/>
    </row>
    <row r="742" spans="9:31" x14ac:dyDescent="0.35">
      <c r="I742" s="35"/>
      <c r="O742" s="35"/>
      <c r="AD742" s="3"/>
      <c r="AE742" s="3"/>
    </row>
    <row r="743" spans="9:31" x14ac:dyDescent="0.35">
      <c r="I743" s="35"/>
      <c r="O743" s="35"/>
      <c r="AD743" s="3"/>
      <c r="AE743" s="3"/>
    </row>
    <row r="744" spans="9:31" x14ac:dyDescent="0.35">
      <c r="I744" s="35"/>
      <c r="O744" s="35"/>
      <c r="AD744" s="3"/>
      <c r="AE744" s="3"/>
    </row>
    <row r="745" spans="9:31" x14ac:dyDescent="0.35">
      <c r="I745" s="35"/>
      <c r="O745" s="35"/>
      <c r="AD745" s="3"/>
      <c r="AE745" s="3"/>
    </row>
    <row r="746" spans="9:31" x14ac:dyDescent="0.35">
      <c r="I746" s="35"/>
      <c r="O746" s="35"/>
      <c r="AD746" s="3"/>
      <c r="AE746" s="3"/>
    </row>
    <row r="747" spans="9:31" x14ac:dyDescent="0.35">
      <c r="I747" s="35"/>
      <c r="O747" s="35"/>
      <c r="AD747" s="3"/>
      <c r="AE747" s="3"/>
    </row>
    <row r="748" spans="9:31" x14ac:dyDescent="0.35">
      <c r="I748" s="35"/>
      <c r="O748" s="35"/>
      <c r="AD748" s="3"/>
      <c r="AE748" s="3"/>
    </row>
    <row r="749" spans="9:31" x14ac:dyDescent="0.35">
      <c r="I749" s="35"/>
      <c r="O749" s="35"/>
      <c r="AD749" s="3"/>
      <c r="AE749" s="3"/>
    </row>
    <row r="750" spans="9:31" x14ac:dyDescent="0.35">
      <c r="I750" s="35"/>
      <c r="O750" s="35"/>
      <c r="AD750" s="3"/>
      <c r="AE750" s="3"/>
    </row>
    <row r="751" spans="9:31" x14ac:dyDescent="0.35">
      <c r="I751" s="35"/>
      <c r="O751" s="35"/>
      <c r="AD751" s="3"/>
      <c r="AE751" s="3"/>
    </row>
    <row r="752" spans="9:31" x14ac:dyDescent="0.35">
      <c r="I752" s="35"/>
      <c r="O752" s="35"/>
      <c r="AD752" s="3"/>
      <c r="AE752" s="3"/>
    </row>
    <row r="753" spans="9:31" x14ac:dyDescent="0.35">
      <c r="I753" s="35"/>
      <c r="O753" s="35"/>
      <c r="AD753" s="3"/>
      <c r="AE753" s="3"/>
    </row>
    <row r="754" spans="9:31" x14ac:dyDescent="0.35">
      <c r="I754" s="35"/>
      <c r="O754" s="35"/>
      <c r="AD754" s="3"/>
      <c r="AE754" s="3"/>
    </row>
    <row r="755" spans="9:31" x14ac:dyDescent="0.35">
      <c r="I755" s="35"/>
      <c r="O755" s="35"/>
      <c r="AD755" s="3"/>
      <c r="AE755" s="3"/>
    </row>
    <row r="756" spans="9:31" x14ac:dyDescent="0.35">
      <c r="I756" s="35"/>
      <c r="O756" s="35"/>
      <c r="AD756" s="3"/>
      <c r="AE756" s="3"/>
    </row>
    <row r="757" spans="9:31" x14ac:dyDescent="0.35">
      <c r="I757" s="35"/>
      <c r="O757" s="35"/>
      <c r="AD757" s="3"/>
      <c r="AE757" s="3"/>
    </row>
    <row r="758" spans="9:31" x14ac:dyDescent="0.35">
      <c r="I758" s="35"/>
      <c r="O758" s="35"/>
      <c r="AD758" s="3"/>
      <c r="AE758" s="3"/>
    </row>
    <row r="759" spans="9:31" x14ac:dyDescent="0.35">
      <c r="I759" s="35"/>
      <c r="O759" s="35"/>
      <c r="AD759" s="3"/>
      <c r="AE759" s="3"/>
    </row>
    <row r="760" spans="9:31" x14ac:dyDescent="0.35">
      <c r="I760" s="35"/>
      <c r="O760" s="35"/>
      <c r="AD760" s="3"/>
      <c r="AE760" s="3"/>
    </row>
    <row r="761" spans="9:31" x14ac:dyDescent="0.35">
      <c r="I761" s="35"/>
      <c r="O761" s="35"/>
      <c r="AD761" s="3"/>
      <c r="AE761" s="3"/>
    </row>
    <row r="762" spans="9:31" x14ac:dyDescent="0.35">
      <c r="I762" s="35"/>
      <c r="O762" s="35"/>
      <c r="AD762" s="3"/>
      <c r="AE762" s="3"/>
    </row>
    <row r="763" spans="9:31" x14ac:dyDescent="0.35">
      <c r="I763" s="35"/>
      <c r="O763" s="35"/>
      <c r="AD763" s="3"/>
      <c r="AE763" s="3"/>
    </row>
    <row r="764" spans="9:31" x14ac:dyDescent="0.35">
      <c r="I764" s="35"/>
      <c r="O764" s="35"/>
      <c r="AD764" s="3"/>
      <c r="AE764" s="3"/>
    </row>
    <row r="765" spans="9:31" x14ac:dyDescent="0.35">
      <c r="I765" s="35"/>
      <c r="O765" s="35"/>
      <c r="AD765" s="3"/>
      <c r="AE765" s="3"/>
    </row>
    <row r="766" spans="9:31" x14ac:dyDescent="0.35">
      <c r="I766" s="35"/>
      <c r="O766" s="35"/>
      <c r="AD766" s="3"/>
      <c r="AE766" s="3"/>
    </row>
    <row r="767" spans="9:31" x14ac:dyDescent="0.35">
      <c r="I767" s="35"/>
      <c r="O767" s="35"/>
      <c r="AD767" s="3"/>
      <c r="AE767" s="3"/>
    </row>
    <row r="768" spans="9:31" x14ac:dyDescent="0.35">
      <c r="I768" s="35"/>
      <c r="O768" s="35"/>
      <c r="AD768" s="3"/>
      <c r="AE768" s="3"/>
    </row>
    <row r="769" spans="9:31" x14ac:dyDescent="0.35">
      <c r="I769" s="35"/>
      <c r="O769" s="35"/>
      <c r="AD769" s="3"/>
      <c r="AE769" s="3"/>
    </row>
    <row r="770" spans="9:31" x14ac:dyDescent="0.35">
      <c r="I770" s="35"/>
      <c r="O770" s="35"/>
      <c r="AD770" s="3"/>
      <c r="AE770" s="3"/>
    </row>
    <row r="771" spans="9:31" x14ac:dyDescent="0.35">
      <c r="I771" s="35"/>
      <c r="O771" s="35"/>
      <c r="AD771" s="3"/>
      <c r="AE771" s="3"/>
    </row>
    <row r="772" spans="9:31" x14ac:dyDescent="0.35">
      <c r="I772" s="35"/>
      <c r="O772" s="35"/>
      <c r="AD772" s="3"/>
      <c r="AE772" s="3"/>
    </row>
    <row r="773" spans="9:31" x14ac:dyDescent="0.35">
      <c r="I773" s="35"/>
      <c r="O773" s="35"/>
      <c r="AD773" s="3"/>
      <c r="AE773" s="3"/>
    </row>
    <row r="774" spans="9:31" x14ac:dyDescent="0.35">
      <c r="I774" s="35"/>
      <c r="O774" s="35"/>
      <c r="AD774" s="3"/>
      <c r="AE774" s="3"/>
    </row>
    <row r="775" spans="9:31" x14ac:dyDescent="0.35">
      <c r="I775" s="35"/>
      <c r="O775" s="35"/>
      <c r="AD775" s="3"/>
      <c r="AE775" s="3"/>
    </row>
    <row r="776" spans="9:31" x14ac:dyDescent="0.35">
      <c r="I776" s="35"/>
      <c r="O776" s="35"/>
      <c r="AD776" s="3"/>
      <c r="AE776" s="3"/>
    </row>
    <row r="777" spans="9:31" x14ac:dyDescent="0.35">
      <c r="I777" s="35"/>
      <c r="O777" s="35"/>
      <c r="AD777" s="3"/>
      <c r="AE777" s="3"/>
    </row>
    <row r="778" spans="9:31" x14ac:dyDescent="0.35">
      <c r="I778" s="35"/>
      <c r="O778" s="35"/>
      <c r="AD778" s="3"/>
      <c r="AE778" s="3"/>
    </row>
    <row r="779" spans="9:31" x14ac:dyDescent="0.35">
      <c r="I779" s="35"/>
      <c r="O779" s="35"/>
      <c r="AD779" s="3"/>
      <c r="AE779" s="3"/>
    </row>
    <row r="780" spans="9:31" x14ac:dyDescent="0.35">
      <c r="I780" s="35"/>
      <c r="O780" s="35"/>
      <c r="AD780" s="3"/>
      <c r="AE780" s="3"/>
    </row>
    <row r="781" spans="9:31" x14ac:dyDescent="0.35">
      <c r="I781" s="35"/>
      <c r="O781" s="35"/>
      <c r="AD781" s="3"/>
      <c r="AE781" s="3"/>
    </row>
    <row r="782" spans="9:31" x14ac:dyDescent="0.35">
      <c r="I782" s="35"/>
      <c r="O782" s="35"/>
      <c r="AD782" s="3"/>
      <c r="AE782" s="3"/>
    </row>
    <row r="783" spans="9:31" x14ac:dyDescent="0.35">
      <c r="I783" s="35"/>
      <c r="O783" s="35"/>
      <c r="AD783" s="3"/>
      <c r="AE783" s="3"/>
    </row>
    <row r="784" spans="9:31" x14ac:dyDescent="0.35">
      <c r="I784" s="35"/>
      <c r="O784" s="35"/>
      <c r="AD784" s="3"/>
      <c r="AE784" s="3"/>
    </row>
    <row r="785" spans="9:31" x14ac:dyDescent="0.35">
      <c r="I785" s="35"/>
      <c r="O785" s="35"/>
      <c r="AD785" s="3"/>
      <c r="AE785" s="3"/>
    </row>
    <row r="786" spans="9:31" x14ac:dyDescent="0.35">
      <c r="I786" s="35"/>
      <c r="O786" s="35"/>
      <c r="AD786" s="3"/>
      <c r="AE786" s="3"/>
    </row>
    <row r="787" spans="9:31" x14ac:dyDescent="0.35">
      <c r="I787" s="35"/>
      <c r="O787" s="35"/>
      <c r="AD787" s="3"/>
      <c r="AE787" s="3"/>
    </row>
    <row r="788" spans="9:31" x14ac:dyDescent="0.35">
      <c r="I788" s="35"/>
      <c r="O788" s="35"/>
      <c r="AD788" s="3"/>
      <c r="AE788" s="3"/>
    </row>
    <row r="789" spans="9:31" x14ac:dyDescent="0.35">
      <c r="I789" s="35"/>
      <c r="O789" s="35"/>
      <c r="AD789" s="3"/>
      <c r="AE789" s="3"/>
    </row>
    <row r="790" spans="9:31" x14ac:dyDescent="0.35">
      <c r="I790" s="35"/>
      <c r="O790" s="35"/>
      <c r="AD790" s="3"/>
      <c r="AE790" s="3"/>
    </row>
    <row r="791" spans="9:31" x14ac:dyDescent="0.35">
      <c r="I791" s="35"/>
      <c r="O791" s="35"/>
      <c r="AD791" s="3"/>
      <c r="AE791" s="3"/>
    </row>
    <row r="792" spans="9:31" x14ac:dyDescent="0.35">
      <c r="I792" s="35"/>
      <c r="O792" s="35"/>
      <c r="AD792" s="3"/>
      <c r="AE792" s="3"/>
    </row>
    <row r="793" spans="9:31" x14ac:dyDescent="0.35">
      <c r="I793" s="35"/>
      <c r="O793" s="35"/>
      <c r="AD793" s="3"/>
      <c r="AE793" s="3"/>
    </row>
    <row r="794" spans="9:31" x14ac:dyDescent="0.35">
      <c r="I794" s="35"/>
      <c r="O794" s="35"/>
      <c r="AD794" s="3"/>
      <c r="AE794" s="3"/>
    </row>
    <row r="795" spans="9:31" x14ac:dyDescent="0.35">
      <c r="I795" s="35"/>
      <c r="O795" s="35"/>
      <c r="AD795" s="3"/>
      <c r="AE795" s="3"/>
    </row>
    <row r="796" spans="9:31" x14ac:dyDescent="0.35">
      <c r="I796" s="35"/>
      <c r="O796" s="35"/>
      <c r="AD796" s="3"/>
      <c r="AE796" s="3"/>
    </row>
    <row r="797" spans="9:31" x14ac:dyDescent="0.35">
      <c r="I797" s="35"/>
      <c r="O797" s="35"/>
      <c r="AD797" s="3"/>
      <c r="AE797" s="3"/>
    </row>
    <row r="798" spans="9:31" x14ac:dyDescent="0.35">
      <c r="I798" s="35"/>
      <c r="O798" s="35"/>
      <c r="AD798" s="3"/>
      <c r="AE798" s="3"/>
    </row>
    <row r="799" spans="9:31" x14ac:dyDescent="0.35">
      <c r="I799" s="35"/>
      <c r="O799" s="35"/>
      <c r="AD799" s="3"/>
      <c r="AE799" s="3"/>
    </row>
    <row r="800" spans="9:31" x14ac:dyDescent="0.35">
      <c r="I800" s="35"/>
      <c r="O800" s="35"/>
      <c r="AD800" s="3"/>
      <c r="AE800" s="3"/>
    </row>
    <row r="801" spans="9:31" x14ac:dyDescent="0.35">
      <c r="I801" s="35"/>
      <c r="O801" s="35"/>
      <c r="AD801" s="3"/>
      <c r="AE801" s="3"/>
    </row>
    <row r="802" spans="9:31" x14ac:dyDescent="0.35">
      <c r="I802" s="35"/>
      <c r="O802" s="35"/>
      <c r="AD802" s="3"/>
      <c r="AE802" s="3"/>
    </row>
    <row r="803" spans="9:31" x14ac:dyDescent="0.35">
      <c r="I803" s="35"/>
      <c r="O803" s="35"/>
      <c r="AD803" s="3"/>
      <c r="AE803" s="3"/>
    </row>
    <row r="804" spans="9:31" x14ac:dyDescent="0.35">
      <c r="I804" s="35"/>
      <c r="O804" s="35"/>
      <c r="AD804" s="3"/>
      <c r="AE804" s="3"/>
    </row>
    <row r="805" spans="9:31" x14ac:dyDescent="0.35">
      <c r="I805" s="35"/>
      <c r="O805" s="35"/>
      <c r="AD805" s="3"/>
      <c r="AE805" s="3"/>
    </row>
    <row r="806" spans="9:31" x14ac:dyDescent="0.35">
      <c r="I806" s="35"/>
      <c r="O806" s="35"/>
      <c r="AD806" s="3"/>
      <c r="AE806" s="3"/>
    </row>
    <row r="807" spans="9:31" x14ac:dyDescent="0.35">
      <c r="I807" s="35"/>
      <c r="O807" s="35"/>
      <c r="AD807" s="3"/>
      <c r="AE807" s="3"/>
    </row>
    <row r="808" spans="9:31" x14ac:dyDescent="0.35">
      <c r="I808" s="35"/>
      <c r="O808" s="35"/>
      <c r="AD808" s="3"/>
      <c r="AE808" s="3"/>
    </row>
    <row r="809" spans="9:31" x14ac:dyDescent="0.35">
      <c r="I809" s="35"/>
      <c r="O809" s="35"/>
      <c r="AD809" s="3"/>
      <c r="AE809" s="3"/>
    </row>
    <row r="810" spans="9:31" x14ac:dyDescent="0.35">
      <c r="I810" s="35"/>
      <c r="O810" s="35"/>
      <c r="AD810" s="3"/>
      <c r="AE810" s="3"/>
    </row>
    <row r="811" spans="9:31" x14ac:dyDescent="0.35">
      <c r="I811" s="35"/>
      <c r="O811" s="35"/>
      <c r="AD811" s="3"/>
      <c r="AE811" s="3"/>
    </row>
    <row r="812" spans="9:31" x14ac:dyDescent="0.35">
      <c r="I812" s="35"/>
      <c r="O812" s="35"/>
      <c r="AD812" s="3"/>
      <c r="AE812" s="3"/>
    </row>
    <row r="813" spans="9:31" x14ac:dyDescent="0.35">
      <c r="I813" s="35"/>
      <c r="O813" s="35"/>
      <c r="AD813" s="3"/>
      <c r="AE813" s="3"/>
    </row>
    <row r="814" spans="9:31" x14ac:dyDescent="0.35">
      <c r="I814" s="35"/>
      <c r="O814" s="35"/>
      <c r="AD814" s="3"/>
      <c r="AE814" s="3"/>
    </row>
    <row r="815" spans="9:31" x14ac:dyDescent="0.35">
      <c r="I815" s="35"/>
      <c r="O815" s="35"/>
      <c r="AD815" s="3"/>
      <c r="AE815" s="3"/>
    </row>
    <row r="816" spans="9:31" x14ac:dyDescent="0.35">
      <c r="I816" s="35"/>
      <c r="O816" s="35"/>
      <c r="AD816" s="3"/>
      <c r="AE816" s="3"/>
    </row>
    <row r="817" spans="9:31" x14ac:dyDescent="0.35">
      <c r="I817" s="35"/>
      <c r="O817" s="35"/>
      <c r="AD817" s="3"/>
      <c r="AE817" s="3"/>
    </row>
    <row r="818" spans="9:31" x14ac:dyDescent="0.35">
      <c r="I818" s="35"/>
      <c r="O818" s="35"/>
      <c r="AD818" s="3"/>
      <c r="AE818" s="3"/>
    </row>
    <row r="819" spans="9:31" x14ac:dyDescent="0.35">
      <c r="I819" s="35"/>
      <c r="O819" s="35"/>
      <c r="AD819" s="3"/>
      <c r="AE819" s="3"/>
    </row>
    <row r="820" spans="9:31" x14ac:dyDescent="0.35">
      <c r="I820" s="35"/>
      <c r="O820" s="35"/>
      <c r="AD820" s="3"/>
      <c r="AE820" s="3"/>
    </row>
    <row r="821" spans="9:31" x14ac:dyDescent="0.35">
      <c r="I821" s="35"/>
      <c r="O821" s="35"/>
      <c r="AD821" s="3"/>
      <c r="AE821" s="3"/>
    </row>
    <row r="822" spans="9:31" x14ac:dyDescent="0.35">
      <c r="I822" s="35"/>
      <c r="O822" s="35"/>
      <c r="AD822" s="3"/>
      <c r="AE822" s="3"/>
    </row>
    <row r="823" spans="9:31" x14ac:dyDescent="0.35">
      <c r="I823" s="35"/>
      <c r="O823" s="35"/>
      <c r="AD823" s="3"/>
      <c r="AE823" s="3"/>
    </row>
    <row r="824" spans="9:31" x14ac:dyDescent="0.35">
      <c r="I824" s="35"/>
      <c r="O824" s="35"/>
      <c r="AD824" s="3"/>
      <c r="AE824" s="3"/>
    </row>
    <row r="825" spans="9:31" x14ac:dyDescent="0.35">
      <c r="I825" s="35"/>
      <c r="O825" s="35"/>
      <c r="AD825" s="3"/>
      <c r="AE825" s="3"/>
    </row>
    <row r="826" spans="9:31" x14ac:dyDescent="0.35">
      <c r="I826" s="35"/>
      <c r="O826" s="35"/>
      <c r="AD826" s="3"/>
      <c r="AE826" s="3"/>
    </row>
    <row r="827" spans="9:31" x14ac:dyDescent="0.35">
      <c r="I827" s="35"/>
      <c r="O827" s="35"/>
      <c r="AD827" s="3"/>
      <c r="AE827" s="3"/>
    </row>
    <row r="828" spans="9:31" x14ac:dyDescent="0.35">
      <c r="I828" s="35"/>
      <c r="O828" s="35"/>
      <c r="AD828" s="3"/>
      <c r="AE828" s="3"/>
    </row>
    <row r="829" spans="9:31" x14ac:dyDescent="0.35">
      <c r="I829" s="35"/>
      <c r="O829" s="35"/>
      <c r="AD829" s="3"/>
      <c r="AE829" s="3"/>
    </row>
    <row r="830" spans="9:31" x14ac:dyDescent="0.35">
      <c r="I830" s="35"/>
      <c r="O830" s="35"/>
      <c r="AD830" s="3"/>
      <c r="AE830" s="3"/>
    </row>
    <row r="831" spans="9:31" x14ac:dyDescent="0.35">
      <c r="I831" s="35"/>
      <c r="O831" s="35"/>
      <c r="AD831" s="3"/>
      <c r="AE831" s="3"/>
    </row>
    <row r="832" spans="9:31" x14ac:dyDescent="0.35">
      <c r="I832" s="35"/>
      <c r="O832" s="35"/>
      <c r="AD832" s="3"/>
      <c r="AE832" s="3"/>
    </row>
    <row r="833" spans="9:31" x14ac:dyDescent="0.35">
      <c r="I833" s="35"/>
      <c r="O833" s="35"/>
      <c r="AD833" s="3"/>
      <c r="AE833" s="3"/>
    </row>
    <row r="834" spans="9:31" x14ac:dyDescent="0.35">
      <c r="I834" s="35"/>
      <c r="O834" s="35"/>
      <c r="AD834" s="3"/>
      <c r="AE834" s="3"/>
    </row>
    <row r="835" spans="9:31" x14ac:dyDescent="0.35">
      <c r="I835" s="35"/>
      <c r="O835" s="35"/>
      <c r="AD835" s="3"/>
      <c r="AE835" s="3"/>
    </row>
    <row r="836" spans="9:31" x14ac:dyDescent="0.35">
      <c r="I836" s="35"/>
      <c r="O836" s="35"/>
      <c r="AD836" s="3"/>
      <c r="AE836" s="3"/>
    </row>
    <row r="837" spans="9:31" x14ac:dyDescent="0.35">
      <c r="I837" s="35"/>
      <c r="O837" s="35"/>
      <c r="AD837" s="3"/>
      <c r="AE837" s="3"/>
    </row>
    <row r="838" spans="9:31" x14ac:dyDescent="0.35">
      <c r="I838" s="35"/>
      <c r="O838" s="35"/>
      <c r="AD838" s="3"/>
      <c r="AE838" s="3"/>
    </row>
    <row r="839" spans="9:31" x14ac:dyDescent="0.35">
      <c r="I839" s="35"/>
      <c r="O839" s="35"/>
      <c r="AD839" s="3"/>
      <c r="AE839" s="3"/>
    </row>
    <row r="840" spans="9:31" x14ac:dyDescent="0.35">
      <c r="I840" s="35"/>
      <c r="O840" s="35"/>
      <c r="AD840" s="3"/>
      <c r="AE840" s="3"/>
    </row>
    <row r="841" spans="9:31" x14ac:dyDescent="0.35">
      <c r="I841" s="35"/>
      <c r="O841" s="35"/>
      <c r="AD841" s="3"/>
      <c r="AE841" s="3"/>
    </row>
    <row r="842" spans="9:31" x14ac:dyDescent="0.35">
      <c r="I842" s="35"/>
      <c r="O842" s="35"/>
      <c r="AD842" s="3"/>
      <c r="AE842" s="3"/>
    </row>
    <row r="843" spans="9:31" x14ac:dyDescent="0.35">
      <c r="I843" s="35"/>
      <c r="O843" s="35"/>
      <c r="AD843" s="3"/>
      <c r="AE843" s="3"/>
    </row>
    <row r="844" spans="9:31" x14ac:dyDescent="0.35">
      <c r="I844" s="35"/>
      <c r="O844" s="35"/>
      <c r="AD844" s="3"/>
      <c r="AE844" s="3"/>
    </row>
    <row r="845" spans="9:31" x14ac:dyDescent="0.35">
      <c r="I845" s="35"/>
      <c r="O845" s="35"/>
      <c r="AD845" s="3"/>
      <c r="AE845" s="3"/>
    </row>
    <row r="846" spans="9:31" x14ac:dyDescent="0.35">
      <c r="I846" s="35"/>
      <c r="O846" s="35"/>
      <c r="AD846" s="3"/>
      <c r="AE846" s="3"/>
    </row>
    <row r="847" spans="9:31" x14ac:dyDescent="0.35">
      <c r="I847" s="35"/>
      <c r="O847" s="35"/>
      <c r="AD847" s="3"/>
      <c r="AE847" s="3"/>
    </row>
    <row r="848" spans="9:31" x14ac:dyDescent="0.35">
      <c r="I848" s="35"/>
      <c r="O848" s="35"/>
      <c r="AD848" s="3"/>
      <c r="AE848" s="3"/>
    </row>
    <row r="849" spans="9:31" x14ac:dyDescent="0.35">
      <c r="I849" s="35"/>
      <c r="O849" s="35"/>
      <c r="AD849" s="3"/>
      <c r="AE849" s="3"/>
    </row>
    <row r="850" spans="9:31" x14ac:dyDescent="0.35">
      <c r="I850" s="35"/>
      <c r="O850" s="35"/>
      <c r="AD850" s="3"/>
      <c r="AE850" s="3"/>
    </row>
    <row r="851" spans="9:31" x14ac:dyDescent="0.35">
      <c r="I851" s="35"/>
      <c r="O851" s="35"/>
      <c r="AD851" s="3"/>
      <c r="AE851" s="3"/>
    </row>
    <row r="852" spans="9:31" x14ac:dyDescent="0.35">
      <c r="I852" s="35"/>
      <c r="O852" s="35"/>
      <c r="AD852" s="3"/>
      <c r="AE852" s="3"/>
    </row>
    <row r="853" spans="9:31" x14ac:dyDescent="0.35">
      <c r="I853" s="35"/>
      <c r="O853" s="35"/>
      <c r="AD853" s="3"/>
      <c r="AE853" s="3"/>
    </row>
    <row r="854" spans="9:31" x14ac:dyDescent="0.35">
      <c r="I854" s="35"/>
      <c r="O854" s="35"/>
      <c r="AD854" s="3"/>
      <c r="AE854" s="3"/>
    </row>
    <row r="855" spans="9:31" x14ac:dyDescent="0.35">
      <c r="I855" s="35"/>
      <c r="O855" s="35"/>
      <c r="AD855" s="3"/>
      <c r="AE855" s="3"/>
    </row>
    <row r="856" spans="9:31" x14ac:dyDescent="0.35">
      <c r="I856" s="35"/>
      <c r="O856" s="35"/>
      <c r="AD856" s="3"/>
      <c r="AE856" s="3"/>
    </row>
    <row r="857" spans="9:31" x14ac:dyDescent="0.35">
      <c r="I857" s="35"/>
      <c r="O857" s="35"/>
      <c r="AD857" s="3"/>
      <c r="AE857" s="3"/>
    </row>
    <row r="858" spans="9:31" x14ac:dyDescent="0.35">
      <c r="I858" s="35"/>
      <c r="O858" s="35"/>
      <c r="AD858" s="3"/>
      <c r="AE858" s="3"/>
    </row>
    <row r="859" spans="9:31" x14ac:dyDescent="0.35">
      <c r="I859" s="35"/>
      <c r="O859" s="35"/>
      <c r="AD859" s="3"/>
      <c r="AE859" s="3"/>
    </row>
    <row r="860" spans="9:31" x14ac:dyDescent="0.35">
      <c r="I860" s="35"/>
      <c r="O860" s="35"/>
      <c r="AD860" s="3"/>
      <c r="AE860" s="3"/>
    </row>
    <row r="861" spans="9:31" x14ac:dyDescent="0.35">
      <c r="I861" s="35"/>
      <c r="O861" s="35"/>
      <c r="AD861" s="3"/>
      <c r="AE861" s="3"/>
    </row>
    <row r="862" spans="9:31" x14ac:dyDescent="0.35">
      <c r="I862" s="35"/>
      <c r="O862" s="35"/>
      <c r="AD862" s="3"/>
      <c r="AE862" s="3"/>
    </row>
    <row r="863" spans="9:31" x14ac:dyDescent="0.35">
      <c r="I863" s="35"/>
      <c r="O863" s="35"/>
      <c r="AD863" s="3"/>
      <c r="AE863" s="3"/>
    </row>
    <row r="864" spans="9:31" x14ac:dyDescent="0.35">
      <c r="I864" s="35"/>
      <c r="O864" s="35"/>
      <c r="AD864" s="3"/>
      <c r="AE864" s="3"/>
    </row>
    <row r="865" spans="9:31" x14ac:dyDescent="0.35">
      <c r="I865" s="35"/>
      <c r="O865" s="35"/>
      <c r="AD865" s="3"/>
      <c r="AE865" s="3"/>
    </row>
    <row r="866" spans="9:31" x14ac:dyDescent="0.35">
      <c r="I866" s="35"/>
      <c r="O866" s="35"/>
      <c r="AD866" s="3"/>
      <c r="AE866" s="3"/>
    </row>
    <row r="867" spans="9:31" x14ac:dyDescent="0.35">
      <c r="I867" s="35"/>
      <c r="O867" s="35"/>
      <c r="AD867" s="3"/>
      <c r="AE867" s="3"/>
    </row>
    <row r="868" spans="9:31" x14ac:dyDescent="0.35">
      <c r="I868" s="35"/>
      <c r="O868" s="35"/>
      <c r="AD868" s="3"/>
      <c r="AE868" s="3"/>
    </row>
    <row r="869" spans="9:31" x14ac:dyDescent="0.35">
      <c r="I869" s="35"/>
      <c r="O869" s="35"/>
      <c r="AD869" s="3"/>
      <c r="AE869" s="3"/>
    </row>
    <row r="870" spans="9:31" x14ac:dyDescent="0.35">
      <c r="I870" s="35"/>
      <c r="O870" s="35"/>
      <c r="AD870" s="3"/>
      <c r="AE870" s="3"/>
    </row>
    <row r="871" spans="9:31" x14ac:dyDescent="0.35">
      <c r="I871" s="35"/>
      <c r="O871" s="35"/>
      <c r="AD871" s="3"/>
      <c r="AE871" s="3"/>
    </row>
    <row r="872" spans="9:31" x14ac:dyDescent="0.35">
      <c r="I872" s="35"/>
      <c r="O872" s="35"/>
      <c r="AD872" s="3"/>
      <c r="AE872" s="3"/>
    </row>
    <row r="873" spans="9:31" x14ac:dyDescent="0.35">
      <c r="I873" s="35"/>
      <c r="O873" s="35"/>
      <c r="AD873" s="3"/>
      <c r="AE873" s="3"/>
    </row>
    <row r="874" spans="9:31" x14ac:dyDescent="0.35">
      <c r="I874" s="35"/>
      <c r="O874" s="35"/>
      <c r="AD874" s="3"/>
      <c r="AE874" s="3"/>
    </row>
    <row r="875" spans="9:31" x14ac:dyDescent="0.35">
      <c r="I875" s="35"/>
      <c r="O875" s="35"/>
      <c r="AD875" s="3"/>
      <c r="AE875" s="3"/>
    </row>
    <row r="876" spans="9:31" x14ac:dyDescent="0.35">
      <c r="I876" s="35"/>
      <c r="O876" s="35"/>
      <c r="AD876" s="3"/>
      <c r="AE876" s="3"/>
    </row>
    <row r="877" spans="9:31" x14ac:dyDescent="0.35">
      <c r="I877" s="35"/>
      <c r="O877" s="35"/>
      <c r="AD877" s="3"/>
      <c r="AE877" s="3"/>
    </row>
    <row r="878" spans="9:31" x14ac:dyDescent="0.35">
      <c r="I878" s="35"/>
      <c r="O878" s="35"/>
      <c r="AD878" s="3"/>
      <c r="AE878" s="3"/>
    </row>
    <row r="879" spans="9:31" x14ac:dyDescent="0.35">
      <c r="I879" s="35"/>
      <c r="O879" s="35"/>
      <c r="AD879" s="3"/>
      <c r="AE879" s="3"/>
    </row>
    <row r="880" spans="9:31" x14ac:dyDescent="0.35">
      <c r="I880" s="35"/>
      <c r="O880" s="35"/>
      <c r="AD880" s="3"/>
      <c r="AE880" s="3"/>
    </row>
    <row r="881" spans="9:31" x14ac:dyDescent="0.35">
      <c r="I881" s="35"/>
      <c r="O881" s="35"/>
      <c r="AD881" s="3"/>
      <c r="AE881" s="3"/>
    </row>
    <row r="882" spans="9:31" x14ac:dyDescent="0.35">
      <c r="I882" s="35"/>
      <c r="O882" s="35"/>
      <c r="AD882" s="3"/>
      <c r="AE882" s="3"/>
    </row>
    <row r="883" spans="9:31" x14ac:dyDescent="0.35">
      <c r="I883" s="35"/>
      <c r="O883" s="35"/>
      <c r="AD883" s="3"/>
      <c r="AE883" s="3"/>
    </row>
    <row r="884" spans="9:31" x14ac:dyDescent="0.35">
      <c r="I884" s="35"/>
      <c r="O884" s="35"/>
      <c r="AD884" s="3"/>
      <c r="AE884" s="3"/>
    </row>
    <row r="885" spans="9:31" x14ac:dyDescent="0.35">
      <c r="I885" s="35"/>
      <c r="O885" s="35"/>
      <c r="AD885" s="3"/>
      <c r="AE885" s="3"/>
    </row>
    <row r="886" spans="9:31" x14ac:dyDescent="0.35">
      <c r="I886" s="35"/>
      <c r="O886" s="35"/>
      <c r="AD886" s="3"/>
      <c r="AE886" s="3"/>
    </row>
    <row r="887" spans="9:31" x14ac:dyDescent="0.35">
      <c r="I887" s="35"/>
      <c r="O887" s="35"/>
      <c r="AD887" s="3"/>
      <c r="AE887" s="3"/>
    </row>
    <row r="888" spans="9:31" x14ac:dyDescent="0.35">
      <c r="I888" s="35"/>
      <c r="O888" s="35"/>
      <c r="AD888" s="3"/>
      <c r="AE888" s="3"/>
    </row>
    <row r="889" spans="9:31" x14ac:dyDescent="0.35">
      <c r="I889" s="35"/>
      <c r="O889" s="35"/>
      <c r="AD889" s="3"/>
      <c r="AE889" s="3"/>
    </row>
    <row r="890" spans="9:31" x14ac:dyDescent="0.35">
      <c r="I890" s="35"/>
      <c r="O890" s="35"/>
      <c r="AD890" s="3"/>
      <c r="AE890" s="3"/>
    </row>
    <row r="891" spans="9:31" x14ac:dyDescent="0.35">
      <c r="I891" s="35"/>
      <c r="O891" s="35"/>
      <c r="AD891" s="3"/>
      <c r="AE891" s="3"/>
    </row>
    <row r="892" spans="9:31" x14ac:dyDescent="0.35">
      <c r="I892" s="35"/>
      <c r="O892" s="35"/>
      <c r="AD892" s="3"/>
      <c r="AE892" s="3"/>
    </row>
    <row r="893" spans="9:31" x14ac:dyDescent="0.35">
      <c r="I893" s="35"/>
      <c r="O893" s="35"/>
      <c r="AD893" s="3"/>
      <c r="AE893" s="3"/>
    </row>
    <row r="894" spans="9:31" x14ac:dyDescent="0.35">
      <c r="I894" s="35"/>
      <c r="O894" s="35"/>
      <c r="AD894" s="3"/>
      <c r="AE894" s="3"/>
    </row>
    <row r="895" spans="9:31" x14ac:dyDescent="0.35">
      <c r="I895" s="35"/>
      <c r="O895" s="35"/>
      <c r="AD895" s="3"/>
      <c r="AE895" s="3"/>
    </row>
    <row r="896" spans="9:31" x14ac:dyDescent="0.35">
      <c r="I896" s="35"/>
      <c r="O896" s="35"/>
      <c r="AD896" s="3"/>
      <c r="AE896" s="3"/>
    </row>
    <row r="897" spans="9:31" x14ac:dyDescent="0.35">
      <c r="I897" s="35"/>
      <c r="O897" s="35"/>
      <c r="AD897" s="3"/>
      <c r="AE897" s="3"/>
    </row>
    <row r="898" spans="9:31" x14ac:dyDescent="0.35">
      <c r="I898" s="35"/>
      <c r="O898" s="35"/>
      <c r="AD898" s="3"/>
      <c r="AE898" s="3"/>
    </row>
    <row r="899" spans="9:31" x14ac:dyDescent="0.35">
      <c r="I899" s="35"/>
      <c r="O899" s="35"/>
      <c r="AD899" s="3"/>
      <c r="AE899" s="3"/>
    </row>
    <row r="900" spans="9:31" x14ac:dyDescent="0.35">
      <c r="I900" s="35"/>
      <c r="O900" s="35"/>
      <c r="AD900" s="3"/>
      <c r="AE900" s="3"/>
    </row>
    <row r="901" spans="9:31" x14ac:dyDescent="0.35">
      <c r="I901" s="35"/>
      <c r="O901" s="35"/>
      <c r="AD901" s="3"/>
      <c r="AE901" s="3"/>
    </row>
    <row r="902" spans="9:31" x14ac:dyDescent="0.35">
      <c r="I902" s="35"/>
      <c r="O902" s="35"/>
      <c r="AD902" s="3"/>
      <c r="AE902" s="3"/>
    </row>
    <row r="903" spans="9:31" x14ac:dyDescent="0.35">
      <c r="I903" s="35"/>
      <c r="O903" s="35"/>
      <c r="AD903" s="3"/>
      <c r="AE903" s="3"/>
    </row>
    <row r="904" spans="9:31" x14ac:dyDescent="0.35">
      <c r="I904" s="35"/>
      <c r="O904" s="35"/>
      <c r="AD904" s="3"/>
      <c r="AE904" s="3"/>
    </row>
    <row r="905" spans="9:31" x14ac:dyDescent="0.35">
      <c r="I905" s="35"/>
      <c r="O905" s="35"/>
      <c r="AD905" s="3"/>
      <c r="AE905" s="3"/>
    </row>
    <row r="906" spans="9:31" x14ac:dyDescent="0.35">
      <c r="I906" s="35"/>
      <c r="O906" s="35"/>
      <c r="AD906" s="3"/>
      <c r="AE906" s="3"/>
    </row>
    <row r="907" spans="9:31" x14ac:dyDescent="0.35">
      <c r="I907" s="35"/>
      <c r="O907" s="35"/>
      <c r="AD907" s="3"/>
      <c r="AE907" s="3"/>
    </row>
    <row r="908" spans="9:31" x14ac:dyDescent="0.35">
      <c r="I908" s="35"/>
      <c r="O908" s="35"/>
      <c r="AD908" s="3"/>
      <c r="AE908" s="3"/>
    </row>
    <row r="909" spans="9:31" x14ac:dyDescent="0.35">
      <c r="I909" s="35"/>
      <c r="O909" s="35"/>
      <c r="AD909" s="3"/>
      <c r="AE909" s="3"/>
    </row>
    <row r="910" spans="9:31" x14ac:dyDescent="0.35">
      <c r="I910" s="35"/>
      <c r="O910" s="35"/>
      <c r="AD910" s="3"/>
      <c r="AE910" s="3"/>
    </row>
    <row r="911" spans="9:31" x14ac:dyDescent="0.35">
      <c r="I911" s="35"/>
      <c r="O911" s="35"/>
      <c r="AD911" s="3"/>
      <c r="AE911" s="3"/>
    </row>
    <row r="912" spans="9:31" x14ac:dyDescent="0.35">
      <c r="I912" s="35"/>
      <c r="O912" s="35"/>
      <c r="AD912" s="3"/>
      <c r="AE912" s="3"/>
    </row>
    <row r="913" spans="9:31" x14ac:dyDescent="0.35">
      <c r="I913" s="35"/>
      <c r="O913" s="35"/>
      <c r="AD913" s="3"/>
      <c r="AE913" s="3"/>
    </row>
    <row r="914" spans="9:31" x14ac:dyDescent="0.35">
      <c r="I914" s="35"/>
      <c r="O914" s="35"/>
      <c r="AD914" s="3"/>
      <c r="AE914" s="3"/>
    </row>
    <row r="915" spans="9:31" x14ac:dyDescent="0.35">
      <c r="I915" s="35"/>
      <c r="O915" s="35"/>
      <c r="AD915" s="3"/>
      <c r="AE915" s="3"/>
    </row>
    <row r="916" spans="9:31" x14ac:dyDescent="0.35">
      <c r="I916" s="35"/>
      <c r="O916" s="35"/>
      <c r="AD916" s="3"/>
      <c r="AE916" s="3"/>
    </row>
    <row r="917" spans="9:31" x14ac:dyDescent="0.35">
      <c r="I917" s="35"/>
      <c r="O917" s="35"/>
      <c r="AD917" s="3"/>
      <c r="AE917" s="3"/>
    </row>
    <row r="918" spans="9:31" x14ac:dyDescent="0.35">
      <c r="I918" s="35"/>
      <c r="O918" s="35"/>
      <c r="AD918" s="3"/>
      <c r="AE918" s="3"/>
    </row>
    <row r="919" spans="9:31" x14ac:dyDescent="0.35">
      <c r="I919" s="35"/>
      <c r="O919" s="35"/>
      <c r="AD919" s="3"/>
      <c r="AE919" s="3"/>
    </row>
    <row r="920" spans="9:31" x14ac:dyDescent="0.35">
      <c r="I920" s="35"/>
      <c r="O920" s="35"/>
      <c r="AD920" s="3"/>
      <c r="AE920" s="3"/>
    </row>
    <row r="921" spans="9:31" x14ac:dyDescent="0.35">
      <c r="I921" s="35"/>
      <c r="O921" s="35"/>
      <c r="AD921" s="3"/>
      <c r="AE921" s="3"/>
    </row>
    <row r="922" spans="9:31" x14ac:dyDescent="0.35">
      <c r="I922" s="35"/>
      <c r="O922" s="35"/>
      <c r="AD922" s="3"/>
      <c r="AE922" s="3"/>
    </row>
    <row r="923" spans="9:31" x14ac:dyDescent="0.35">
      <c r="I923" s="35"/>
      <c r="O923" s="35"/>
      <c r="AD923" s="3"/>
      <c r="AE923" s="3"/>
    </row>
    <row r="924" spans="9:31" x14ac:dyDescent="0.35">
      <c r="I924" s="35"/>
      <c r="O924" s="35"/>
      <c r="AD924" s="3"/>
      <c r="AE924" s="3"/>
    </row>
    <row r="925" spans="9:31" x14ac:dyDescent="0.35">
      <c r="I925" s="35"/>
      <c r="O925" s="35"/>
      <c r="AD925" s="3"/>
      <c r="AE925" s="3"/>
    </row>
    <row r="926" spans="9:31" x14ac:dyDescent="0.35">
      <c r="I926" s="35"/>
      <c r="O926" s="35"/>
      <c r="AD926" s="3"/>
      <c r="AE926" s="3"/>
    </row>
    <row r="927" spans="9:31" x14ac:dyDescent="0.35">
      <c r="I927" s="35"/>
      <c r="O927" s="35"/>
      <c r="AD927" s="3"/>
      <c r="AE927" s="3"/>
    </row>
    <row r="928" spans="9:31" x14ac:dyDescent="0.35">
      <c r="I928" s="35"/>
      <c r="O928" s="35"/>
      <c r="AD928" s="3"/>
      <c r="AE928" s="3"/>
    </row>
    <row r="929" spans="9:31" x14ac:dyDescent="0.35">
      <c r="I929" s="35"/>
      <c r="O929" s="35"/>
      <c r="AD929" s="3"/>
      <c r="AE929" s="3"/>
    </row>
    <row r="930" spans="9:31" x14ac:dyDescent="0.35">
      <c r="I930" s="35"/>
      <c r="O930" s="35"/>
      <c r="AD930" s="3"/>
      <c r="AE930" s="3"/>
    </row>
    <row r="931" spans="9:31" x14ac:dyDescent="0.35">
      <c r="I931" s="35"/>
      <c r="O931" s="35"/>
      <c r="AD931" s="3"/>
      <c r="AE931" s="3"/>
    </row>
    <row r="932" spans="9:31" x14ac:dyDescent="0.35">
      <c r="I932" s="35"/>
      <c r="O932" s="35"/>
      <c r="AD932" s="3"/>
      <c r="AE932" s="3"/>
    </row>
    <row r="933" spans="9:31" x14ac:dyDescent="0.35">
      <c r="I933" s="35"/>
      <c r="O933" s="35"/>
      <c r="AD933" s="3"/>
      <c r="AE933" s="3"/>
    </row>
    <row r="934" spans="9:31" x14ac:dyDescent="0.35">
      <c r="I934" s="35"/>
      <c r="O934" s="35"/>
      <c r="AD934" s="3"/>
      <c r="AE934" s="3"/>
    </row>
    <row r="935" spans="9:31" x14ac:dyDescent="0.35">
      <c r="I935" s="35"/>
      <c r="O935" s="35"/>
      <c r="AD935" s="3"/>
      <c r="AE935" s="3"/>
    </row>
    <row r="936" spans="9:31" x14ac:dyDescent="0.35">
      <c r="I936" s="35"/>
      <c r="O936" s="35"/>
      <c r="AD936" s="3"/>
      <c r="AE936" s="3"/>
    </row>
    <row r="937" spans="9:31" x14ac:dyDescent="0.35">
      <c r="I937" s="35"/>
      <c r="O937" s="35"/>
      <c r="AD937" s="3"/>
      <c r="AE937" s="3"/>
    </row>
    <row r="938" spans="9:31" x14ac:dyDescent="0.35">
      <c r="I938" s="35"/>
      <c r="O938" s="35"/>
      <c r="AD938" s="3"/>
      <c r="AE938" s="3"/>
    </row>
    <row r="939" spans="9:31" x14ac:dyDescent="0.35">
      <c r="I939" s="35"/>
      <c r="O939" s="35"/>
      <c r="AD939" s="3"/>
      <c r="AE939" s="3"/>
    </row>
    <row r="940" spans="9:31" x14ac:dyDescent="0.35">
      <c r="I940" s="35"/>
      <c r="O940" s="35"/>
      <c r="AD940" s="3"/>
      <c r="AE940" s="3"/>
    </row>
    <row r="941" spans="9:31" x14ac:dyDescent="0.35">
      <c r="I941" s="35"/>
      <c r="O941" s="35"/>
      <c r="AD941" s="3"/>
      <c r="AE941" s="3"/>
    </row>
    <row r="942" spans="9:31" x14ac:dyDescent="0.35">
      <c r="I942" s="35"/>
      <c r="O942" s="35"/>
      <c r="AD942" s="3"/>
      <c r="AE942" s="3"/>
    </row>
    <row r="943" spans="9:31" x14ac:dyDescent="0.35">
      <c r="I943" s="35"/>
      <c r="O943" s="35"/>
      <c r="AD943" s="3"/>
      <c r="AE943" s="3"/>
    </row>
    <row r="944" spans="9:31" x14ac:dyDescent="0.35">
      <c r="I944" s="35"/>
      <c r="O944" s="35"/>
      <c r="AD944" s="3"/>
      <c r="AE944" s="3"/>
    </row>
    <row r="945" spans="9:31" x14ac:dyDescent="0.35">
      <c r="I945" s="35"/>
      <c r="O945" s="35"/>
      <c r="AD945" s="3"/>
      <c r="AE945" s="3"/>
    </row>
    <row r="946" spans="9:31" x14ac:dyDescent="0.35">
      <c r="I946" s="35"/>
      <c r="O946" s="35"/>
      <c r="AD946" s="3"/>
      <c r="AE946" s="3"/>
    </row>
    <row r="947" spans="9:31" x14ac:dyDescent="0.35">
      <c r="I947" s="35"/>
      <c r="O947" s="35"/>
      <c r="AD947" s="3"/>
      <c r="AE947" s="3"/>
    </row>
    <row r="948" spans="9:31" x14ac:dyDescent="0.35">
      <c r="I948" s="35"/>
      <c r="O948" s="35"/>
      <c r="AD948" s="3"/>
      <c r="AE948" s="3"/>
    </row>
    <row r="949" spans="9:31" x14ac:dyDescent="0.35">
      <c r="I949" s="35"/>
      <c r="O949" s="35"/>
      <c r="AD949" s="3"/>
      <c r="AE949" s="3"/>
    </row>
    <row r="950" spans="9:31" x14ac:dyDescent="0.35">
      <c r="I950" s="35"/>
      <c r="O950" s="35"/>
      <c r="AD950" s="3"/>
      <c r="AE950" s="3"/>
    </row>
    <row r="951" spans="9:31" x14ac:dyDescent="0.35">
      <c r="I951" s="35"/>
      <c r="O951" s="35"/>
      <c r="AD951" s="3"/>
      <c r="AE951" s="3"/>
    </row>
    <row r="952" spans="9:31" x14ac:dyDescent="0.35">
      <c r="I952" s="35"/>
      <c r="O952" s="35"/>
      <c r="AD952" s="3"/>
      <c r="AE952" s="3"/>
    </row>
    <row r="953" spans="9:31" x14ac:dyDescent="0.35">
      <c r="I953" s="35"/>
      <c r="O953" s="35"/>
      <c r="AD953" s="3"/>
      <c r="AE953" s="3"/>
    </row>
    <row r="954" spans="9:31" x14ac:dyDescent="0.35">
      <c r="I954" s="35"/>
      <c r="O954" s="35"/>
      <c r="AD954" s="3"/>
      <c r="AE954" s="3"/>
    </row>
    <row r="955" spans="9:31" x14ac:dyDescent="0.35">
      <c r="I955" s="35"/>
      <c r="O955" s="35"/>
      <c r="AD955" s="3"/>
      <c r="AE955" s="3"/>
    </row>
    <row r="956" spans="9:31" x14ac:dyDescent="0.35">
      <c r="I956" s="35"/>
      <c r="O956" s="35"/>
      <c r="AD956" s="3"/>
      <c r="AE956" s="3"/>
    </row>
    <row r="957" spans="9:31" x14ac:dyDescent="0.35">
      <c r="I957" s="35"/>
      <c r="O957" s="35"/>
      <c r="AD957" s="3"/>
      <c r="AE957" s="3"/>
    </row>
    <row r="958" spans="9:31" x14ac:dyDescent="0.35">
      <c r="I958" s="35"/>
      <c r="O958" s="35"/>
      <c r="AD958" s="3"/>
      <c r="AE958" s="3"/>
    </row>
    <row r="959" spans="9:31" x14ac:dyDescent="0.35">
      <c r="I959" s="35"/>
      <c r="O959" s="35"/>
      <c r="AD959" s="3"/>
      <c r="AE959" s="3"/>
    </row>
    <row r="960" spans="9:31" x14ac:dyDescent="0.35">
      <c r="I960" s="35"/>
      <c r="O960" s="35"/>
      <c r="AD960" s="3"/>
      <c r="AE960" s="3"/>
    </row>
    <row r="961" spans="9:31" x14ac:dyDescent="0.35">
      <c r="I961" s="35"/>
      <c r="O961" s="35"/>
      <c r="AD961" s="3"/>
      <c r="AE961" s="3"/>
    </row>
    <row r="962" spans="9:31" x14ac:dyDescent="0.35">
      <c r="I962" s="35"/>
      <c r="O962" s="35"/>
      <c r="AD962" s="3"/>
      <c r="AE962" s="3"/>
    </row>
    <row r="963" spans="9:31" x14ac:dyDescent="0.35">
      <c r="I963" s="35"/>
      <c r="O963" s="35"/>
      <c r="AD963" s="3"/>
      <c r="AE963" s="3"/>
    </row>
    <row r="964" spans="9:31" x14ac:dyDescent="0.35">
      <c r="I964" s="35"/>
      <c r="O964" s="35"/>
      <c r="AD964" s="3"/>
      <c r="AE964" s="3"/>
    </row>
    <row r="965" spans="9:31" x14ac:dyDescent="0.35">
      <c r="I965" s="35"/>
      <c r="O965" s="35"/>
      <c r="AD965" s="3"/>
      <c r="AE965" s="3"/>
    </row>
    <row r="966" spans="9:31" x14ac:dyDescent="0.35">
      <c r="I966" s="35"/>
      <c r="O966" s="35"/>
      <c r="AD966" s="3"/>
      <c r="AE966" s="3"/>
    </row>
    <row r="967" spans="9:31" x14ac:dyDescent="0.35">
      <c r="I967" s="35"/>
      <c r="O967" s="35"/>
      <c r="AD967" s="3"/>
      <c r="AE967" s="3"/>
    </row>
    <row r="968" spans="9:31" x14ac:dyDescent="0.35">
      <c r="I968" s="35"/>
      <c r="O968" s="35"/>
      <c r="AD968" s="3"/>
      <c r="AE968" s="3"/>
    </row>
    <row r="969" spans="9:31" x14ac:dyDescent="0.35">
      <c r="I969" s="35"/>
      <c r="O969" s="35"/>
      <c r="AD969" s="3"/>
      <c r="AE969" s="3"/>
    </row>
    <row r="970" spans="9:31" x14ac:dyDescent="0.35">
      <c r="I970" s="35"/>
      <c r="O970" s="35"/>
      <c r="AD970" s="3"/>
      <c r="AE970" s="3"/>
    </row>
    <row r="971" spans="9:31" x14ac:dyDescent="0.35">
      <c r="I971" s="35"/>
      <c r="O971" s="35"/>
      <c r="AD971" s="3"/>
      <c r="AE971" s="3"/>
    </row>
    <row r="972" spans="9:31" x14ac:dyDescent="0.35">
      <c r="I972" s="35"/>
      <c r="O972" s="35"/>
      <c r="AD972" s="3"/>
      <c r="AE972" s="3"/>
    </row>
    <row r="973" spans="9:31" x14ac:dyDescent="0.35">
      <c r="I973" s="35"/>
      <c r="O973" s="35"/>
      <c r="AD973" s="3"/>
      <c r="AE973" s="3"/>
    </row>
    <row r="974" spans="9:31" x14ac:dyDescent="0.35">
      <c r="I974" s="35"/>
      <c r="O974" s="35"/>
      <c r="AD974" s="3"/>
      <c r="AE974" s="3"/>
    </row>
    <row r="975" spans="9:31" x14ac:dyDescent="0.35">
      <c r="I975" s="35"/>
      <c r="O975" s="35"/>
      <c r="AD975" s="3"/>
      <c r="AE975" s="3"/>
    </row>
    <row r="976" spans="9:31" x14ac:dyDescent="0.35">
      <c r="I976" s="35"/>
      <c r="O976" s="35"/>
      <c r="AD976" s="3"/>
      <c r="AE976" s="3"/>
    </row>
    <row r="977" spans="9:31" x14ac:dyDescent="0.35">
      <c r="I977" s="35"/>
      <c r="O977" s="35"/>
      <c r="AD977" s="3"/>
      <c r="AE977" s="3"/>
    </row>
    <row r="978" spans="9:31" x14ac:dyDescent="0.35">
      <c r="I978" s="35"/>
      <c r="O978" s="35"/>
      <c r="AD978" s="3"/>
      <c r="AE978" s="3"/>
    </row>
    <row r="979" spans="9:31" x14ac:dyDescent="0.35">
      <c r="I979" s="35"/>
      <c r="O979" s="35"/>
      <c r="AD979" s="3"/>
      <c r="AE979" s="3"/>
    </row>
    <row r="980" spans="9:31" x14ac:dyDescent="0.35">
      <c r="I980" s="35"/>
      <c r="O980" s="35"/>
      <c r="AD980" s="3"/>
      <c r="AE980" s="3"/>
    </row>
    <row r="981" spans="9:31" x14ac:dyDescent="0.35">
      <c r="I981" s="35"/>
      <c r="O981" s="35"/>
      <c r="AD981" s="3"/>
      <c r="AE981" s="3"/>
    </row>
    <row r="982" spans="9:31" x14ac:dyDescent="0.35">
      <c r="I982" s="35"/>
      <c r="O982" s="35"/>
      <c r="AD982" s="3"/>
      <c r="AE982" s="3"/>
    </row>
    <row r="983" spans="9:31" x14ac:dyDescent="0.35">
      <c r="I983" s="35"/>
      <c r="O983" s="35"/>
      <c r="AD983" s="3"/>
      <c r="AE983" s="3"/>
    </row>
    <row r="984" spans="9:31" x14ac:dyDescent="0.35">
      <c r="I984" s="35"/>
      <c r="O984" s="35"/>
      <c r="AD984" s="3"/>
      <c r="AE984" s="3"/>
    </row>
    <row r="985" spans="9:31" x14ac:dyDescent="0.35">
      <c r="I985" s="35"/>
      <c r="O985" s="35"/>
      <c r="AD985" s="3"/>
      <c r="AE985" s="3"/>
    </row>
    <row r="986" spans="9:31" x14ac:dyDescent="0.35">
      <c r="I986" s="35"/>
      <c r="O986" s="35"/>
      <c r="AD986" s="3"/>
      <c r="AE986" s="3"/>
    </row>
    <row r="987" spans="9:31" x14ac:dyDescent="0.35">
      <c r="I987" s="35"/>
      <c r="O987" s="35"/>
      <c r="AD987" s="3"/>
      <c r="AE987" s="3"/>
    </row>
    <row r="988" spans="9:31" x14ac:dyDescent="0.35">
      <c r="I988" s="35"/>
      <c r="O988" s="35"/>
      <c r="AD988" s="3"/>
      <c r="AE988" s="3"/>
    </row>
    <row r="989" spans="9:31" x14ac:dyDescent="0.35">
      <c r="I989" s="35"/>
      <c r="O989" s="35"/>
      <c r="AD989" s="3"/>
      <c r="AE989" s="3"/>
    </row>
    <row r="990" spans="9:31" x14ac:dyDescent="0.35">
      <c r="I990" s="35"/>
      <c r="O990" s="35"/>
      <c r="AD990" s="3"/>
      <c r="AE990" s="3"/>
    </row>
    <row r="991" spans="9:31" x14ac:dyDescent="0.35">
      <c r="I991" s="35"/>
      <c r="O991" s="35"/>
      <c r="AD991" s="3"/>
      <c r="AE991" s="3"/>
    </row>
    <row r="992" spans="9:31" x14ac:dyDescent="0.35">
      <c r="I992" s="35"/>
      <c r="O992" s="35"/>
      <c r="AD992" s="3"/>
      <c r="AE992" s="3"/>
    </row>
    <row r="993" spans="9:31" x14ac:dyDescent="0.35">
      <c r="I993" s="35"/>
      <c r="O993" s="35"/>
      <c r="AD993" s="3"/>
      <c r="AE993" s="3"/>
    </row>
    <row r="994" spans="9:31" x14ac:dyDescent="0.35">
      <c r="I994" s="35"/>
      <c r="O994" s="35"/>
      <c r="AD994" s="3"/>
      <c r="AE994" s="3"/>
    </row>
    <row r="995" spans="9:31" x14ac:dyDescent="0.35">
      <c r="I995" s="35"/>
      <c r="O995" s="35"/>
      <c r="AD995" s="3"/>
      <c r="AE995" s="3"/>
    </row>
    <row r="996" spans="9:31" x14ac:dyDescent="0.35">
      <c r="I996" s="35"/>
      <c r="O996" s="35"/>
      <c r="AD996" s="3"/>
      <c r="AE996" s="3"/>
    </row>
    <row r="997" spans="9:31" x14ac:dyDescent="0.35">
      <c r="I997" s="35"/>
      <c r="O997" s="35"/>
      <c r="AD997" s="3"/>
      <c r="AE997" s="3"/>
    </row>
    <row r="998" spans="9:31" x14ac:dyDescent="0.35">
      <c r="I998" s="35"/>
      <c r="O998" s="35"/>
      <c r="AD998" s="3"/>
      <c r="AE998" s="3"/>
    </row>
    <row r="999" spans="9:31" x14ac:dyDescent="0.35">
      <c r="I999" s="35"/>
      <c r="O999" s="35"/>
      <c r="AD999" s="3"/>
      <c r="AE999" s="3"/>
    </row>
    <row r="1000" spans="9:31" x14ac:dyDescent="0.35">
      <c r="I1000" s="35"/>
      <c r="O1000" s="35"/>
      <c r="AD1000" s="3"/>
      <c r="AE1000" s="3"/>
    </row>
    <row r="1001" spans="9:31" x14ac:dyDescent="0.35">
      <c r="I1001" s="35"/>
      <c r="O1001" s="35"/>
    </row>
    <row r="1002" spans="9:31" x14ac:dyDescent="0.35">
      <c r="I1002" s="35"/>
      <c r="O1002" s="35"/>
    </row>
    <row r="1003" spans="9:31" x14ac:dyDescent="0.35">
      <c r="I1003" s="35"/>
      <c r="O1003" s="35"/>
    </row>
    <row r="1004" spans="9:31" x14ac:dyDescent="0.35">
      <c r="I1004" s="35"/>
      <c r="O1004" s="35"/>
    </row>
    <row r="1005" spans="9:31" x14ac:dyDescent="0.35">
      <c r="I1005" s="35"/>
      <c r="O1005" s="35"/>
    </row>
    <row r="1006" spans="9:31" x14ac:dyDescent="0.35">
      <c r="I1006" s="35"/>
      <c r="O1006" s="35"/>
    </row>
    <row r="1007" spans="9:31" x14ac:dyDescent="0.35">
      <c r="I1007" s="35"/>
      <c r="O1007" s="35"/>
    </row>
    <row r="1008" spans="9:31" x14ac:dyDescent="0.35">
      <c r="I1008" s="35"/>
      <c r="O1008" s="35"/>
    </row>
    <row r="1009" spans="9:15" x14ac:dyDescent="0.35">
      <c r="I1009" s="35"/>
      <c r="O1009" s="35"/>
    </row>
    <row r="1010" spans="9:15" x14ac:dyDescent="0.35">
      <c r="I1010" s="35"/>
      <c r="O1010" s="35"/>
    </row>
    <row r="1011" spans="9:15" x14ac:dyDescent="0.35">
      <c r="I1011" s="35"/>
      <c r="O1011" s="35"/>
    </row>
    <row r="1012" spans="9:15" x14ac:dyDescent="0.35">
      <c r="I1012" s="35"/>
      <c r="O1012" s="35"/>
    </row>
    <row r="1013" spans="9:15" x14ac:dyDescent="0.35">
      <c r="I1013" s="35"/>
      <c r="O1013" s="35"/>
    </row>
    <row r="1014" spans="9:15" x14ac:dyDescent="0.35">
      <c r="I1014" s="35"/>
      <c r="O1014" s="35"/>
    </row>
    <row r="1015" spans="9:15" x14ac:dyDescent="0.35">
      <c r="I1015" s="35"/>
      <c r="O1015" s="35"/>
    </row>
    <row r="1016" spans="9:15" x14ac:dyDescent="0.35">
      <c r="I1016" s="35"/>
      <c r="O1016" s="35"/>
    </row>
    <row r="1017" spans="9:15" x14ac:dyDescent="0.35">
      <c r="I1017" s="35"/>
      <c r="O1017" s="35"/>
    </row>
    <row r="1018" spans="9:15" x14ac:dyDescent="0.35">
      <c r="I1018" s="35"/>
      <c r="O1018" s="35"/>
    </row>
    <row r="1019" spans="9:15" x14ac:dyDescent="0.35">
      <c r="I1019" s="35"/>
      <c r="O1019" s="35"/>
    </row>
    <row r="1020" spans="9:15" x14ac:dyDescent="0.35">
      <c r="I1020" s="35"/>
      <c r="O1020" s="35"/>
    </row>
    <row r="1021" spans="9:15" x14ac:dyDescent="0.35">
      <c r="I1021" s="35"/>
      <c r="O1021" s="35"/>
    </row>
    <row r="1022" spans="9:15" x14ac:dyDescent="0.35">
      <c r="I1022" s="35"/>
      <c r="O1022" s="35"/>
    </row>
    <row r="1023" spans="9:15" x14ac:dyDescent="0.35">
      <c r="I1023" s="35"/>
      <c r="O1023" s="35"/>
    </row>
    <row r="1024" spans="9:15" x14ac:dyDescent="0.35">
      <c r="I1024" s="35"/>
      <c r="O1024" s="35"/>
    </row>
    <row r="1025" spans="9:15" x14ac:dyDescent="0.35">
      <c r="I1025" s="35"/>
      <c r="O1025" s="35"/>
    </row>
    <row r="1026" spans="9:15" x14ac:dyDescent="0.35">
      <c r="I1026" s="35"/>
      <c r="O1026" s="35"/>
    </row>
    <row r="1027" spans="9:15" x14ac:dyDescent="0.35">
      <c r="I1027" s="35"/>
      <c r="O1027" s="35"/>
    </row>
    <row r="1028" spans="9:15" x14ac:dyDescent="0.35">
      <c r="I1028" s="35"/>
      <c r="O1028" s="35"/>
    </row>
    <row r="1029" spans="9:15" x14ac:dyDescent="0.35">
      <c r="I1029" s="35"/>
      <c r="O1029" s="35"/>
    </row>
    <row r="1030" spans="9:15" x14ac:dyDescent="0.35">
      <c r="I1030" s="35"/>
      <c r="O1030" s="35"/>
    </row>
    <row r="1031" spans="9:15" x14ac:dyDescent="0.35">
      <c r="I1031" s="35"/>
      <c r="O1031" s="35"/>
    </row>
    <row r="1032" spans="9:15" x14ac:dyDescent="0.35">
      <c r="I1032" s="35"/>
      <c r="O1032" s="35"/>
    </row>
    <row r="1033" spans="9:15" x14ac:dyDescent="0.35">
      <c r="I1033" s="35"/>
      <c r="O1033" s="35"/>
    </row>
    <row r="1034" spans="9:15" x14ac:dyDescent="0.35">
      <c r="I1034" s="35"/>
      <c r="O1034" s="35"/>
    </row>
    <row r="1035" spans="9:15" x14ac:dyDescent="0.35">
      <c r="I1035" s="35"/>
      <c r="O1035" s="35"/>
    </row>
    <row r="1036" spans="9:15" x14ac:dyDescent="0.35">
      <c r="I1036" s="35"/>
      <c r="O1036" s="35"/>
    </row>
    <row r="1037" spans="9:15" x14ac:dyDescent="0.35">
      <c r="I1037" s="35"/>
      <c r="O1037" s="35"/>
    </row>
    <row r="1038" spans="9:15" x14ac:dyDescent="0.35">
      <c r="I1038" s="35"/>
      <c r="O1038" s="35"/>
    </row>
    <row r="1039" spans="9:15" x14ac:dyDescent="0.35">
      <c r="I1039" s="35"/>
      <c r="O1039" s="35"/>
    </row>
    <row r="1040" spans="9:15" x14ac:dyDescent="0.35">
      <c r="I1040" s="35"/>
      <c r="O1040" s="35"/>
    </row>
    <row r="1041" spans="9:15" x14ac:dyDescent="0.35">
      <c r="I1041" s="35"/>
      <c r="O1041" s="35"/>
    </row>
    <row r="1042" spans="9:15" x14ac:dyDescent="0.35">
      <c r="I1042" s="35"/>
      <c r="O1042" s="35"/>
    </row>
    <row r="1043" spans="9:15" x14ac:dyDescent="0.35">
      <c r="I1043" s="35"/>
      <c r="O1043" s="35"/>
    </row>
    <row r="1044" spans="9:15" x14ac:dyDescent="0.35">
      <c r="I1044" s="35"/>
      <c r="O1044" s="35"/>
    </row>
    <row r="1045" spans="9:15" x14ac:dyDescent="0.35">
      <c r="I1045" s="35"/>
      <c r="O1045" s="35"/>
    </row>
    <row r="1046" spans="9:15" x14ac:dyDescent="0.35">
      <c r="I1046" s="35"/>
      <c r="O1046" s="35"/>
    </row>
    <row r="1047" spans="9:15" x14ac:dyDescent="0.35">
      <c r="I1047" s="35"/>
      <c r="O1047" s="35"/>
    </row>
    <row r="1048" spans="9:15" x14ac:dyDescent="0.35">
      <c r="I1048" s="35"/>
      <c r="O1048" s="35"/>
    </row>
    <row r="1049" spans="9:15" x14ac:dyDescent="0.35">
      <c r="I1049" s="35"/>
      <c r="O1049" s="35"/>
    </row>
    <row r="1050" spans="9:15" x14ac:dyDescent="0.35">
      <c r="I1050" s="35"/>
      <c r="O1050" s="35"/>
    </row>
    <row r="1051" spans="9:15" x14ac:dyDescent="0.35">
      <c r="I1051" s="35"/>
      <c r="O1051" s="35"/>
    </row>
    <row r="1052" spans="9:15" x14ac:dyDescent="0.35">
      <c r="I1052" s="35"/>
      <c r="O1052" s="35"/>
    </row>
    <row r="1053" spans="9:15" x14ac:dyDescent="0.35">
      <c r="I1053" s="35"/>
      <c r="O1053" s="35"/>
    </row>
    <row r="1054" spans="9:15" x14ac:dyDescent="0.35">
      <c r="I1054" s="35"/>
      <c r="O1054" s="35"/>
    </row>
    <row r="1055" spans="9:15" x14ac:dyDescent="0.35">
      <c r="I1055" s="35"/>
      <c r="O1055" s="35"/>
    </row>
    <row r="1056" spans="9:15" x14ac:dyDescent="0.35">
      <c r="I1056" s="35"/>
      <c r="O1056" s="35"/>
    </row>
    <row r="1057" spans="9:15" x14ac:dyDescent="0.35">
      <c r="I1057" s="35"/>
      <c r="O1057" s="35"/>
    </row>
    <row r="1058" spans="9:15" x14ac:dyDescent="0.35">
      <c r="I1058" s="35"/>
      <c r="O1058" s="35"/>
    </row>
    <row r="1059" spans="9:15" x14ac:dyDescent="0.35">
      <c r="I1059" s="35"/>
      <c r="O1059" s="35"/>
    </row>
    <row r="1060" spans="9:15" x14ac:dyDescent="0.35">
      <c r="I1060" s="35"/>
      <c r="O1060" s="35"/>
    </row>
    <row r="1061" spans="9:15" x14ac:dyDescent="0.35">
      <c r="I1061" s="35"/>
      <c r="O1061" s="35"/>
    </row>
    <row r="1062" spans="9:15" x14ac:dyDescent="0.35">
      <c r="I1062" s="35"/>
      <c r="O1062" s="35"/>
    </row>
    <row r="1063" spans="9:15" x14ac:dyDescent="0.35">
      <c r="I1063" s="35"/>
      <c r="O1063" s="35"/>
    </row>
    <row r="1064" spans="9:15" x14ac:dyDescent="0.35">
      <c r="I1064" s="35"/>
      <c r="O1064" s="35"/>
    </row>
    <row r="1065" spans="9:15" x14ac:dyDescent="0.35">
      <c r="I1065" s="35"/>
      <c r="O1065" s="35"/>
    </row>
    <row r="1066" spans="9:15" x14ac:dyDescent="0.35">
      <c r="I1066" s="35"/>
      <c r="O1066" s="35"/>
    </row>
    <row r="1067" spans="9:15" x14ac:dyDescent="0.35">
      <c r="I1067" s="35"/>
      <c r="O1067" s="35"/>
    </row>
    <row r="1068" spans="9:15" x14ac:dyDescent="0.35">
      <c r="I1068" s="35"/>
      <c r="O1068" s="35"/>
    </row>
    <row r="1069" spans="9:15" x14ac:dyDescent="0.35">
      <c r="I1069" s="35"/>
      <c r="O1069" s="35"/>
    </row>
    <row r="1070" spans="9:15" x14ac:dyDescent="0.35">
      <c r="I1070" s="35"/>
      <c r="O1070" s="35"/>
    </row>
    <row r="1071" spans="9:15" x14ac:dyDescent="0.35">
      <c r="I1071" s="35"/>
      <c r="O1071" s="35"/>
    </row>
    <row r="1072" spans="9:15" x14ac:dyDescent="0.35">
      <c r="I1072" s="35"/>
      <c r="O1072" s="35"/>
    </row>
    <row r="1073" spans="9:15" x14ac:dyDescent="0.35">
      <c r="I1073" s="35"/>
      <c r="O1073" s="35"/>
    </row>
    <row r="1074" spans="9:15" x14ac:dyDescent="0.35">
      <c r="I1074" s="35"/>
      <c r="O1074" s="35"/>
    </row>
    <row r="1075" spans="9:15" x14ac:dyDescent="0.35">
      <c r="I1075" s="35"/>
      <c r="O1075" s="35"/>
    </row>
    <row r="1076" spans="9:15" x14ac:dyDescent="0.35">
      <c r="I1076" s="35"/>
      <c r="O1076" s="35"/>
    </row>
    <row r="1077" spans="9:15" x14ac:dyDescent="0.35">
      <c r="I1077" s="35"/>
      <c r="O1077" s="35"/>
    </row>
    <row r="1078" spans="9:15" x14ac:dyDescent="0.35">
      <c r="I1078" s="35"/>
      <c r="O1078" s="35"/>
    </row>
    <row r="1079" spans="9:15" x14ac:dyDescent="0.35">
      <c r="I1079" s="35"/>
      <c r="O1079" s="35"/>
    </row>
    <row r="1080" spans="9:15" x14ac:dyDescent="0.35">
      <c r="I1080" s="35"/>
      <c r="O1080" s="35"/>
    </row>
    <row r="1081" spans="9:15" x14ac:dyDescent="0.35">
      <c r="I1081" s="35"/>
      <c r="O1081" s="35"/>
    </row>
    <row r="1082" spans="9:15" x14ac:dyDescent="0.35">
      <c r="I1082" s="35"/>
      <c r="O1082" s="35"/>
    </row>
    <row r="1083" spans="9:15" x14ac:dyDescent="0.35">
      <c r="I1083" s="35"/>
      <c r="O1083" s="35"/>
    </row>
    <row r="1084" spans="9:15" x14ac:dyDescent="0.35">
      <c r="I1084" s="35"/>
      <c r="O1084" s="35"/>
    </row>
    <row r="1085" spans="9:15" x14ac:dyDescent="0.35">
      <c r="I1085" s="35"/>
      <c r="O1085" s="35"/>
    </row>
    <row r="1086" spans="9:15" x14ac:dyDescent="0.35">
      <c r="I1086" s="35"/>
      <c r="O1086" s="35"/>
    </row>
    <row r="1087" spans="9:15" x14ac:dyDescent="0.35">
      <c r="I1087" s="35"/>
      <c r="O1087" s="35"/>
    </row>
    <row r="1088" spans="9:15" x14ac:dyDescent="0.35">
      <c r="I1088" s="35"/>
      <c r="O1088" s="35"/>
    </row>
    <row r="1089" spans="9:15" x14ac:dyDescent="0.35">
      <c r="I1089" s="35"/>
      <c r="O1089" s="35"/>
    </row>
    <row r="1090" spans="9:15" x14ac:dyDescent="0.35">
      <c r="I1090" s="35"/>
      <c r="O1090" s="35"/>
    </row>
    <row r="1091" spans="9:15" x14ac:dyDescent="0.35">
      <c r="I1091" s="35"/>
      <c r="O1091" s="35"/>
    </row>
    <row r="1092" spans="9:15" x14ac:dyDescent="0.35">
      <c r="I1092" s="35"/>
      <c r="O1092" s="35"/>
    </row>
    <row r="1093" spans="9:15" x14ac:dyDescent="0.35">
      <c r="I1093" s="35"/>
      <c r="O1093" s="35"/>
    </row>
    <row r="1094" spans="9:15" x14ac:dyDescent="0.35">
      <c r="I1094" s="35"/>
      <c r="O1094" s="35"/>
    </row>
    <row r="1095" spans="9:15" x14ac:dyDescent="0.35">
      <c r="I1095" s="35"/>
      <c r="O1095" s="35"/>
    </row>
    <row r="1096" spans="9:15" x14ac:dyDescent="0.35">
      <c r="I1096" s="35"/>
      <c r="O1096" s="35"/>
    </row>
    <row r="1097" spans="9:15" x14ac:dyDescent="0.35">
      <c r="I1097" s="35"/>
      <c r="O1097" s="35"/>
    </row>
    <row r="1098" spans="9:15" x14ac:dyDescent="0.35">
      <c r="I1098" s="35"/>
      <c r="O1098" s="35"/>
    </row>
    <row r="1099" spans="9:15" x14ac:dyDescent="0.35">
      <c r="I1099" s="35"/>
      <c r="O1099" s="35"/>
    </row>
    <row r="1100" spans="9:15" x14ac:dyDescent="0.35">
      <c r="I1100" s="35"/>
      <c r="O1100" s="35"/>
    </row>
    <row r="1101" spans="9:15" x14ac:dyDescent="0.35">
      <c r="I1101" s="35"/>
      <c r="O1101" s="35"/>
    </row>
    <row r="1102" spans="9:15" x14ac:dyDescent="0.35">
      <c r="I1102" s="35"/>
      <c r="O1102" s="35"/>
    </row>
    <row r="1103" spans="9:15" x14ac:dyDescent="0.35">
      <c r="I1103" s="35"/>
      <c r="O1103" s="35"/>
    </row>
    <row r="1104" spans="9:15" x14ac:dyDescent="0.35">
      <c r="I1104" s="35"/>
      <c r="O1104" s="35"/>
    </row>
    <row r="1105" spans="9:15" x14ac:dyDescent="0.35">
      <c r="I1105" s="35"/>
      <c r="O1105" s="35"/>
    </row>
    <row r="1106" spans="9:15" x14ac:dyDescent="0.35">
      <c r="I1106" s="35"/>
      <c r="O1106" s="35"/>
    </row>
    <row r="1107" spans="9:15" x14ac:dyDescent="0.35">
      <c r="I1107" s="35"/>
      <c r="O1107" s="35"/>
    </row>
    <row r="1108" spans="9:15" x14ac:dyDescent="0.35">
      <c r="I1108" s="35"/>
      <c r="O1108" s="35"/>
    </row>
    <row r="1109" spans="9:15" x14ac:dyDescent="0.35">
      <c r="I1109" s="35"/>
      <c r="O1109" s="35"/>
    </row>
    <row r="1110" spans="9:15" x14ac:dyDescent="0.35">
      <c r="I1110" s="35"/>
      <c r="O1110" s="35"/>
    </row>
    <row r="1111" spans="9:15" x14ac:dyDescent="0.35">
      <c r="I1111" s="35"/>
      <c r="O1111" s="35"/>
    </row>
    <row r="1112" spans="9:15" x14ac:dyDescent="0.35">
      <c r="I1112" s="35"/>
      <c r="O1112" s="35"/>
    </row>
    <row r="1113" spans="9:15" x14ac:dyDescent="0.35">
      <c r="I1113" s="35"/>
      <c r="O1113" s="35"/>
    </row>
    <row r="1114" spans="9:15" x14ac:dyDescent="0.35">
      <c r="I1114" s="35"/>
      <c r="O1114" s="35"/>
    </row>
    <row r="1115" spans="9:15" x14ac:dyDescent="0.35">
      <c r="I1115" s="35"/>
      <c r="O1115" s="35"/>
    </row>
    <row r="1116" spans="9:15" x14ac:dyDescent="0.35">
      <c r="I1116" s="35"/>
      <c r="O1116" s="35"/>
    </row>
    <row r="1117" spans="9:15" x14ac:dyDescent="0.35">
      <c r="I1117" s="35"/>
      <c r="O1117" s="35"/>
    </row>
    <row r="1118" spans="9:15" x14ac:dyDescent="0.35">
      <c r="I1118" s="35"/>
      <c r="O1118" s="35"/>
    </row>
    <row r="1119" spans="9:15" x14ac:dyDescent="0.35">
      <c r="I1119" s="35"/>
      <c r="O1119" s="35"/>
    </row>
    <row r="1120" spans="9:15" x14ac:dyDescent="0.35">
      <c r="I1120" s="35"/>
      <c r="O1120" s="35"/>
    </row>
    <row r="1121" spans="9:15" x14ac:dyDescent="0.35">
      <c r="I1121" s="35"/>
      <c r="O1121" s="35"/>
    </row>
    <row r="1122" spans="9:15" x14ac:dyDescent="0.35">
      <c r="I1122" s="35"/>
      <c r="O1122" s="35"/>
    </row>
    <row r="1123" spans="9:15" x14ac:dyDescent="0.35">
      <c r="I1123" s="35"/>
      <c r="O1123" s="35"/>
    </row>
    <row r="1124" spans="9:15" x14ac:dyDescent="0.35">
      <c r="I1124" s="35"/>
      <c r="O1124" s="35"/>
    </row>
    <row r="1125" spans="9:15" x14ac:dyDescent="0.35">
      <c r="I1125" s="35"/>
      <c r="O1125" s="35"/>
    </row>
    <row r="1126" spans="9:15" x14ac:dyDescent="0.35">
      <c r="I1126" s="35"/>
      <c r="O1126" s="35"/>
    </row>
    <row r="1127" spans="9:15" x14ac:dyDescent="0.35">
      <c r="I1127" s="35"/>
      <c r="O1127" s="35"/>
    </row>
    <row r="1128" spans="9:15" x14ac:dyDescent="0.35">
      <c r="I1128" s="35"/>
      <c r="O1128" s="35"/>
    </row>
    <row r="1129" spans="9:15" x14ac:dyDescent="0.35">
      <c r="I1129" s="35"/>
      <c r="O1129" s="35"/>
    </row>
    <row r="1130" spans="9:15" x14ac:dyDescent="0.35">
      <c r="I1130" s="35"/>
      <c r="O1130" s="35"/>
    </row>
    <row r="1131" spans="9:15" x14ac:dyDescent="0.35">
      <c r="I1131" s="35"/>
      <c r="O1131" s="35"/>
    </row>
    <row r="1132" spans="9:15" x14ac:dyDescent="0.35">
      <c r="I1132" s="35"/>
      <c r="O1132" s="35"/>
    </row>
    <row r="1133" spans="9:15" x14ac:dyDescent="0.35">
      <c r="I1133" s="35"/>
      <c r="O1133" s="35"/>
    </row>
    <row r="1134" spans="9:15" x14ac:dyDescent="0.35">
      <c r="I1134" s="35"/>
      <c r="O1134" s="35"/>
    </row>
    <row r="1135" spans="9:15" x14ac:dyDescent="0.35">
      <c r="I1135" s="35"/>
      <c r="O1135" s="35"/>
    </row>
    <row r="1136" spans="9:15" x14ac:dyDescent="0.35">
      <c r="I1136" s="35"/>
      <c r="O1136" s="35"/>
    </row>
    <row r="1137" spans="9:15" x14ac:dyDescent="0.35">
      <c r="I1137" s="35"/>
      <c r="O1137" s="35"/>
    </row>
    <row r="1138" spans="9:15" x14ac:dyDescent="0.35">
      <c r="I1138" s="35"/>
      <c r="O1138" s="35"/>
    </row>
    <row r="1139" spans="9:15" x14ac:dyDescent="0.35">
      <c r="I1139" s="35"/>
      <c r="O1139" s="35"/>
    </row>
    <row r="1140" spans="9:15" x14ac:dyDescent="0.35">
      <c r="I1140" s="35"/>
      <c r="O1140" s="35"/>
    </row>
    <row r="1141" spans="9:15" x14ac:dyDescent="0.35">
      <c r="I1141" s="35"/>
      <c r="O1141" s="35"/>
    </row>
    <row r="1142" spans="9:15" x14ac:dyDescent="0.35">
      <c r="I1142" s="35"/>
      <c r="O1142" s="35"/>
    </row>
    <row r="1143" spans="9:15" x14ac:dyDescent="0.35">
      <c r="I1143" s="35"/>
      <c r="O1143" s="35"/>
    </row>
    <row r="1144" spans="9:15" x14ac:dyDescent="0.35">
      <c r="I1144" s="35"/>
      <c r="O1144" s="35"/>
    </row>
    <row r="1145" spans="9:15" x14ac:dyDescent="0.35">
      <c r="I1145" s="35"/>
      <c r="O1145" s="35"/>
    </row>
    <row r="1146" spans="9:15" x14ac:dyDescent="0.35">
      <c r="I1146" s="35"/>
      <c r="O1146" s="35"/>
    </row>
    <row r="1147" spans="9:15" x14ac:dyDescent="0.35">
      <c r="I1147" s="35"/>
      <c r="O1147" s="35"/>
    </row>
    <row r="1148" spans="9:15" x14ac:dyDescent="0.35">
      <c r="I1148" s="35"/>
      <c r="O1148" s="35"/>
    </row>
    <row r="1149" spans="9:15" x14ac:dyDescent="0.35">
      <c r="I1149" s="35"/>
      <c r="O1149" s="35"/>
    </row>
    <row r="1150" spans="9:15" x14ac:dyDescent="0.35">
      <c r="I1150" s="35"/>
      <c r="O1150" s="35"/>
    </row>
    <row r="1151" spans="9:15" x14ac:dyDescent="0.35">
      <c r="I1151" s="35"/>
      <c r="O1151" s="35"/>
    </row>
    <row r="1152" spans="9:15" x14ac:dyDescent="0.35">
      <c r="I1152" s="35"/>
      <c r="O1152" s="35"/>
    </row>
    <row r="1153" spans="9:15" x14ac:dyDescent="0.35">
      <c r="I1153" s="35"/>
      <c r="O1153" s="35"/>
    </row>
    <row r="1154" spans="9:15" x14ac:dyDescent="0.35">
      <c r="I1154" s="35"/>
      <c r="O1154" s="35"/>
    </row>
    <row r="1155" spans="9:15" x14ac:dyDescent="0.35">
      <c r="I1155" s="35"/>
      <c r="O1155" s="35"/>
    </row>
    <row r="1156" spans="9:15" x14ac:dyDescent="0.35">
      <c r="I1156" s="35"/>
      <c r="O1156" s="35"/>
    </row>
    <row r="1157" spans="9:15" x14ac:dyDescent="0.35">
      <c r="I1157" s="35"/>
      <c r="O1157" s="35"/>
    </row>
    <row r="1158" spans="9:15" x14ac:dyDescent="0.35">
      <c r="I1158" s="35"/>
      <c r="O1158" s="35"/>
    </row>
    <row r="1159" spans="9:15" x14ac:dyDescent="0.35">
      <c r="I1159" s="35"/>
      <c r="O1159" s="35"/>
    </row>
    <row r="1160" spans="9:15" x14ac:dyDescent="0.35">
      <c r="I1160" s="35"/>
      <c r="O1160" s="35"/>
    </row>
    <row r="1161" spans="9:15" x14ac:dyDescent="0.35">
      <c r="I1161" s="35"/>
      <c r="O1161" s="35"/>
    </row>
    <row r="1162" spans="9:15" x14ac:dyDescent="0.35">
      <c r="I1162" s="35"/>
      <c r="O1162" s="35"/>
    </row>
    <row r="1163" spans="9:15" x14ac:dyDescent="0.35">
      <c r="I1163" s="35"/>
      <c r="O1163" s="35"/>
    </row>
    <row r="1164" spans="9:15" x14ac:dyDescent="0.35">
      <c r="I1164" s="35"/>
      <c r="O1164" s="35"/>
    </row>
    <row r="1165" spans="9:15" x14ac:dyDescent="0.35">
      <c r="I1165" s="35"/>
      <c r="O1165" s="35"/>
    </row>
    <row r="1166" spans="9:15" x14ac:dyDescent="0.35">
      <c r="I1166" s="35"/>
      <c r="O1166" s="35"/>
    </row>
    <row r="1167" spans="9:15" x14ac:dyDescent="0.35">
      <c r="I1167" s="35"/>
      <c r="O1167" s="35"/>
    </row>
    <row r="1168" spans="9:15" x14ac:dyDescent="0.35">
      <c r="I1168" s="35"/>
      <c r="O1168" s="35"/>
    </row>
    <row r="1169" spans="9:15" x14ac:dyDescent="0.35">
      <c r="I1169" s="35"/>
      <c r="O1169" s="35"/>
    </row>
    <row r="1170" spans="9:15" x14ac:dyDescent="0.35">
      <c r="I1170" s="35"/>
      <c r="O1170" s="35"/>
    </row>
    <row r="1171" spans="9:15" x14ac:dyDescent="0.35">
      <c r="I1171" s="35"/>
      <c r="O1171" s="35"/>
    </row>
    <row r="1172" spans="9:15" x14ac:dyDescent="0.35">
      <c r="I1172" s="35"/>
      <c r="O1172" s="35"/>
    </row>
    <row r="1173" spans="9:15" x14ac:dyDescent="0.35">
      <c r="I1173" s="35"/>
      <c r="O1173" s="35"/>
    </row>
    <row r="1174" spans="9:15" x14ac:dyDescent="0.35">
      <c r="I1174" s="35"/>
      <c r="O1174" s="35"/>
    </row>
    <row r="1175" spans="9:15" x14ac:dyDescent="0.35">
      <c r="I1175" s="35"/>
      <c r="O1175" s="35"/>
    </row>
    <row r="1176" spans="9:15" x14ac:dyDescent="0.35">
      <c r="I1176" s="35"/>
      <c r="O1176" s="35"/>
    </row>
    <row r="1177" spans="9:15" x14ac:dyDescent="0.35">
      <c r="I1177" s="35"/>
      <c r="O1177" s="35"/>
    </row>
    <row r="1178" spans="9:15" x14ac:dyDescent="0.35">
      <c r="I1178" s="35"/>
      <c r="O1178" s="35"/>
    </row>
    <row r="1179" spans="9:15" x14ac:dyDescent="0.35">
      <c r="I1179" s="35"/>
      <c r="O1179" s="35"/>
    </row>
    <row r="1180" spans="9:15" x14ac:dyDescent="0.35">
      <c r="I1180" s="35"/>
      <c r="O1180" s="35"/>
    </row>
    <row r="1181" spans="9:15" x14ac:dyDescent="0.35">
      <c r="I1181" s="35"/>
      <c r="O1181" s="35"/>
    </row>
    <row r="1182" spans="9:15" x14ac:dyDescent="0.35">
      <c r="I1182" s="35"/>
      <c r="O1182" s="35"/>
    </row>
    <row r="1183" spans="9:15" x14ac:dyDescent="0.35">
      <c r="I1183" s="35"/>
      <c r="O1183" s="35"/>
    </row>
    <row r="1184" spans="9:15" x14ac:dyDescent="0.35">
      <c r="I1184" s="35"/>
      <c r="O1184" s="35"/>
    </row>
    <row r="1185" spans="9:15" x14ac:dyDescent="0.35">
      <c r="I1185" s="35"/>
      <c r="O1185" s="35"/>
    </row>
    <row r="1186" spans="9:15" x14ac:dyDescent="0.35">
      <c r="I1186" s="35"/>
      <c r="O1186" s="35"/>
    </row>
    <row r="1187" spans="9:15" x14ac:dyDescent="0.35">
      <c r="I1187" s="35"/>
      <c r="O1187" s="35"/>
    </row>
    <row r="1188" spans="9:15" x14ac:dyDescent="0.35">
      <c r="I1188" s="35"/>
      <c r="O1188" s="35"/>
    </row>
    <row r="1189" spans="9:15" x14ac:dyDescent="0.35">
      <c r="I1189" s="35"/>
      <c r="O1189" s="35"/>
    </row>
    <row r="1190" spans="9:15" x14ac:dyDescent="0.35">
      <c r="I1190" s="35"/>
      <c r="O1190" s="35"/>
    </row>
    <row r="1191" spans="9:15" x14ac:dyDescent="0.35">
      <c r="I1191" s="35"/>
      <c r="O1191" s="35"/>
    </row>
    <row r="1192" spans="9:15" x14ac:dyDescent="0.35">
      <c r="I1192" s="35"/>
      <c r="O1192" s="35"/>
    </row>
    <row r="1193" spans="9:15" x14ac:dyDescent="0.35">
      <c r="I1193" s="35"/>
      <c r="O1193" s="35"/>
    </row>
    <row r="1194" spans="9:15" x14ac:dyDescent="0.35">
      <c r="I1194" s="35"/>
      <c r="O1194" s="35"/>
    </row>
    <row r="1195" spans="9:15" x14ac:dyDescent="0.35">
      <c r="I1195" s="35"/>
      <c r="O1195" s="35"/>
    </row>
    <row r="1196" spans="9:15" x14ac:dyDescent="0.35">
      <c r="I1196" s="35"/>
      <c r="O1196" s="35"/>
    </row>
    <row r="1197" spans="9:15" x14ac:dyDescent="0.35">
      <c r="I1197" s="35"/>
      <c r="O1197" s="35"/>
    </row>
    <row r="1198" spans="9:15" x14ac:dyDescent="0.35">
      <c r="I1198" s="35"/>
      <c r="O1198" s="35"/>
    </row>
    <row r="1199" spans="9:15" x14ac:dyDescent="0.35">
      <c r="I1199" s="35"/>
      <c r="O1199" s="35"/>
    </row>
    <row r="1200" spans="9:15" x14ac:dyDescent="0.35">
      <c r="I1200" s="35"/>
      <c r="O1200" s="35"/>
    </row>
    <row r="1201" spans="9:15" x14ac:dyDescent="0.35">
      <c r="I1201" s="35"/>
      <c r="O1201" s="35"/>
    </row>
    <row r="1202" spans="9:15" x14ac:dyDescent="0.35">
      <c r="I1202" s="35"/>
      <c r="O1202" s="35"/>
    </row>
    <row r="1203" spans="9:15" x14ac:dyDescent="0.35">
      <c r="I1203" s="35"/>
      <c r="O1203" s="35"/>
    </row>
    <row r="1204" spans="9:15" x14ac:dyDescent="0.35">
      <c r="I1204" s="35"/>
      <c r="O1204" s="35"/>
    </row>
    <row r="1205" spans="9:15" x14ac:dyDescent="0.35">
      <c r="I1205" s="35"/>
      <c r="O1205" s="35"/>
    </row>
    <row r="1206" spans="9:15" x14ac:dyDescent="0.35">
      <c r="I1206" s="35"/>
      <c r="O1206" s="35"/>
    </row>
    <row r="1207" spans="9:15" x14ac:dyDescent="0.35">
      <c r="I1207" s="35"/>
      <c r="O1207" s="35"/>
    </row>
    <row r="1208" spans="9:15" x14ac:dyDescent="0.35">
      <c r="I1208" s="35"/>
      <c r="O1208" s="35"/>
    </row>
    <row r="1209" spans="9:15" x14ac:dyDescent="0.35">
      <c r="I1209" s="35"/>
      <c r="O1209" s="35"/>
    </row>
    <row r="1210" spans="9:15" x14ac:dyDescent="0.35">
      <c r="I1210" s="35"/>
      <c r="O1210" s="35"/>
    </row>
    <row r="1211" spans="9:15" x14ac:dyDescent="0.35">
      <c r="I1211" s="35"/>
      <c r="O1211" s="35"/>
    </row>
    <row r="1212" spans="9:15" x14ac:dyDescent="0.35">
      <c r="I1212" s="35"/>
      <c r="O1212" s="35"/>
    </row>
    <row r="1213" spans="9:15" x14ac:dyDescent="0.35">
      <c r="I1213" s="35"/>
      <c r="O1213" s="35"/>
    </row>
    <row r="1214" spans="9:15" x14ac:dyDescent="0.35">
      <c r="I1214" s="35"/>
      <c r="O1214" s="35"/>
    </row>
    <row r="1215" spans="9:15" x14ac:dyDescent="0.35">
      <c r="I1215" s="35"/>
      <c r="O1215" s="35"/>
    </row>
    <row r="1216" spans="9:15" x14ac:dyDescent="0.35">
      <c r="I1216" s="35"/>
      <c r="O1216" s="35"/>
    </row>
    <row r="1217" spans="9:15" x14ac:dyDescent="0.35">
      <c r="I1217" s="35"/>
      <c r="O1217" s="35"/>
    </row>
    <row r="1218" spans="9:15" x14ac:dyDescent="0.35">
      <c r="I1218" s="35"/>
      <c r="O1218" s="35"/>
    </row>
    <row r="1219" spans="9:15" x14ac:dyDescent="0.35">
      <c r="I1219" s="35"/>
      <c r="O1219" s="35"/>
    </row>
    <row r="1220" spans="9:15" x14ac:dyDescent="0.35">
      <c r="I1220" s="35"/>
      <c r="O1220" s="35"/>
    </row>
    <row r="1221" spans="9:15" x14ac:dyDescent="0.35">
      <c r="I1221" s="35"/>
      <c r="O1221" s="35"/>
    </row>
    <row r="1222" spans="9:15" x14ac:dyDescent="0.35">
      <c r="I1222" s="35"/>
      <c r="O1222" s="35"/>
    </row>
    <row r="1223" spans="9:15" x14ac:dyDescent="0.35">
      <c r="I1223" s="35"/>
      <c r="O1223" s="35"/>
    </row>
    <row r="1224" spans="9:15" x14ac:dyDescent="0.35">
      <c r="I1224" s="35"/>
      <c r="O1224" s="35"/>
    </row>
    <row r="1225" spans="9:15" x14ac:dyDescent="0.35">
      <c r="I1225" s="35"/>
      <c r="O1225" s="35"/>
    </row>
    <row r="1226" spans="9:15" x14ac:dyDescent="0.35">
      <c r="I1226" s="35"/>
      <c r="O1226" s="35"/>
    </row>
    <row r="1227" spans="9:15" x14ac:dyDescent="0.35">
      <c r="I1227" s="35"/>
      <c r="O1227" s="35"/>
    </row>
    <row r="1228" spans="9:15" x14ac:dyDescent="0.35">
      <c r="I1228" s="35"/>
      <c r="O1228" s="35"/>
    </row>
    <row r="1229" spans="9:15" x14ac:dyDescent="0.35">
      <c r="I1229" s="35"/>
      <c r="O1229" s="35"/>
    </row>
    <row r="1230" spans="9:15" x14ac:dyDescent="0.35">
      <c r="I1230" s="35"/>
      <c r="O1230" s="35"/>
    </row>
    <row r="1231" spans="9:15" x14ac:dyDescent="0.35">
      <c r="I1231" s="35"/>
      <c r="O1231" s="35"/>
    </row>
    <row r="1232" spans="9:15" x14ac:dyDescent="0.35">
      <c r="I1232" s="35"/>
      <c r="O1232" s="35"/>
    </row>
    <row r="1233" spans="9:15" x14ac:dyDescent="0.35">
      <c r="I1233" s="35"/>
      <c r="O1233" s="35"/>
    </row>
    <row r="1234" spans="9:15" x14ac:dyDescent="0.35">
      <c r="I1234" s="35"/>
      <c r="O1234" s="35"/>
    </row>
    <row r="1235" spans="9:15" x14ac:dyDescent="0.35">
      <c r="I1235" s="35"/>
      <c r="O1235" s="35"/>
    </row>
    <row r="1236" spans="9:15" x14ac:dyDescent="0.35">
      <c r="I1236" s="35"/>
      <c r="O1236" s="35"/>
    </row>
    <row r="1237" spans="9:15" x14ac:dyDescent="0.35">
      <c r="I1237" s="35"/>
      <c r="O1237" s="35"/>
    </row>
    <row r="1238" spans="9:15" x14ac:dyDescent="0.35">
      <c r="I1238" s="35"/>
      <c r="O1238" s="35"/>
    </row>
    <row r="1239" spans="9:15" x14ac:dyDescent="0.35">
      <c r="I1239" s="35"/>
      <c r="O1239" s="35"/>
    </row>
    <row r="1240" spans="9:15" x14ac:dyDescent="0.35">
      <c r="I1240" s="35"/>
      <c r="O1240" s="35"/>
    </row>
    <row r="1241" spans="9:15" x14ac:dyDescent="0.35">
      <c r="I1241" s="35"/>
      <c r="O1241" s="35"/>
    </row>
    <row r="1242" spans="9:15" x14ac:dyDescent="0.35">
      <c r="I1242" s="35"/>
      <c r="O1242" s="35"/>
    </row>
    <row r="1243" spans="9:15" x14ac:dyDescent="0.35">
      <c r="I1243" s="35"/>
      <c r="O1243" s="35"/>
    </row>
    <row r="1244" spans="9:15" x14ac:dyDescent="0.35">
      <c r="I1244" s="35"/>
      <c r="O1244" s="35"/>
    </row>
    <row r="1245" spans="9:15" x14ac:dyDescent="0.35">
      <c r="I1245" s="35"/>
      <c r="O1245" s="35"/>
    </row>
    <row r="1246" spans="9:15" x14ac:dyDescent="0.35">
      <c r="I1246" s="35"/>
      <c r="O1246" s="35"/>
    </row>
    <row r="1247" spans="9:15" x14ac:dyDescent="0.35">
      <c r="I1247" s="35"/>
      <c r="O1247" s="35"/>
    </row>
    <row r="1248" spans="9:15" x14ac:dyDescent="0.35">
      <c r="I1248" s="35"/>
      <c r="O1248" s="35"/>
    </row>
    <row r="1249" spans="9:15" x14ac:dyDescent="0.35">
      <c r="I1249" s="35"/>
      <c r="O1249" s="35"/>
    </row>
    <row r="1250" spans="9:15" x14ac:dyDescent="0.35">
      <c r="I1250" s="35"/>
      <c r="O1250" s="35"/>
    </row>
    <row r="1251" spans="9:15" x14ac:dyDescent="0.35">
      <c r="I1251" s="35"/>
      <c r="O1251" s="35"/>
    </row>
    <row r="1252" spans="9:15" x14ac:dyDescent="0.35">
      <c r="I1252" s="35"/>
      <c r="O1252" s="35"/>
    </row>
    <row r="1253" spans="9:15" x14ac:dyDescent="0.35">
      <c r="I1253" s="35"/>
      <c r="O1253" s="35"/>
    </row>
    <row r="1254" spans="9:15" x14ac:dyDescent="0.35">
      <c r="I1254" s="35"/>
      <c r="O1254" s="35"/>
    </row>
    <row r="1255" spans="9:15" x14ac:dyDescent="0.35">
      <c r="I1255" s="35"/>
      <c r="O1255" s="35"/>
    </row>
    <row r="1256" spans="9:15" x14ac:dyDescent="0.35">
      <c r="I1256" s="35"/>
      <c r="O1256" s="35"/>
    </row>
    <row r="1257" spans="9:15" x14ac:dyDescent="0.35">
      <c r="I1257" s="35"/>
      <c r="O1257" s="35"/>
    </row>
    <row r="1258" spans="9:15" x14ac:dyDescent="0.35">
      <c r="I1258" s="35"/>
      <c r="O1258" s="35"/>
    </row>
    <row r="1259" spans="9:15" x14ac:dyDescent="0.35">
      <c r="I1259" s="35"/>
      <c r="O1259" s="35"/>
    </row>
    <row r="1260" spans="9:15" x14ac:dyDescent="0.35">
      <c r="I1260" s="35"/>
      <c r="O1260" s="35"/>
    </row>
    <row r="1261" spans="9:15" x14ac:dyDescent="0.35">
      <c r="I1261" s="35"/>
      <c r="O1261" s="35"/>
    </row>
    <row r="1262" spans="9:15" x14ac:dyDescent="0.35">
      <c r="I1262" s="35"/>
      <c r="O1262" s="35"/>
    </row>
    <row r="1263" spans="9:15" x14ac:dyDescent="0.35">
      <c r="I1263" s="35"/>
      <c r="O1263" s="35"/>
    </row>
    <row r="1264" spans="9:15" x14ac:dyDescent="0.35">
      <c r="I1264" s="35"/>
      <c r="O1264" s="35"/>
    </row>
    <row r="1265" spans="9:15" x14ac:dyDescent="0.35">
      <c r="I1265" s="35"/>
      <c r="O1265" s="35"/>
    </row>
    <row r="1266" spans="9:15" x14ac:dyDescent="0.35">
      <c r="I1266" s="35"/>
      <c r="O1266" s="35"/>
    </row>
    <row r="1267" spans="9:15" x14ac:dyDescent="0.35">
      <c r="I1267" s="35"/>
      <c r="O1267" s="35"/>
    </row>
    <row r="1268" spans="9:15" x14ac:dyDescent="0.35">
      <c r="I1268" s="35"/>
      <c r="O1268" s="35"/>
    </row>
    <row r="1269" spans="9:15" x14ac:dyDescent="0.35">
      <c r="I1269" s="35"/>
      <c r="O1269" s="35"/>
    </row>
    <row r="1270" spans="9:15" x14ac:dyDescent="0.35">
      <c r="I1270" s="35"/>
      <c r="O1270" s="35"/>
    </row>
    <row r="1271" spans="9:15" x14ac:dyDescent="0.35">
      <c r="I1271" s="35"/>
      <c r="O1271" s="35"/>
    </row>
    <row r="1272" spans="9:15" x14ac:dyDescent="0.35">
      <c r="I1272" s="35"/>
      <c r="O1272" s="35"/>
    </row>
    <row r="1273" spans="9:15" x14ac:dyDescent="0.35">
      <c r="I1273" s="35"/>
      <c r="O1273" s="35"/>
    </row>
    <row r="1274" spans="9:15" x14ac:dyDescent="0.35">
      <c r="I1274" s="35"/>
      <c r="O1274" s="35"/>
    </row>
    <row r="1275" spans="9:15" x14ac:dyDescent="0.35">
      <c r="I1275" s="35"/>
      <c r="O1275" s="35"/>
    </row>
    <row r="1276" spans="9:15" x14ac:dyDescent="0.35">
      <c r="I1276" s="35"/>
      <c r="O1276" s="35"/>
    </row>
    <row r="1277" spans="9:15" x14ac:dyDescent="0.35">
      <c r="I1277" s="35"/>
      <c r="O1277" s="35"/>
    </row>
    <row r="1278" spans="9:15" x14ac:dyDescent="0.35">
      <c r="I1278" s="35"/>
      <c r="O1278" s="35"/>
    </row>
    <row r="1279" spans="9:15" x14ac:dyDescent="0.35">
      <c r="I1279" s="35"/>
      <c r="O1279" s="35"/>
    </row>
    <row r="1280" spans="9:15" x14ac:dyDescent="0.35">
      <c r="I1280" s="35"/>
      <c r="O1280" s="35"/>
    </row>
    <row r="1281" spans="9:15" x14ac:dyDescent="0.35">
      <c r="I1281" s="35"/>
      <c r="O1281" s="35"/>
    </row>
    <row r="1282" spans="9:15" x14ac:dyDescent="0.35">
      <c r="I1282" s="35"/>
      <c r="O1282" s="35"/>
    </row>
    <row r="1283" spans="9:15" x14ac:dyDescent="0.35">
      <c r="I1283" s="35"/>
      <c r="O1283" s="35"/>
    </row>
    <row r="1284" spans="9:15" x14ac:dyDescent="0.35">
      <c r="I1284" s="35"/>
      <c r="O1284" s="35"/>
    </row>
    <row r="1285" spans="9:15" x14ac:dyDescent="0.35">
      <c r="I1285" s="35"/>
      <c r="O1285" s="35"/>
    </row>
    <row r="1286" spans="9:15" x14ac:dyDescent="0.35">
      <c r="I1286" s="35"/>
      <c r="O1286" s="35"/>
    </row>
    <row r="1287" spans="9:15" x14ac:dyDescent="0.35">
      <c r="I1287" s="35"/>
      <c r="O1287" s="35"/>
    </row>
    <row r="1288" spans="9:15" x14ac:dyDescent="0.35">
      <c r="I1288" s="35"/>
      <c r="O1288" s="35"/>
    </row>
    <row r="1289" spans="9:15" x14ac:dyDescent="0.35">
      <c r="I1289" s="35"/>
      <c r="O1289" s="35"/>
    </row>
    <row r="1290" spans="9:15" x14ac:dyDescent="0.35">
      <c r="I1290" s="35"/>
      <c r="O1290" s="35"/>
    </row>
    <row r="1291" spans="9:15" x14ac:dyDescent="0.35">
      <c r="I1291" s="35"/>
      <c r="O1291" s="35"/>
    </row>
    <row r="1292" spans="9:15" x14ac:dyDescent="0.35">
      <c r="I1292" s="35"/>
      <c r="O1292" s="35"/>
    </row>
    <row r="1293" spans="9:15" x14ac:dyDescent="0.35">
      <c r="I1293" s="35"/>
      <c r="O1293" s="35"/>
    </row>
    <row r="1294" spans="9:15" x14ac:dyDescent="0.35">
      <c r="I1294" s="35"/>
      <c r="O1294" s="35"/>
    </row>
    <row r="1295" spans="9:15" x14ac:dyDescent="0.35">
      <c r="I1295" s="35"/>
      <c r="O1295" s="35"/>
    </row>
    <row r="1296" spans="9:15" x14ac:dyDescent="0.35">
      <c r="I1296" s="35"/>
      <c r="O1296" s="35"/>
    </row>
    <row r="1297" spans="9:15" x14ac:dyDescent="0.35">
      <c r="I1297" s="35"/>
      <c r="O1297" s="35"/>
    </row>
    <row r="1298" spans="9:15" x14ac:dyDescent="0.35">
      <c r="I1298" s="35"/>
      <c r="O1298" s="35"/>
    </row>
    <row r="1299" spans="9:15" x14ac:dyDescent="0.35">
      <c r="I1299" s="35"/>
      <c r="O1299" s="35"/>
    </row>
    <row r="1300" spans="9:15" x14ac:dyDescent="0.35">
      <c r="I1300" s="35"/>
      <c r="O1300" s="35"/>
    </row>
    <row r="1301" spans="9:15" x14ac:dyDescent="0.35">
      <c r="I1301" s="35"/>
      <c r="O1301" s="35"/>
    </row>
    <row r="1302" spans="9:15" x14ac:dyDescent="0.35">
      <c r="I1302" s="35"/>
      <c r="O1302" s="35"/>
    </row>
    <row r="1303" spans="9:15" x14ac:dyDescent="0.35">
      <c r="I1303" s="35"/>
      <c r="O1303" s="35"/>
    </row>
    <row r="1304" spans="9:15" x14ac:dyDescent="0.35">
      <c r="I1304" s="35"/>
      <c r="O1304" s="35"/>
    </row>
    <row r="1305" spans="9:15" x14ac:dyDescent="0.35">
      <c r="I1305" s="35"/>
      <c r="O1305" s="35"/>
    </row>
    <row r="1306" spans="9:15" x14ac:dyDescent="0.35">
      <c r="I1306" s="35"/>
      <c r="O1306" s="35"/>
    </row>
    <row r="1307" spans="9:15" x14ac:dyDescent="0.35">
      <c r="I1307" s="35"/>
      <c r="O1307" s="35"/>
    </row>
    <row r="1308" spans="9:15" x14ac:dyDescent="0.35">
      <c r="I1308" s="35"/>
      <c r="O1308" s="35"/>
    </row>
    <row r="1309" spans="9:15" x14ac:dyDescent="0.35">
      <c r="I1309" s="35"/>
      <c r="O1309" s="35"/>
    </row>
    <row r="1310" spans="9:15" x14ac:dyDescent="0.35">
      <c r="I1310" s="35"/>
      <c r="O1310" s="35"/>
    </row>
    <row r="1311" spans="9:15" x14ac:dyDescent="0.35">
      <c r="I1311" s="35"/>
      <c r="O1311" s="35"/>
    </row>
    <row r="1312" spans="9:15" x14ac:dyDescent="0.35">
      <c r="I1312" s="35"/>
      <c r="O1312" s="35"/>
    </row>
    <row r="1313" spans="9:15" x14ac:dyDescent="0.35">
      <c r="I1313" s="35"/>
      <c r="O1313" s="35"/>
    </row>
    <row r="1314" spans="9:15" x14ac:dyDescent="0.35">
      <c r="I1314" s="35"/>
      <c r="O1314" s="35"/>
    </row>
    <row r="1315" spans="9:15" x14ac:dyDescent="0.35">
      <c r="I1315" s="35"/>
      <c r="O1315" s="35"/>
    </row>
    <row r="1316" spans="9:15" x14ac:dyDescent="0.35">
      <c r="I1316" s="35"/>
      <c r="O1316" s="35"/>
    </row>
    <row r="1317" spans="9:15" x14ac:dyDescent="0.35">
      <c r="I1317" s="35"/>
      <c r="O1317" s="35"/>
    </row>
    <row r="1318" spans="9:15" x14ac:dyDescent="0.35">
      <c r="I1318" s="35"/>
      <c r="O1318" s="35"/>
    </row>
    <row r="1319" spans="9:15" x14ac:dyDescent="0.35">
      <c r="I1319" s="35"/>
      <c r="O1319" s="35"/>
    </row>
    <row r="1320" spans="9:15" x14ac:dyDescent="0.35">
      <c r="I1320" s="35"/>
      <c r="O1320" s="35"/>
    </row>
    <row r="1321" spans="9:15" x14ac:dyDescent="0.35">
      <c r="I1321" s="35"/>
      <c r="O1321" s="35"/>
    </row>
    <row r="1322" spans="9:15" x14ac:dyDescent="0.35">
      <c r="I1322" s="35"/>
      <c r="O1322" s="35"/>
    </row>
    <row r="1323" spans="9:15" x14ac:dyDescent="0.35">
      <c r="I1323" s="35"/>
      <c r="O1323" s="35"/>
    </row>
    <row r="1324" spans="9:15" x14ac:dyDescent="0.35">
      <c r="I1324" s="35"/>
      <c r="O1324" s="35"/>
    </row>
    <row r="1325" spans="9:15" x14ac:dyDescent="0.35">
      <c r="I1325" s="35"/>
      <c r="O1325" s="35"/>
    </row>
    <row r="1326" spans="9:15" x14ac:dyDescent="0.35">
      <c r="I1326" s="35"/>
      <c r="O1326" s="35"/>
    </row>
    <row r="1327" spans="9:15" x14ac:dyDescent="0.35">
      <c r="I1327" s="35"/>
      <c r="O1327" s="35"/>
    </row>
    <row r="1328" spans="9:15" x14ac:dyDescent="0.35">
      <c r="I1328" s="35"/>
      <c r="O1328" s="35"/>
    </row>
    <row r="1329" spans="9:15" x14ac:dyDescent="0.35">
      <c r="I1329" s="35"/>
      <c r="O1329" s="35"/>
    </row>
    <row r="1330" spans="9:15" x14ac:dyDescent="0.35">
      <c r="I1330" s="35"/>
      <c r="O1330" s="35"/>
    </row>
    <row r="1331" spans="9:15" x14ac:dyDescent="0.35">
      <c r="I1331" s="35"/>
      <c r="O1331" s="35"/>
    </row>
    <row r="1332" spans="9:15" x14ac:dyDescent="0.35">
      <c r="I1332" s="35"/>
      <c r="O1332" s="35"/>
    </row>
    <row r="1333" spans="9:15" x14ac:dyDescent="0.35">
      <c r="I1333" s="35"/>
      <c r="O1333" s="35"/>
    </row>
    <row r="1334" spans="9:15" x14ac:dyDescent="0.35">
      <c r="I1334" s="35"/>
      <c r="O1334" s="35"/>
    </row>
    <row r="1335" spans="9:15" x14ac:dyDescent="0.35">
      <c r="I1335" s="35"/>
      <c r="O1335" s="35"/>
    </row>
    <row r="1336" spans="9:15" x14ac:dyDescent="0.35">
      <c r="I1336" s="35"/>
      <c r="O1336" s="35"/>
    </row>
    <row r="1337" spans="9:15" x14ac:dyDescent="0.35">
      <c r="I1337" s="35"/>
      <c r="O1337" s="35"/>
    </row>
    <row r="1338" spans="9:15" x14ac:dyDescent="0.35">
      <c r="I1338" s="35"/>
      <c r="O1338" s="35"/>
    </row>
    <row r="1339" spans="9:15" x14ac:dyDescent="0.35">
      <c r="I1339" s="35"/>
      <c r="O1339" s="35"/>
    </row>
    <row r="1340" spans="9:15" x14ac:dyDescent="0.35">
      <c r="I1340" s="35"/>
      <c r="O1340" s="35"/>
    </row>
    <row r="1341" spans="9:15" x14ac:dyDescent="0.35">
      <c r="I1341" s="35"/>
      <c r="O1341" s="35"/>
    </row>
    <row r="1342" spans="9:15" x14ac:dyDescent="0.35">
      <c r="I1342" s="35"/>
      <c r="O1342" s="35"/>
    </row>
    <row r="1343" spans="9:15" x14ac:dyDescent="0.35">
      <c r="I1343" s="35"/>
      <c r="O1343" s="35"/>
    </row>
    <row r="1344" spans="9:15" x14ac:dyDescent="0.35">
      <c r="I1344" s="35"/>
      <c r="O1344" s="35"/>
    </row>
    <row r="1345" spans="9:15" x14ac:dyDescent="0.35">
      <c r="I1345" s="35"/>
      <c r="O1345" s="35"/>
    </row>
    <row r="1346" spans="9:15" x14ac:dyDescent="0.35">
      <c r="I1346" s="35"/>
      <c r="O1346" s="35"/>
    </row>
    <row r="1347" spans="9:15" x14ac:dyDescent="0.35">
      <c r="I1347" s="35"/>
      <c r="O1347" s="35"/>
    </row>
    <row r="1348" spans="9:15" x14ac:dyDescent="0.35">
      <c r="I1348" s="35"/>
      <c r="O1348" s="35"/>
    </row>
    <row r="1349" spans="9:15" x14ac:dyDescent="0.35">
      <c r="I1349" s="35"/>
      <c r="O1349" s="35"/>
    </row>
    <row r="1350" spans="9:15" x14ac:dyDescent="0.35">
      <c r="I1350" s="35"/>
      <c r="O1350" s="35"/>
    </row>
    <row r="1351" spans="9:15" x14ac:dyDescent="0.35">
      <c r="I1351" s="35"/>
      <c r="O1351" s="35"/>
    </row>
    <row r="1352" spans="9:15" x14ac:dyDescent="0.35">
      <c r="I1352" s="35"/>
      <c r="O1352" s="35"/>
    </row>
    <row r="1353" spans="9:15" x14ac:dyDescent="0.35">
      <c r="I1353" s="35"/>
      <c r="O1353" s="35"/>
    </row>
    <row r="1354" spans="9:15" x14ac:dyDescent="0.35">
      <c r="I1354" s="35"/>
      <c r="O1354" s="35"/>
    </row>
    <row r="1355" spans="9:15" x14ac:dyDescent="0.35">
      <c r="I1355" s="35"/>
      <c r="O1355" s="35"/>
    </row>
    <row r="1356" spans="9:15" x14ac:dyDescent="0.35">
      <c r="I1356" s="35"/>
      <c r="O1356" s="35"/>
    </row>
    <row r="1357" spans="9:15" x14ac:dyDescent="0.35">
      <c r="I1357" s="35"/>
      <c r="O1357" s="35"/>
    </row>
    <row r="1358" spans="9:15" x14ac:dyDescent="0.35">
      <c r="I1358" s="35"/>
      <c r="O1358" s="35"/>
    </row>
    <row r="1359" spans="9:15" x14ac:dyDescent="0.35">
      <c r="I1359" s="35"/>
      <c r="O1359" s="35"/>
    </row>
    <row r="1360" spans="9:15" x14ac:dyDescent="0.35">
      <c r="I1360" s="35"/>
      <c r="O1360" s="35"/>
    </row>
    <row r="1361" spans="9:15" x14ac:dyDescent="0.35">
      <c r="I1361" s="35"/>
      <c r="O1361" s="35"/>
    </row>
    <row r="1362" spans="9:15" x14ac:dyDescent="0.35">
      <c r="I1362" s="35"/>
      <c r="O1362" s="35"/>
    </row>
    <row r="1363" spans="9:15" x14ac:dyDescent="0.35">
      <c r="I1363" s="35"/>
      <c r="O1363" s="35"/>
    </row>
    <row r="1364" spans="9:15" x14ac:dyDescent="0.35">
      <c r="I1364" s="35"/>
      <c r="O1364" s="35"/>
    </row>
    <row r="1365" spans="9:15" x14ac:dyDescent="0.35">
      <c r="I1365" s="35"/>
      <c r="O1365" s="35"/>
    </row>
    <row r="1366" spans="9:15" x14ac:dyDescent="0.35">
      <c r="I1366" s="35"/>
      <c r="O1366" s="35"/>
    </row>
    <row r="1367" spans="9:15" x14ac:dyDescent="0.35">
      <c r="I1367" s="35"/>
      <c r="O1367" s="35"/>
    </row>
    <row r="1368" spans="9:15" x14ac:dyDescent="0.35">
      <c r="I1368" s="35"/>
      <c r="O1368" s="35"/>
    </row>
    <row r="1369" spans="9:15" x14ac:dyDescent="0.35">
      <c r="I1369" s="35"/>
      <c r="O1369" s="35"/>
    </row>
    <row r="1370" spans="9:15" x14ac:dyDescent="0.35">
      <c r="I1370" s="35"/>
      <c r="O1370" s="35"/>
    </row>
    <row r="1371" spans="9:15" x14ac:dyDescent="0.35">
      <c r="I1371" s="35"/>
      <c r="O1371" s="35"/>
    </row>
    <row r="1372" spans="9:15" x14ac:dyDescent="0.35">
      <c r="I1372" s="35"/>
      <c r="O1372" s="35"/>
    </row>
    <row r="1373" spans="9:15" x14ac:dyDescent="0.35">
      <c r="I1373" s="35"/>
      <c r="O1373" s="35"/>
    </row>
    <row r="1374" spans="9:15" x14ac:dyDescent="0.35">
      <c r="I1374" s="35"/>
      <c r="O1374" s="35"/>
    </row>
    <row r="1375" spans="9:15" x14ac:dyDescent="0.35">
      <c r="I1375" s="35"/>
      <c r="O1375" s="35"/>
    </row>
    <row r="1376" spans="9:15" x14ac:dyDescent="0.35">
      <c r="I1376" s="35"/>
      <c r="O1376" s="35"/>
    </row>
    <row r="1377" spans="9:15" x14ac:dyDescent="0.35">
      <c r="I1377" s="35"/>
      <c r="O1377" s="35"/>
    </row>
    <row r="1378" spans="9:15" x14ac:dyDescent="0.35">
      <c r="I1378" s="35"/>
      <c r="O1378" s="35"/>
    </row>
    <row r="1379" spans="9:15" x14ac:dyDescent="0.35">
      <c r="I1379" s="35"/>
      <c r="O1379" s="35"/>
    </row>
    <row r="1380" spans="9:15" x14ac:dyDescent="0.35">
      <c r="I1380" s="35"/>
      <c r="O1380" s="35"/>
    </row>
    <row r="1381" spans="9:15" x14ac:dyDescent="0.35">
      <c r="I1381" s="35"/>
      <c r="O1381" s="35"/>
    </row>
    <row r="1382" spans="9:15" x14ac:dyDescent="0.35">
      <c r="I1382" s="35"/>
      <c r="O1382" s="35"/>
    </row>
    <row r="1383" spans="9:15" x14ac:dyDescent="0.35">
      <c r="I1383" s="35"/>
      <c r="O1383" s="35"/>
    </row>
    <row r="1384" spans="9:15" x14ac:dyDescent="0.35">
      <c r="I1384" s="35"/>
      <c r="O1384" s="35"/>
    </row>
    <row r="1385" spans="9:15" x14ac:dyDescent="0.35">
      <c r="I1385" s="35"/>
      <c r="O1385" s="35"/>
    </row>
    <row r="1386" spans="9:15" x14ac:dyDescent="0.35">
      <c r="I1386" s="35"/>
      <c r="O1386" s="35"/>
    </row>
    <row r="1387" spans="9:15" x14ac:dyDescent="0.35">
      <c r="I1387" s="35"/>
      <c r="O1387" s="35"/>
    </row>
    <row r="1388" spans="9:15" x14ac:dyDescent="0.35">
      <c r="I1388" s="35"/>
      <c r="O1388" s="35"/>
    </row>
    <row r="1389" spans="9:15" x14ac:dyDescent="0.35">
      <c r="I1389" s="35"/>
      <c r="O1389" s="35"/>
    </row>
    <row r="1390" spans="9:15" x14ac:dyDescent="0.35">
      <c r="I1390" s="35"/>
      <c r="O1390" s="35"/>
    </row>
    <row r="1391" spans="9:15" x14ac:dyDescent="0.35">
      <c r="I1391" s="35"/>
      <c r="O1391" s="35"/>
    </row>
    <row r="1392" spans="9:15" x14ac:dyDescent="0.35">
      <c r="I1392" s="35"/>
      <c r="O1392" s="35"/>
    </row>
    <row r="1393" spans="9:15" x14ac:dyDescent="0.35">
      <c r="I1393" s="35"/>
      <c r="O1393" s="35"/>
    </row>
    <row r="1394" spans="9:15" x14ac:dyDescent="0.35">
      <c r="I1394" s="35"/>
      <c r="O1394" s="35"/>
    </row>
    <row r="1395" spans="9:15" x14ac:dyDescent="0.35">
      <c r="I1395" s="35"/>
      <c r="O1395" s="35"/>
    </row>
    <row r="1396" spans="9:15" x14ac:dyDescent="0.35">
      <c r="I1396" s="35"/>
      <c r="O1396" s="35"/>
    </row>
    <row r="1397" spans="9:15" x14ac:dyDescent="0.35">
      <c r="I1397" s="35"/>
      <c r="O1397" s="35"/>
    </row>
    <row r="1398" spans="9:15" x14ac:dyDescent="0.35">
      <c r="I1398" s="35"/>
      <c r="O1398" s="35"/>
    </row>
    <row r="1399" spans="9:15" x14ac:dyDescent="0.35">
      <c r="I1399" s="35"/>
      <c r="O1399" s="35"/>
    </row>
    <row r="1400" spans="9:15" x14ac:dyDescent="0.35">
      <c r="I1400" s="35"/>
      <c r="O1400" s="35"/>
    </row>
    <row r="1401" spans="9:15" x14ac:dyDescent="0.35">
      <c r="I1401" s="35"/>
      <c r="O1401" s="35"/>
    </row>
    <row r="1402" spans="9:15" x14ac:dyDescent="0.35">
      <c r="I1402" s="35"/>
      <c r="O1402" s="35"/>
    </row>
    <row r="1403" spans="9:15" x14ac:dyDescent="0.35">
      <c r="I1403" s="35"/>
      <c r="O1403" s="35"/>
    </row>
    <row r="1404" spans="9:15" x14ac:dyDescent="0.35">
      <c r="I1404" s="35"/>
      <c r="O1404" s="35"/>
    </row>
    <row r="1405" spans="9:15" x14ac:dyDescent="0.35">
      <c r="I1405" s="35"/>
      <c r="O1405" s="35"/>
    </row>
    <row r="1406" spans="9:15" x14ac:dyDescent="0.35">
      <c r="I1406" s="35"/>
      <c r="O1406" s="35"/>
    </row>
    <row r="1407" spans="9:15" x14ac:dyDescent="0.35">
      <c r="I1407" s="35"/>
      <c r="O1407" s="35"/>
    </row>
    <row r="1408" spans="9:15" x14ac:dyDescent="0.35">
      <c r="I1408" s="35"/>
      <c r="O1408" s="35"/>
    </row>
    <row r="1409" spans="9:15" x14ac:dyDescent="0.35">
      <c r="I1409" s="35"/>
      <c r="O1409" s="35"/>
    </row>
    <row r="1410" spans="9:15" x14ac:dyDescent="0.35">
      <c r="I1410" s="35"/>
      <c r="O1410" s="35"/>
    </row>
    <row r="1411" spans="9:15" x14ac:dyDescent="0.35">
      <c r="I1411" s="35"/>
      <c r="O1411" s="35"/>
    </row>
    <row r="1412" spans="9:15" x14ac:dyDescent="0.35">
      <c r="I1412" s="35"/>
      <c r="O1412" s="35"/>
    </row>
    <row r="1413" spans="9:15" x14ac:dyDescent="0.35">
      <c r="I1413" s="35"/>
      <c r="O1413" s="35"/>
    </row>
    <row r="1414" spans="9:15" x14ac:dyDescent="0.35">
      <c r="I1414" s="35"/>
      <c r="O1414" s="35"/>
    </row>
    <row r="1415" spans="9:15" x14ac:dyDescent="0.35">
      <c r="I1415" s="35"/>
      <c r="O1415" s="35"/>
    </row>
    <row r="1416" spans="9:15" x14ac:dyDescent="0.35">
      <c r="I1416" s="35"/>
      <c r="O1416" s="35"/>
    </row>
    <row r="1417" spans="9:15" x14ac:dyDescent="0.35">
      <c r="I1417" s="35"/>
      <c r="O1417" s="35"/>
    </row>
    <row r="1418" spans="9:15" x14ac:dyDescent="0.35">
      <c r="I1418" s="35"/>
      <c r="O1418" s="35"/>
    </row>
    <row r="1419" spans="9:15" x14ac:dyDescent="0.35">
      <c r="I1419" s="35"/>
      <c r="O1419" s="35"/>
    </row>
    <row r="1420" spans="9:15" x14ac:dyDescent="0.35">
      <c r="I1420" s="35"/>
      <c r="O1420" s="35"/>
    </row>
    <row r="1421" spans="9:15" x14ac:dyDescent="0.35">
      <c r="I1421" s="35"/>
      <c r="O1421" s="35"/>
    </row>
    <row r="1422" spans="9:15" x14ac:dyDescent="0.35">
      <c r="I1422" s="35"/>
      <c r="O1422" s="35"/>
    </row>
    <row r="1423" spans="9:15" x14ac:dyDescent="0.35">
      <c r="I1423" s="35"/>
      <c r="O1423" s="35"/>
    </row>
    <row r="1424" spans="9:15" x14ac:dyDescent="0.35">
      <c r="I1424" s="35"/>
      <c r="O1424" s="35"/>
    </row>
    <row r="1425" spans="9:15" x14ac:dyDescent="0.35">
      <c r="I1425" s="35"/>
      <c r="O1425" s="35"/>
    </row>
    <row r="1426" spans="9:15" x14ac:dyDescent="0.35">
      <c r="I1426" s="35"/>
      <c r="O1426" s="35"/>
    </row>
    <row r="1427" spans="9:15" x14ac:dyDescent="0.35">
      <c r="I1427" s="35"/>
      <c r="O1427" s="35"/>
    </row>
    <row r="1428" spans="9:15" x14ac:dyDescent="0.35">
      <c r="I1428" s="35"/>
      <c r="O1428" s="35"/>
    </row>
    <row r="1429" spans="9:15" x14ac:dyDescent="0.35">
      <c r="I1429" s="35"/>
      <c r="O1429" s="35"/>
    </row>
    <row r="1430" spans="9:15" x14ac:dyDescent="0.35">
      <c r="I1430" s="35"/>
      <c r="O1430" s="35"/>
    </row>
    <row r="1431" spans="9:15" x14ac:dyDescent="0.35">
      <c r="I1431" s="35"/>
      <c r="O1431" s="35"/>
    </row>
    <row r="1432" spans="9:15" x14ac:dyDescent="0.35">
      <c r="I1432" s="35"/>
      <c r="O1432" s="35"/>
    </row>
    <row r="1433" spans="9:15" x14ac:dyDescent="0.35">
      <c r="I1433" s="35"/>
      <c r="O1433" s="35"/>
    </row>
    <row r="1434" spans="9:15" x14ac:dyDescent="0.35">
      <c r="I1434" s="35"/>
      <c r="O1434" s="35"/>
    </row>
    <row r="1435" spans="9:15" x14ac:dyDescent="0.35">
      <c r="I1435" s="35"/>
      <c r="O1435" s="35"/>
    </row>
    <row r="1436" spans="9:15" x14ac:dyDescent="0.35">
      <c r="I1436" s="35"/>
      <c r="O1436" s="35"/>
    </row>
    <row r="1437" spans="9:15" x14ac:dyDescent="0.35">
      <c r="I1437" s="35"/>
      <c r="O1437" s="35"/>
    </row>
    <row r="1438" spans="9:15" x14ac:dyDescent="0.35">
      <c r="I1438" s="35"/>
      <c r="O1438" s="35"/>
    </row>
    <row r="1439" spans="9:15" x14ac:dyDescent="0.35">
      <c r="I1439" s="35"/>
      <c r="O1439" s="35"/>
    </row>
    <row r="1440" spans="9:15" x14ac:dyDescent="0.35">
      <c r="I1440" s="35"/>
      <c r="O1440" s="35"/>
    </row>
    <row r="1441" spans="9:15" x14ac:dyDescent="0.35">
      <c r="I1441" s="35"/>
      <c r="O1441" s="35"/>
    </row>
    <row r="1442" spans="9:15" x14ac:dyDescent="0.35">
      <c r="I1442" s="35"/>
      <c r="O1442" s="35"/>
    </row>
    <row r="1443" spans="9:15" x14ac:dyDescent="0.35">
      <c r="I1443" s="35"/>
      <c r="O1443" s="35"/>
    </row>
    <row r="1444" spans="9:15" x14ac:dyDescent="0.35">
      <c r="I1444" s="35"/>
      <c r="O1444" s="35"/>
    </row>
    <row r="1445" spans="9:15" x14ac:dyDescent="0.35">
      <c r="I1445" s="35"/>
      <c r="O1445" s="35"/>
    </row>
    <row r="1446" spans="9:15" x14ac:dyDescent="0.35">
      <c r="I1446" s="35"/>
      <c r="O1446" s="35"/>
    </row>
    <row r="1447" spans="9:15" x14ac:dyDescent="0.35">
      <c r="I1447" s="35"/>
      <c r="O1447" s="35"/>
    </row>
    <row r="1448" spans="9:15" x14ac:dyDescent="0.35">
      <c r="I1448" s="35"/>
      <c r="O1448" s="35"/>
    </row>
    <row r="1449" spans="9:15" x14ac:dyDescent="0.35">
      <c r="I1449" s="35"/>
      <c r="O1449" s="35"/>
    </row>
    <row r="1450" spans="9:15" x14ac:dyDescent="0.35">
      <c r="I1450" s="35"/>
      <c r="O1450" s="35"/>
    </row>
    <row r="1451" spans="9:15" x14ac:dyDescent="0.35">
      <c r="I1451" s="35"/>
      <c r="O1451" s="35"/>
    </row>
    <row r="1452" spans="9:15" x14ac:dyDescent="0.35">
      <c r="I1452" s="35"/>
      <c r="O1452" s="35"/>
    </row>
    <row r="1453" spans="9:15" x14ac:dyDescent="0.35">
      <c r="I1453" s="35"/>
      <c r="O1453" s="35"/>
    </row>
    <row r="1454" spans="9:15" x14ac:dyDescent="0.35">
      <c r="I1454" s="35"/>
      <c r="O1454" s="35"/>
    </row>
    <row r="1455" spans="9:15" x14ac:dyDescent="0.35">
      <c r="I1455" s="35"/>
      <c r="O1455" s="35"/>
    </row>
    <row r="1456" spans="9:15" x14ac:dyDescent="0.35">
      <c r="I1456" s="35"/>
      <c r="O1456" s="35"/>
    </row>
    <row r="1457" spans="9:15" x14ac:dyDescent="0.35">
      <c r="I1457" s="35"/>
      <c r="O1457" s="35"/>
    </row>
    <row r="1458" spans="9:15" x14ac:dyDescent="0.35">
      <c r="I1458" s="35"/>
      <c r="O1458" s="35"/>
    </row>
    <row r="1459" spans="9:15" x14ac:dyDescent="0.35">
      <c r="I1459" s="35"/>
      <c r="O1459" s="35"/>
    </row>
    <row r="1460" spans="9:15" x14ac:dyDescent="0.35">
      <c r="I1460" s="35"/>
      <c r="O1460" s="35"/>
    </row>
    <row r="1461" spans="9:15" x14ac:dyDescent="0.35">
      <c r="I1461" s="35"/>
      <c r="O1461" s="35"/>
    </row>
    <row r="1462" spans="9:15" x14ac:dyDescent="0.35">
      <c r="I1462" s="35"/>
      <c r="O1462" s="35"/>
    </row>
    <row r="1463" spans="9:15" x14ac:dyDescent="0.35">
      <c r="I1463" s="35"/>
      <c r="O1463" s="35"/>
    </row>
    <row r="1464" spans="9:15" x14ac:dyDescent="0.35">
      <c r="I1464" s="35"/>
      <c r="O1464" s="35"/>
    </row>
    <row r="1465" spans="9:15" x14ac:dyDescent="0.35">
      <c r="I1465" s="35"/>
      <c r="O1465" s="35"/>
    </row>
    <row r="1466" spans="9:15" x14ac:dyDescent="0.35">
      <c r="I1466" s="35"/>
      <c r="O1466" s="35"/>
    </row>
    <row r="1467" spans="9:15" x14ac:dyDescent="0.35">
      <c r="I1467" s="35"/>
      <c r="O1467" s="35"/>
    </row>
    <row r="1468" spans="9:15" x14ac:dyDescent="0.35">
      <c r="I1468" s="35"/>
      <c r="O1468" s="35"/>
    </row>
    <row r="1469" spans="9:15" x14ac:dyDescent="0.35">
      <c r="I1469" s="35"/>
      <c r="O1469" s="35"/>
    </row>
    <row r="1470" spans="9:15" x14ac:dyDescent="0.35">
      <c r="I1470" s="35"/>
      <c r="O1470" s="35"/>
    </row>
    <row r="1471" spans="9:15" x14ac:dyDescent="0.35">
      <c r="I1471" s="35"/>
      <c r="O1471" s="35"/>
    </row>
    <row r="1472" spans="9:15" x14ac:dyDescent="0.35">
      <c r="I1472" s="35"/>
      <c r="O1472" s="35"/>
    </row>
    <row r="1473" spans="9:15" x14ac:dyDescent="0.35">
      <c r="I1473" s="35"/>
      <c r="O1473" s="35"/>
    </row>
    <row r="1474" spans="9:15" x14ac:dyDescent="0.35">
      <c r="I1474" s="35"/>
      <c r="O1474" s="35"/>
    </row>
    <row r="1475" spans="9:15" x14ac:dyDescent="0.35">
      <c r="I1475" s="35"/>
      <c r="O1475" s="35"/>
    </row>
    <row r="1476" spans="9:15" x14ac:dyDescent="0.35">
      <c r="I1476" s="35"/>
      <c r="O1476" s="35"/>
    </row>
    <row r="1477" spans="9:15" x14ac:dyDescent="0.35">
      <c r="I1477" s="35"/>
      <c r="O1477" s="35"/>
    </row>
    <row r="1478" spans="9:15" x14ac:dyDescent="0.35">
      <c r="I1478" s="35"/>
      <c r="O1478" s="35"/>
    </row>
    <row r="1479" spans="9:15" x14ac:dyDescent="0.35">
      <c r="I1479" s="35"/>
      <c r="O1479" s="35"/>
    </row>
    <row r="1480" spans="9:15" x14ac:dyDescent="0.35">
      <c r="I1480" s="35"/>
      <c r="O1480" s="35"/>
    </row>
    <row r="1481" spans="9:15" x14ac:dyDescent="0.35">
      <c r="I1481" s="35"/>
      <c r="O1481" s="35"/>
    </row>
    <row r="1482" spans="9:15" x14ac:dyDescent="0.35">
      <c r="I1482" s="35"/>
      <c r="O1482" s="35"/>
    </row>
    <row r="1483" spans="9:15" x14ac:dyDescent="0.35">
      <c r="I1483" s="35"/>
      <c r="O1483" s="35"/>
    </row>
    <row r="1484" spans="9:15" x14ac:dyDescent="0.35">
      <c r="I1484" s="35"/>
      <c r="O1484" s="35"/>
    </row>
    <row r="1485" spans="9:15" x14ac:dyDescent="0.35">
      <c r="I1485" s="35"/>
      <c r="O1485" s="35"/>
    </row>
    <row r="1486" spans="9:15" x14ac:dyDescent="0.35">
      <c r="I1486" s="35"/>
      <c r="O1486" s="35"/>
    </row>
    <row r="1487" spans="9:15" x14ac:dyDescent="0.35">
      <c r="I1487" s="35"/>
      <c r="O1487" s="35"/>
    </row>
    <row r="1488" spans="9:15" x14ac:dyDescent="0.35">
      <c r="I1488" s="35"/>
      <c r="O1488" s="35"/>
    </row>
    <row r="1489" spans="9:15" x14ac:dyDescent="0.35">
      <c r="I1489" s="35"/>
      <c r="O1489" s="35"/>
    </row>
    <row r="1490" spans="9:15" x14ac:dyDescent="0.35">
      <c r="I1490" s="35"/>
      <c r="O1490" s="35"/>
    </row>
    <row r="1491" spans="9:15" x14ac:dyDescent="0.35">
      <c r="I1491" s="35"/>
      <c r="O1491" s="35"/>
    </row>
    <row r="1492" spans="9:15" x14ac:dyDescent="0.35">
      <c r="I1492" s="35"/>
      <c r="O1492" s="35"/>
    </row>
    <row r="1493" spans="9:15" x14ac:dyDescent="0.35">
      <c r="I1493" s="35"/>
      <c r="O1493" s="35"/>
    </row>
    <row r="1494" spans="9:15" x14ac:dyDescent="0.35">
      <c r="I1494" s="35"/>
      <c r="O1494" s="35"/>
    </row>
    <row r="1495" spans="9:15" x14ac:dyDescent="0.35">
      <c r="I1495" s="35"/>
      <c r="O1495" s="35"/>
    </row>
    <row r="1496" spans="9:15" x14ac:dyDescent="0.35">
      <c r="I1496" s="35"/>
      <c r="O1496" s="35"/>
    </row>
    <row r="1497" spans="9:15" x14ac:dyDescent="0.35">
      <c r="I1497" s="35"/>
      <c r="O1497" s="35"/>
    </row>
    <row r="1498" spans="9:15" x14ac:dyDescent="0.35">
      <c r="I1498" s="35"/>
      <c r="O1498" s="35"/>
    </row>
    <row r="1499" spans="9:15" x14ac:dyDescent="0.35">
      <c r="I1499" s="35"/>
      <c r="O1499" s="35"/>
    </row>
    <row r="1500" spans="9:15" x14ac:dyDescent="0.35">
      <c r="I1500" s="35"/>
      <c r="O1500" s="35"/>
    </row>
    <row r="1501" spans="9:15" x14ac:dyDescent="0.35">
      <c r="I1501" s="35"/>
      <c r="O1501" s="35"/>
    </row>
    <row r="1502" spans="9:15" x14ac:dyDescent="0.35">
      <c r="I1502" s="35"/>
      <c r="O1502" s="35"/>
    </row>
    <row r="1503" spans="9:15" x14ac:dyDescent="0.35">
      <c r="I1503" s="35"/>
      <c r="O1503" s="35"/>
    </row>
    <row r="1504" spans="9:15" x14ac:dyDescent="0.35">
      <c r="I1504" s="35"/>
      <c r="O1504" s="35"/>
    </row>
    <row r="1505" spans="9:15" x14ac:dyDescent="0.35">
      <c r="I1505" s="35"/>
      <c r="O1505" s="35"/>
    </row>
    <row r="1506" spans="9:15" x14ac:dyDescent="0.35">
      <c r="I1506" s="35"/>
      <c r="O1506" s="35"/>
    </row>
    <row r="1507" spans="9:15" x14ac:dyDescent="0.35">
      <c r="I1507" s="35"/>
      <c r="O1507" s="35"/>
    </row>
    <row r="1508" spans="9:15" x14ac:dyDescent="0.35">
      <c r="I1508" s="35"/>
      <c r="O1508" s="35"/>
    </row>
    <row r="1509" spans="9:15" x14ac:dyDescent="0.35">
      <c r="I1509" s="35"/>
      <c r="O1509" s="35"/>
    </row>
    <row r="1510" spans="9:15" x14ac:dyDescent="0.35">
      <c r="I1510" s="35"/>
      <c r="O1510" s="35"/>
    </row>
    <row r="1511" spans="9:15" x14ac:dyDescent="0.35">
      <c r="I1511" s="35"/>
      <c r="O1511" s="35"/>
    </row>
    <row r="1512" spans="9:15" x14ac:dyDescent="0.35">
      <c r="I1512" s="35"/>
      <c r="O1512" s="35"/>
    </row>
    <row r="1513" spans="9:15" x14ac:dyDescent="0.35">
      <c r="I1513" s="35"/>
      <c r="O1513" s="35"/>
    </row>
    <row r="1514" spans="9:15" x14ac:dyDescent="0.35">
      <c r="I1514" s="35"/>
      <c r="O1514" s="35"/>
    </row>
    <row r="1515" spans="9:15" x14ac:dyDescent="0.35">
      <c r="I1515" s="35"/>
      <c r="O1515" s="35"/>
    </row>
    <row r="1516" spans="9:15" x14ac:dyDescent="0.35">
      <c r="I1516" s="35"/>
      <c r="O1516" s="35"/>
    </row>
    <row r="1517" spans="9:15" x14ac:dyDescent="0.35">
      <c r="I1517" s="35"/>
      <c r="O1517" s="35"/>
    </row>
    <row r="1518" spans="9:15" x14ac:dyDescent="0.35">
      <c r="I1518" s="35"/>
      <c r="O1518" s="35"/>
    </row>
    <row r="1519" spans="9:15" x14ac:dyDescent="0.35">
      <c r="I1519" s="35"/>
      <c r="O1519" s="35"/>
    </row>
    <row r="1520" spans="9:15" x14ac:dyDescent="0.35">
      <c r="I1520" s="35"/>
      <c r="O1520" s="35"/>
    </row>
    <row r="1521" spans="9:15" x14ac:dyDescent="0.35">
      <c r="I1521" s="35"/>
      <c r="O1521" s="35"/>
    </row>
    <row r="1522" spans="9:15" x14ac:dyDescent="0.35">
      <c r="I1522" s="35"/>
      <c r="O1522" s="35"/>
    </row>
    <row r="1523" spans="9:15" x14ac:dyDescent="0.35">
      <c r="I1523" s="35"/>
      <c r="O1523" s="35"/>
    </row>
    <row r="1524" spans="9:15" x14ac:dyDescent="0.35">
      <c r="I1524" s="35"/>
      <c r="O1524" s="35"/>
    </row>
    <row r="1525" spans="9:15" x14ac:dyDescent="0.35">
      <c r="I1525" s="35"/>
      <c r="O1525" s="35"/>
    </row>
    <row r="1526" spans="9:15" x14ac:dyDescent="0.35">
      <c r="I1526" s="35"/>
      <c r="O1526" s="35"/>
    </row>
    <row r="1527" spans="9:15" x14ac:dyDescent="0.35">
      <c r="I1527" s="35"/>
      <c r="O1527" s="35"/>
    </row>
    <row r="1528" spans="9:15" x14ac:dyDescent="0.35">
      <c r="I1528" s="35"/>
      <c r="O1528" s="35"/>
    </row>
    <row r="1529" spans="9:15" x14ac:dyDescent="0.35">
      <c r="I1529" s="35"/>
      <c r="O1529" s="35"/>
    </row>
    <row r="1530" spans="9:15" x14ac:dyDescent="0.35">
      <c r="I1530" s="35"/>
      <c r="O1530" s="35"/>
    </row>
    <row r="1531" spans="9:15" x14ac:dyDescent="0.35">
      <c r="I1531" s="35"/>
      <c r="O1531" s="35"/>
    </row>
    <row r="1532" spans="9:15" x14ac:dyDescent="0.35">
      <c r="I1532" s="35"/>
      <c r="O1532" s="35"/>
    </row>
    <row r="1533" spans="9:15" x14ac:dyDescent="0.35">
      <c r="I1533" s="35"/>
      <c r="O1533" s="35"/>
    </row>
    <row r="1534" spans="9:15" x14ac:dyDescent="0.35">
      <c r="I1534" s="35"/>
      <c r="O1534" s="35"/>
    </row>
    <row r="1535" spans="9:15" x14ac:dyDescent="0.35">
      <c r="I1535" s="35"/>
      <c r="O1535" s="35"/>
    </row>
    <row r="1536" spans="9:15" x14ac:dyDescent="0.35">
      <c r="I1536" s="35"/>
      <c r="O1536" s="35"/>
    </row>
    <row r="1537" spans="9:15" x14ac:dyDescent="0.35">
      <c r="I1537" s="35"/>
      <c r="O1537" s="35"/>
    </row>
    <row r="1538" spans="9:15" x14ac:dyDescent="0.35">
      <c r="I1538" s="35"/>
      <c r="O1538" s="35"/>
    </row>
    <row r="1539" spans="9:15" x14ac:dyDescent="0.35">
      <c r="I1539" s="35"/>
      <c r="O1539" s="35"/>
    </row>
    <row r="1540" spans="9:15" x14ac:dyDescent="0.35">
      <c r="I1540" s="35"/>
      <c r="O1540" s="35"/>
    </row>
    <row r="1541" spans="9:15" x14ac:dyDescent="0.35">
      <c r="I1541" s="35"/>
      <c r="O1541" s="35"/>
    </row>
    <row r="1542" spans="9:15" x14ac:dyDescent="0.35">
      <c r="I1542" s="35"/>
      <c r="O1542" s="35"/>
    </row>
    <row r="1543" spans="9:15" x14ac:dyDescent="0.35">
      <c r="I1543" s="35"/>
      <c r="O1543" s="35"/>
    </row>
    <row r="1544" spans="9:15" x14ac:dyDescent="0.35">
      <c r="I1544" s="35"/>
      <c r="O1544" s="35"/>
    </row>
    <row r="1545" spans="9:15" x14ac:dyDescent="0.35">
      <c r="I1545" s="35"/>
      <c r="O1545" s="35"/>
    </row>
    <row r="1546" spans="9:15" x14ac:dyDescent="0.35">
      <c r="I1546" s="35"/>
      <c r="O1546" s="35"/>
    </row>
    <row r="1547" spans="9:15" x14ac:dyDescent="0.35">
      <c r="I1547" s="35"/>
      <c r="O1547" s="35"/>
    </row>
    <row r="1548" spans="9:15" x14ac:dyDescent="0.35">
      <c r="I1548" s="35"/>
      <c r="O1548" s="35"/>
    </row>
    <row r="1549" spans="9:15" x14ac:dyDescent="0.35">
      <c r="I1549" s="35"/>
      <c r="O1549" s="35"/>
    </row>
    <row r="1550" spans="9:15" x14ac:dyDescent="0.35">
      <c r="I1550" s="35"/>
      <c r="O1550" s="35"/>
    </row>
    <row r="1551" spans="9:15" x14ac:dyDescent="0.35">
      <c r="I1551" s="35"/>
      <c r="O1551" s="35"/>
    </row>
    <row r="1552" spans="9:15" x14ac:dyDescent="0.35">
      <c r="I1552" s="35"/>
      <c r="O1552" s="35"/>
    </row>
    <row r="1553" spans="9:15" x14ac:dyDescent="0.35">
      <c r="I1553" s="35"/>
      <c r="O1553" s="35"/>
    </row>
    <row r="1554" spans="9:15" x14ac:dyDescent="0.35">
      <c r="I1554" s="35"/>
      <c r="O1554" s="35"/>
    </row>
    <row r="1555" spans="9:15" x14ac:dyDescent="0.35">
      <c r="I1555" s="35"/>
      <c r="O1555" s="35"/>
    </row>
    <row r="1556" spans="9:15" x14ac:dyDescent="0.35">
      <c r="I1556" s="35"/>
      <c r="O1556" s="35"/>
    </row>
    <row r="1557" spans="9:15" x14ac:dyDescent="0.35">
      <c r="I1557" s="35"/>
      <c r="O1557" s="35"/>
    </row>
    <row r="1558" spans="9:15" x14ac:dyDescent="0.35">
      <c r="I1558" s="35"/>
      <c r="O1558" s="35"/>
    </row>
    <row r="1559" spans="9:15" x14ac:dyDescent="0.35">
      <c r="I1559" s="35"/>
      <c r="O1559" s="35"/>
    </row>
    <row r="1560" spans="9:15" x14ac:dyDescent="0.35">
      <c r="I1560" s="35"/>
      <c r="O1560" s="35"/>
    </row>
    <row r="1561" spans="9:15" x14ac:dyDescent="0.35">
      <c r="I1561" s="35"/>
      <c r="O1561" s="35"/>
    </row>
    <row r="1562" spans="9:15" x14ac:dyDescent="0.35">
      <c r="I1562" s="35"/>
      <c r="O1562" s="35"/>
    </row>
    <row r="1563" spans="9:15" x14ac:dyDescent="0.35">
      <c r="I1563" s="35"/>
      <c r="O1563" s="35"/>
    </row>
    <row r="1564" spans="9:15" x14ac:dyDescent="0.35">
      <c r="I1564" s="35"/>
      <c r="O1564" s="35"/>
    </row>
    <row r="1565" spans="9:15" x14ac:dyDescent="0.35">
      <c r="I1565" s="35"/>
      <c r="O1565" s="35"/>
    </row>
    <row r="1566" spans="9:15" x14ac:dyDescent="0.35">
      <c r="I1566" s="35"/>
      <c r="O1566" s="35"/>
    </row>
    <row r="1567" spans="9:15" x14ac:dyDescent="0.35">
      <c r="I1567" s="35"/>
      <c r="O1567" s="35"/>
    </row>
    <row r="1568" spans="9:15" x14ac:dyDescent="0.35">
      <c r="I1568" s="35"/>
      <c r="O1568" s="35"/>
    </row>
    <row r="1569" spans="9:15" x14ac:dyDescent="0.35">
      <c r="I1569" s="35"/>
      <c r="O1569" s="35"/>
    </row>
    <row r="1570" spans="9:15" x14ac:dyDescent="0.35">
      <c r="I1570" s="35"/>
      <c r="O1570" s="35"/>
    </row>
    <row r="1571" spans="9:15" x14ac:dyDescent="0.35">
      <c r="I1571" s="35"/>
      <c r="O1571" s="35"/>
    </row>
    <row r="1572" spans="9:15" x14ac:dyDescent="0.35">
      <c r="I1572" s="35"/>
      <c r="O1572" s="35"/>
    </row>
    <row r="1573" spans="9:15" x14ac:dyDescent="0.35">
      <c r="I1573" s="35"/>
      <c r="O1573" s="35"/>
    </row>
    <row r="1574" spans="9:15" x14ac:dyDescent="0.35">
      <c r="I1574" s="35"/>
      <c r="O1574" s="35"/>
    </row>
    <row r="1575" spans="9:15" x14ac:dyDescent="0.35">
      <c r="I1575" s="35"/>
      <c r="O1575" s="35"/>
    </row>
    <row r="1576" spans="9:15" x14ac:dyDescent="0.35">
      <c r="I1576" s="35"/>
      <c r="O1576" s="35"/>
    </row>
    <row r="1577" spans="9:15" x14ac:dyDescent="0.35">
      <c r="I1577" s="35"/>
      <c r="O1577" s="35"/>
    </row>
    <row r="1578" spans="9:15" x14ac:dyDescent="0.35">
      <c r="I1578" s="35"/>
      <c r="O1578" s="35"/>
    </row>
    <row r="1579" spans="9:15" x14ac:dyDescent="0.35">
      <c r="I1579" s="35"/>
      <c r="O1579" s="35"/>
    </row>
    <row r="1580" spans="9:15" x14ac:dyDescent="0.35">
      <c r="I1580" s="35"/>
      <c r="O1580" s="35"/>
    </row>
    <row r="1581" spans="9:15" x14ac:dyDescent="0.35">
      <c r="I1581" s="35"/>
      <c r="O1581" s="35"/>
    </row>
    <row r="1582" spans="9:15" x14ac:dyDescent="0.35">
      <c r="I1582" s="35"/>
      <c r="O1582" s="35"/>
    </row>
    <row r="1583" spans="9:15" x14ac:dyDescent="0.35">
      <c r="I1583" s="35"/>
      <c r="O1583" s="35"/>
    </row>
    <row r="1584" spans="9:15" x14ac:dyDescent="0.35">
      <c r="I1584" s="35"/>
      <c r="O1584" s="35"/>
    </row>
    <row r="1585" spans="9:15" x14ac:dyDescent="0.35">
      <c r="I1585" s="35"/>
      <c r="O1585" s="35"/>
    </row>
    <row r="1586" spans="9:15" x14ac:dyDescent="0.35">
      <c r="I1586" s="35"/>
      <c r="O1586" s="35"/>
    </row>
    <row r="1587" spans="9:15" x14ac:dyDescent="0.35">
      <c r="I1587" s="35"/>
      <c r="O1587" s="35"/>
    </row>
    <row r="1588" spans="9:15" x14ac:dyDescent="0.35">
      <c r="I1588" s="35"/>
      <c r="O1588" s="35"/>
    </row>
    <row r="1589" spans="9:15" x14ac:dyDescent="0.35">
      <c r="I1589" s="35"/>
      <c r="O1589" s="35"/>
    </row>
    <row r="1590" spans="9:15" x14ac:dyDescent="0.35">
      <c r="I1590" s="35"/>
      <c r="O1590" s="35"/>
    </row>
    <row r="1591" spans="9:15" x14ac:dyDescent="0.35">
      <c r="I1591" s="35"/>
      <c r="O1591" s="35"/>
    </row>
    <row r="1592" spans="9:15" x14ac:dyDescent="0.35">
      <c r="I1592" s="35"/>
      <c r="O1592" s="35"/>
    </row>
    <row r="1593" spans="9:15" x14ac:dyDescent="0.35">
      <c r="I1593" s="35"/>
      <c r="O1593" s="35"/>
    </row>
    <row r="1594" spans="9:15" x14ac:dyDescent="0.35">
      <c r="I1594" s="35"/>
      <c r="O1594" s="35"/>
    </row>
    <row r="1595" spans="9:15" x14ac:dyDescent="0.35">
      <c r="I1595" s="35"/>
      <c r="O1595" s="35"/>
    </row>
    <row r="1596" spans="9:15" x14ac:dyDescent="0.35">
      <c r="I1596" s="35"/>
      <c r="O1596" s="35"/>
    </row>
    <row r="1597" spans="9:15" x14ac:dyDescent="0.35">
      <c r="I1597" s="35"/>
      <c r="O1597" s="35"/>
    </row>
    <row r="1598" spans="9:15" x14ac:dyDescent="0.35">
      <c r="I1598" s="35"/>
      <c r="O1598" s="35"/>
    </row>
    <row r="1599" spans="9:15" x14ac:dyDescent="0.35">
      <c r="I1599" s="35"/>
      <c r="O1599" s="35"/>
    </row>
    <row r="1600" spans="9:15" x14ac:dyDescent="0.35">
      <c r="I1600" s="35"/>
      <c r="O1600" s="35"/>
    </row>
    <row r="1601" spans="9:15" x14ac:dyDescent="0.35">
      <c r="I1601" s="35"/>
      <c r="O1601" s="35"/>
    </row>
    <row r="1602" spans="9:15" x14ac:dyDescent="0.35">
      <c r="I1602" s="35"/>
      <c r="O1602" s="35"/>
    </row>
    <row r="1603" spans="9:15" x14ac:dyDescent="0.35">
      <c r="I1603" s="35"/>
      <c r="O1603" s="35"/>
    </row>
    <row r="1604" spans="9:15" x14ac:dyDescent="0.35">
      <c r="I1604" s="35"/>
      <c r="O1604" s="35"/>
    </row>
    <row r="1605" spans="9:15" x14ac:dyDescent="0.35">
      <c r="I1605" s="35"/>
      <c r="O1605" s="35"/>
    </row>
    <row r="1606" spans="9:15" x14ac:dyDescent="0.35">
      <c r="I1606" s="35"/>
      <c r="O1606" s="35"/>
    </row>
    <row r="1607" spans="9:15" x14ac:dyDescent="0.35">
      <c r="I1607" s="35"/>
      <c r="O1607" s="35"/>
    </row>
    <row r="1608" spans="9:15" x14ac:dyDescent="0.35">
      <c r="I1608" s="35"/>
      <c r="O1608" s="35"/>
    </row>
    <row r="1609" spans="9:15" x14ac:dyDescent="0.35">
      <c r="I1609" s="35"/>
      <c r="O1609" s="35"/>
    </row>
    <row r="1610" spans="9:15" x14ac:dyDescent="0.35">
      <c r="I1610" s="35"/>
      <c r="O1610" s="35"/>
    </row>
    <row r="1611" spans="9:15" x14ac:dyDescent="0.35">
      <c r="I1611" s="35"/>
      <c r="O1611" s="35"/>
    </row>
    <row r="1612" spans="9:15" x14ac:dyDescent="0.35">
      <c r="I1612" s="35"/>
      <c r="O1612" s="35"/>
    </row>
    <row r="1613" spans="9:15" x14ac:dyDescent="0.35">
      <c r="I1613" s="35"/>
      <c r="O1613" s="35"/>
    </row>
    <row r="1614" spans="9:15" x14ac:dyDescent="0.35">
      <c r="I1614" s="35"/>
      <c r="O1614" s="35"/>
    </row>
    <row r="1615" spans="9:15" x14ac:dyDescent="0.35">
      <c r="I1615" s="35"/>
      <c r="O1615" s="35"/>
    </row>
    <row r="1616" spans="9:15" x14ac:dyDescent="0.35">
      <c r="I1616" s="35"/>
      <c r="O1616" s="35"/>
    </row>
    <row r="1617" spans="9:15" x14ac:dyDescent="0.35">
      <c r="I1617" s="35"/>
      <c r="O1617" s="35"/>
    </row>
    <row r="1618" spans="9:15" x14ac:dyDescent="0.35">
      <c r="I1618" s="35"/>
      <c r="O1618" s="35"/>
    </row>
    <row r="1619" spans="9:15" x14ac:dyDescent="0.35">
      <c r="I1619" s="35"/>
      <c r="O1619" s="35"/>
    </row>
    <row r="1620" spans="9:15" x14ac:dyDescent="0.35">
      <c r="I1620" s="35"/>
      <c r="O1620" s="35"/>
    </row>
    <row r="1621" spans="9:15" x14ac:dyDescent="0.35">
      <c r="I1621" s="35"/>
      <c r="O1621" s="35"/>
    </row>
    <row r="1622" spans="9:15" x14ac:dyDescent="0.35">
      <c r="I1622" s="35"/>
      <c r="O1622" s="35"/>
    </row>
    <row r="1623" spans="9:15" x14ac:dyDescent="0.35">
      <c r="I1623" s="35"/>
      <c r="O1623" s="35"/>
    </row>
    <row r="1624" spans="9:15" x14ac:dyDescent="0.35">
      <c r="I1624" s="35"/>
      <c r="O1624" s="35"/>
    </row>
    <row r="1625" spans="9:15" x14ac:dyDescent="0.35">
      <c r="I1625" s="35"/>
      <c r="O1625" s="35"/>
    </row>
    <row r="1626" spans="9:15" x14ac:dyDescent="0.35">
      <c r="I1626" s="35"/>
      <c r="O1626" s="35"/>
    </row>
    <row r="1627" spans="9:15" x14ac:dyDescent="0.35">
      <c r="I1627" s="35"/>
      <c r="O1627" s="35"/>
    </row>
    <row r="1628" spans="9:15" x14ac:dyDescent="0.35">
      <c r="I1628" s="35"/>
      <c r="O1628" s="35"/>
    </row>
    <row r="1629" spans="9:15" x14ac:dyDescent="0.35">
      <c r="I1629" s="35"/>
      <c r="O1629" s="35"/>
    </row>
    <row r="1630" spans="9:15" x14ac:dyDescent="0.35">
      <c r="I1630" s="35"/>
      <c r="O1630" s="35"/>
    </row>
    <row r="1631" spans="9:15" x14ac:dyDescent="0.35">
      <c r="I1631" s="35"/>
      <c r="O1631" s="35"/>
    </row>
    <row r="1632" spans="9:15" x14ac:dyDescent="0.35">
      <c r="I1632" s="35"/>
      <c r="O1632" s="35"/>
    </row>
    <row r="1633" spans="9:15" x14ac:dyDescent="0.35">
      <c r="I1633" s="35"/>
      <c r="O1633" s="35"/>
    </row>
    <row r="1634" spans="9:15" x14ac:dyDescent="0.35">
      <c r="I1634" s="35"/>
      <c r="O1634" s="35"/>
    </row>
    <row r="1635" spans="9:15" x14ac:dyDescent="0.35">
      <c r="I1635" s="35"/>
      <c r="O1635" s="35"/>
    </row>
    <row r="1636" spans="9:15" x14ac:dyDescent="0.35">
      <c r="I1636" s="35"/>
      <c r="O1636" s="35"/>
    </row>
    <row r="1637" spans="9:15" x14ac:dyDescent="0.35">
      <c r="I1637" s="35"/>
      <c r="O1637" s="35"/>
    </row>
    <row r="1638" spans="9:15" x14ac:dyDescent="0.35">
      <c r="I1638" s="35"/>
      <c r="O1638" s="35"/>
    </row>
    <row r="1639" spans="9:15" x14ac:dyDescent="0.35">
      <c r="I1639" s="35"/>
      <c r="O1639" s="35"/>
    </row>
    <row r="1640" spans="9:15" x14ac:dyDescent="0.35">
      <c r="I1640" s="35"/>
      <c r="O1640" s="35"/>
    </row>
    <row r="1641" spans="9:15" x14ac:dyDescent="0.35">
      <c r="I1641" s="35"/>
      <c r="O1641" s="35"/>
    </row>
    <row r="1642" spans="9:15" x14ac:dyDescent="0.35">
      <c r="I1642" s="35"/>
      <c r="O1642" s="35"/>
    </row>
    <row r="1643" spans="9:15" x14ac:dyDescent="0.35">
      <c r="I1643" s="35"/>
      <c r="O1643" s="35"/>
    </row>
    <row r="1644" spans="9:15" x14ac:dyDescent="0.35">
      <c r="I1644" s="35"/>
      <c r="O1644" s="35"/>
    </row>
    <row r="1645" spans="9:15" x14ac:dyDescent="0.35">
      <c r="I1645" s="35"/>
      <c r="O1645" s="35"/>
    </row>
    <row r="1646" spans="9:15" x14ac:dyDescent="0.35">
      <c r="I1646" s="35"/>
      <c r="O1646" s="35"/>
    </row>
    <row r="1647" spans="9:15" x14ac:dyDescent="0.35">
      <c r="I1647" s="35"/>
      <c r="O1647" s="35"/>
    </row>
    <row r="1648" spans="9:15" x14ac:dyDescent="0.35">
      <c r="I1648" s="35"/>
      <c r="O1648" s="35"/>
    </row>
    <row r="1649" spans="9:15" x14ac:dyDescent="0.35">
      <c r="I1649" s="35"/>
      <c r="O1649" s="35"/>
    </row>
    <row r="1650" spans="9:15" x14ac:dyDescent="0.35">
      <c r="I1650" s="35"/>
      <c r="O1650" s="35"/>
    </row>
    <row r="1651" spans="9:15" x14ac:dyDescent="0.35">
      <c r="I1651" s="35"/>
      <c r="O1651" s="35"/>
    </row>
    <row r="1652" spans="9:15" x14ac:dyDescent="0.35">
      <c r="I1652" s="35"/>
      <c r="O1652" s="35"/>
    </row>
    <row r="1653" spans="9:15" x14ac:dyDescent="0.35">
      <c r="I1653" s="35"/>
      <c r="O1653" s="35"/>
    </row>
    <row r="1654" spans="9:15" x14ac:dyDescent="0.35">
      <c r="I1654" s="35"/>
      <c r="O1654" s="35"/>
    </row>
    <row r="1655" spans="9:15" x14ac:dyDescent="0.35">
      <c r="I1655" s="35"/>
      <c r="O1655" s="35"/>
    </row>
    <row r="1656" spans="9:15" x14ac:dyDescent="0.35">
      <c r="I1656" s="35"/>
      <c r="O1656" s="35"/>
    </row>
    <row r="1657" spans="9:15" x14ac:dyDescent="0.35">
      <c r="I1657" s="35"/>
      <c r="O1657" s="35"/>
    </row>
    <row r="1658" spans="9:15" x14ac:dyDescent="0.35">
      <c r="I1658" s="35"/>
      <c r="O1658" s="35"/>
    </row>
    <row r="1659" spans="9:15" x14ac:dyDescent="0.35">
      <c r="I1659" s="35"/>
      <c r="O1659" s="35"/>
    </row>
    <row r="1660" spans="9:15" x14ac:dyDescent="0.35">
      <c r="I1660" s="35"/>
      <c r="O1660" s="35"/>
    </row>
    <row r="1661" spans="9:15" x14ac:dyDescent="0.35">
      <c r="I1661" s="35"/>
      <c r="O1661" s="35"/>
    </row>
    <row r="1662" spans="9:15" x14ac:dyDescent="0.35">
      <c r="I1662" s="35"/>
      <c r="O1662" s="35"/>
    </row>
    <row r="1663" spans="9:15" x14ac:dyDescent="0.35">
      <c r="I1663" s="35"/>
      <c r="O1663" s="35"/>
    </row>
    <row r="1664" spans="9:15" x14ac:dyDescent="0.35">
      <c r="I1664" s="35"/>
      <c r="O1664" s="35"/>
    </row>
    <row r="1665" spans="9:15" x14ac:dyDescent="0.35">
      <c r="I1665" s="35"/>
      <c r="O1665" s="35"/>
    </row>
    <row r="1666" spans="9:15" x14ac:dyDescent="0.35">
      <c r="I1666" s="35"/>
      <c r="O1666" s="35"/>
    </row>
    <row r="1667" spans="9:15" x14ac:dyDescent="0.35">
      <c r="I1667" s="35"/>
      <c r="O1667" s="35"/>
    </row>
    <row r="1668" spans="9:15" x14ac:dyDescent="0.35">
      <c r="I1668" s="35"/>
      <c r="O1668" s="35"/>
    </row>
    <row r="1669" spans="9:15" x14ac:dyDescent="0.35">
      <c r="I1669" s="35"/>
      <c r="O1669" s="35"/>
    </row>
    <row r="1670" spans="9:15" x14ac:dyDescent="0.35">
      <c r="I1670" s="35"/>
      <c r="O1670" s="35"/>
    </row>
    <row r="1671" spans="9:15" x14ac:dyDescent="0.35">
      <c r="I1671" s="35"/>
      <c r="O1671" s="35"/>
    </row>
    <row r="1672" spans="9:15" x14ac:dyDescent="0.35">
      <c r="I1672" s="35"/>
      <c r="O1672" s="35"/>
    </row>
    <row r="1673" spans="9:15" x14ac:dyDescent="0.35">
      <c r="I1673" s="35"/>
      <c r="O1673" s="35"/>
    </row>
    <row r="1674" spans="9:15" x14ac:dyDescent="0.35">
      <c r="I1674" s="35"/>
      <c r="O1674" s="35"/>
    </row>
    <row r="1675" spans="9:15" x14ac:dyDescent="0.35">
      <c r="I1675" s="35"/>
      <c r="O1675" s="35"/>
    </row>
    <row r="1676" spans="9:15" x14ac:dyDescent="0.35">
      <c r="I1676" s="35"/>
      <c r="O1676" s="35"/>
    </row>
    <row r="1677" spans="9:15" x14ac:dyDescent="0.35">
      <c r="I1677" s="35"/>
      <c r="O1677" s="35"/>
    </row>
    <row r="1678" spans="9:15" x14ac:dyDescent="0.35">
      <c r="I1678" s="35"/>
      <c r="O1678" s="35"/>
    </row>
    <row r="1679" spans="9:15" x14ac:dyDescent="0.35">
      <c r="I1679" s="35"/>
      <c r="O1679" s="35"/>
    </row>
    <row r="1680" spans="9:15" x14ac:dyDescent="0.35">
      <c r="I1680" s="35"/>
      <c r="O1680" s="35"/>
    </row>
    <row r="1681" spans="9:15" x14ac:dyDescent="0.35">
      <c r="I1681" s="35"/>
      <c r="O1681" s="35"/>
    </row>
    <row r="1682" spans="9:15" x14ac:dyDescent="0.35">
      <c r="I1682" s="35"/>
      <c r="O1682" s="35"/>
    </row>
    <row r="1683" spans="9:15" x14ac:dyDescent="0.35">
      <c r="I1683" s="35"/>
      <c r="O1683" s="35"/>
    </row>
    <row r="1684" spans="9:15" x14ac:dyDescent="0.35">
      <c r="I1684" s="35"/>
      <c r="O1684" s="35"/>
    </row>
    <row r="1685" spans="9:15" x14ac:dyDescent="0.35">
      <c r="I1685" s="35"/>
      <c r="O1685" s="35"/>
    </row>
    <row r="1686" spans="9:15" x14ac:dyDescent="0.35">
      <c r="I1686" s="35"/>
      <c r="O1686" s="35"/>
    </row>
    <row r="1687" spans="9:15" x14ac:dyDescent="0.35">
      <c r="I1687" s="35"/>
      <c r="O1687" s="35"/>
    </row>
    <row r="1688" spans="9:15" x14ac:dyDescent="0.35">
      <c r="I1688" s="35"/>
      <c r="O1688" s="35"/>
    </row>
    <row r="1689" spans="9:15" x14ac:dyDescent="0.35">
      <c r="I1689" s="35"/>
      <c r="O1689" s="35"/>
    </row>
    <row r="1690" spans="9:15" x14ac:dyDescent="0.35">
      <c r="I1690" s="35"/>
      <c r="O1690" s="35"/>
    </row>
    <row r="1691" spans="9:15" x14ac:dyDescent="0.35">
      <c r="I1691" s="35"/>
      <c r="O1691" s="35"/>
    </row>
    <row r="1692" spans="9:15" x14ac:dyDescent="0.35">
      <c r="I1692" s="35"/>
      <c r="O1692" s="35"/>
    </row>
    <row r="1693" spans="9:15" x14ac:dyDescent="0.35">
      <c r="I1693" s="35"/>
      <c r="O1693" s="35"/>
    </row>
    <row r="1694" spans="9:15" x14ac:dyDescent="0.35">
      <c r="I1694" s="35"/>
      <c r="O1694" s="35"/>
    </row>
    <row r="1695" spans="9:15" x14ac:dyDescent="0.35">
      <c r="I1695" s="35"/>
      <c r="O1695" s="35"/>
    </row>
    <row r="1696" spans="9:15" x14ac:dyDescent="0.35">
      <c r="I1696" s="35"/>
      <c r="O1696" s="35"/>
    </row>
    <row r="1697" spans="9:15" x14ac:dyDescent="0.35">
      <c r="I1697" s="35"/>
      <c r="O1697" s="35"/>
    </row>
    <row r="1698" spans="9:15" x14ac:dyDescent="0.35">
      <c r="I1698" s="35"/>
      <c r="O1698" s="35"/>
    </row>
    <row r="1699" spans="9:15" x14ac:dyDescent="0.35">
      <c r="I1699" s="35"/>
      <c r="O1699" s="35"/>
    </row>
    <row r="1700" spans="9:15" x14ac:dyDescent="0.35">
      <c r="I1700" s="35"/>
      <c r="O1700" s="35"/>
    </row>
    <row r="1701" spans="9:15" x14ac:dyDescent="0.35">
      <c r="I1701" s="35"/>
      <c r="O1701" s="35"/>
    </row>
    <row r="1702" spans="9:15" x14ac:dyDescent="0.35">
      <c r="I1702" s="35"/>
      <c r="O1702" s="35"/>
    </row>
    <row r="1703" spans="9:15" x14ac:dyDescent="0.35">
      <c r="I1703" s="35"/>
      <c r="O1703" s="35"/>
    </row>
    <row r="1704" spans="9:15" x14ac:dyDescent="0.35">
      <c r="I1704" s="35"/>
      <c r="O1704" s="35"/>
    </row>
    <row r="1705" spans="9:15" x14ac:dyDescent="0.35">
      <c r="I1705" s="35"/>
      <c r="O1705" s="35"/>
    </row>
    <row r="1706" spans="9:15" x14ac:dyDescent="0.35">
      <c r="I1706" s="35"/>
      <c r="O1706" s="35"/>
    </row>
    <row r="1707" spans="9:15" x14ac:dyDescent="0.35">
      <c r="I1707" s="35"/>
      <c r="O1707" s="35"/>
    </row>
    <row r="1708" spans="9:15" x14ac:dyDescent="0.35">
      <c r="I1708" s="35"/>
      <c r="O1708" s="35"/>
    </row>
    <row r="1709" spans="9:15" x14ac:dyDescent="0.35">
      <c r="I1709" s="35"/>
      <c r="O1709" s="35"/>
    </row>
    <row r="1710" spans="9:15" x14ac:dyDescent="0.35">
      <c r="I1710" s="35"/>
      <c r="O1710" s="35"/>
    </row>
    <row r="1711" spans="9:15" x14ac:dyDescent="0.35">
      <c r="I1711" s="35"/>
      <c r="O1711" s="35"/>
    </row>
    <row r="1712" spans="9:15" x14ac:dyDescent="0.35">
      <c r="I1712" s="35"/>
      <c r="O1712" s="35"/>
    </row>
    <row r="1713" spans="9:15" x14ac:dyDescent="0.35">
      <c r="I1713" s="35"/>
      <c r="O1713" s="35"/>
    </row>
    <row r="1714" spans="9:15" x14ac:dyDescent="0.35">
      <c r="I1714" s="35"/>
      <c r="O1714" s="35"/>
    </row>
    <row r="1715" spans="9:15" x14ac:dyDescent="0.35">
      <c r="I1715" s="35"/>
      <c r="O1715" s="35"/>
    </row>
    <row r="1716" spans="9:15" x14ac:dyDescent="0.35">
      <c r="I1716" s="35"/>
      <c r="O1716" s="35"/>
    </row>
    <row r="1717" spans="9:15" x14ac:dyDescent="0.35">
      <c r="I1717" s="35"/>
      <c r="O1717" s="35"/>
    </row>
    <row r="1718" spans="9:15" x14ac:dyDescent="0.35">
      <c r="I1718" s="35"/>
      <c r="O1718" s="35"/>
    </row>
    <row r="1719" spans="9:15" x14ac:dyDescent="0.35">
      <c r="I1719" s="35"/>
      <c r="O1719" s="35"/>
    </row>
    <row r="1720" spans="9:15" x14ac:dyDescent="0.35">
      <c r="I1720" s="35"/>
      <c r="O1720" s="35"/>
    </row>
    <row r="1721" spans="9:15" x14ac:dyDescent="0.35">
      <c r="I1721" s="35"/>
      <c r="O1721" s="35"/>
    </row>
    <row r="1722" spans="9:15" x14ac:dyDescent="0.35">
      <c r="I1722" s="35"/>
      <c r="O1722" s="35"/>
    </row>
    <row r="1723" spans="9:15" x14ac:dyDescent="0.35">
      <c r="I1723" s="35"/>
      <c r="O1723" s="35"/>
    </row>
    <row r="1724" spans="9:15" x14ac:dyDescent="0.35">
      <c r="I1724" s="35"/>
      <c r="O1724" s="35"/>
    </row>
    <row r="1725" spans="9:15" x14ac:dyDescent="0.35">
      <c r="I1725" s="35"/>
      <c r="O1725" s="35"/>
    </row>
    <row r="1726" spans="9:15" x14ac:dyDescent="0.35">
      <c r="I1726" s="35"/>
      <c r="O1726" s="35"/>
    </row>
    <row r="1727" spans="9:15" x14ac:dyDescent="0.35">
      <c r="I1727" s="35"/>
      <c r="O1727" s="35"/>
    </row>
    <row r="1728" spans="9:15" x14ac:dyDescent="0.35">
      <c r="I1728" s="35"/>
      <c r="O1728" s="35"/>
    </row>
    <row r="1729" spans="9:15" x14ac:dyDescent="0.35">
      <c r="I1729" s="35"/>
      <c r="O1729" s="35"/>
    </row>
    <row r="1730" spans="9:15" x14ac:dyDescent="0.35">
      <c r="I1730" s="35"/>
      <c r="O1730" s="35"/>
    </row>
    <row r="1731" spans="9:15" x14ac:dyDescent="0.35">
      <c r="I1731" s="35"/>
      <c r="O1731" s="35"/>
    </row>
    <row r="1732" spans="9:15" x14ac:dyDescent="0.35">
      <c r="I1732" s="35"/>
      <c r="O1732" s="35"/>
    </row>
    <row r="1733" spans="9:15" x14ac:dyDescent="0.35">
      <c r="I1733" s="35"/>
      <c r="O1733" s="35"/>
    </row>
    <row r="1734" spans="9:15" x14ac:dyDescent="0.35">
      <c r="I1734" s="35"/>
      <c r="O1734" s="35"/>
    </row>
    <row r="1735" spans="9:15" x14ac:dyDescent="0.35">
      <c r="I1735" s="35"/>
      <c r="O1735" s="35"/>
    </row>
    <row r="1736" spans="9:15" x14ac:dyDescent="0.35">
      <c r="I1736" s="35"/>
      <c r="O1736" s="35"/>
    </row>
    <row r="1737" spans="9:15" x14ac:dyDescent="0.35">
      <c r="I1737" s="35"/>
      <c r="O1737" s="35"/>
    </row>
    <row r="1738" spans="9:15" x14ac:dyDescent="0.35">
      <c r="I1738" s="35"/>
      <c r="O1738" s="35"/>
    </row>
    <row r="1739" spans="9:15" x14ac:dyDescent="0.35">
      <c r="I1739" s="35"/>
      <c r="O1739" s="35"/>
    </row>
    <row r="1740" spans="9:15" x14ac:dyDescent="0.35">
      <c r="I1740" s="35"/>
      <c r="O1740" s="35"/>
    </row>
    <row r="1741" spans="9:15" x14ac:dyDescent="0.35">
      <c r="I1741" s="35"/>
      <c r="O1741" s="35"/>
    </row>
    <row r="1742" spans="9:15" x14ac:dyDescent="0.35">
      <c r="I1742" s="35"/>
      <c r="O1742" s="35"/>
    </row>
    <row r="1743" spans="9:15" x14ac:dyDescent="0.35">
      <c r="I1743" s="35"/>
      <c r="O1743" s="35"/>
    </row>
    <row r="1744" spans="9:15" x14ac:dyDescent="0.35">
      <c r="I1744" s="35"/>
      <c r="O1744" s="35"/>
    </row>
    <row r="1745" spans="9:15" x14ac:dyDescent="0.35">
      <c r="I1745" s="35"/>
      <c r="O1745" s="35"/>
    </row>
    <row r="1746" spans="9:15" x14ac:dyDescent="0.35">
      <c r="I1746" s="35"/>
      <c r="O1746" s="35"/>
    </row>
    <row r="1747" spans="9:15" x14ac:dyDescent="0.35">
      <c r="I1747" s="35"/>
      <c r="O1747" s="35"/>
    </row>
    <row r="1748" spans="9:15" x14ac:dyDescent="0.35">
      <c r="I1748" s="35"/>
      <c r="O1748" s="35"/>
    </row>
    <row r="1749" spans="9:15" x14ac:dyDescent="0.35">
      <c r="I1749" s="35"/>
      <c r="O1749" s="35"/>
    </row>
    <row r="1750" spans="9:15" x14ac:dyDescent="0.35">
      <c r="I1750" s="35"/>
      <c r="O1750" s="35"/>
    </row>
    <row r="1751" spans="9:15" x14ac:dyDescent="0.35">
      <c r="I1751" s="35"/>
      <c r="O1751" s="35"/>
    </row>
    <row r="1752" spans="9:15" x14ac:dyDescent="0.35">
      <c r="I1752" s="35"/>
      <c r="O1752" s="35"/>
    </row>
    <row r="1753" spans="9:15" x14ac:dyDescent="0.35">
      <c r="I1753" s="35"/>
      <c r="O1753" s="35"/>
    </row>
    <row r="1754" spans="9:15" x14ac:dyDescent="0.35">
      <c r="I1754" s="35"/>
      <c r="O1754" s="35"/>
    </row>
    <row r="1755" spans="9:15" x14ac:dyDescent="0.35">
      <c r="I1755" s="35"/>
      <c r="O1755" s="35"/>
    </row>
    <row r="1756" spans="9:15" x14ac:dyDescent="0.35">
      <c r="I1756" s="35"/>
      <c r="O1756" s="35"/>
    </row>
    <row r="1757" spans="9:15" x14ac:dyDescent="0.35">
      <c r="I1757" s="35"/>
      <c r="O1757" s="35"/>
    </row>
    <row r="1758" spans="9:15" x14ac:dyDescent="0.35">
      <c r="I1758" s="35"/>
      <c r="O1758" s="35"/>
    </row>
    <row r="1759" spans="9:15" x14ac:dyDescent="0.35">
      <c r="I1759" s="35"/>
      <c r="O1759" s="35"/>
    </row>
    <row r="1760" spans="9:15" x14ac:dyDescent="0.35">
      <c r="I1760" s="35"/>
      <c r="O1760" s="35"/>
    </row>
    <row r="1761" spans="9:15" x14ac:dyDescent="0.35">
      <c r="I1761" s="35"/>
      <c r="O1761" s="35"/>
    </row>
    <row r="1762" spans="9:15" x14ac:dyDescent="0.35">
      <c r="I1762" s="35"/>
      <c r="O1762" s="35"/>
    </row>
    <row r="1763" spans="9:15" x14ac:dyDescent="0.35">
      <c r="I1763" s="35"/>
      <c r="O1763" s="35"/>
    </row>
    <row r="1764" spans="9:15" x14ac:dyDescent="0.35">
      <c r="I1764" s="35"/>
      <c r="O1764" s="35"/>
    </row>
    <row r="1765" spans="9:15" x14ac:dyDescent="0.35">
      <c r="I1765" s="35"/>
      <c r="O1765" s="35"/>
    </row>
    <row r="1766" spans="9:15" x14ac:dyDescent="0.35">
      <c r="I1766" s="35"/>
      <c r="O1766" s="35"/>
    </row>
    <row r="1767" spans="9:15" x14ac:dyDescent="0.35">
      <c r="I1767" s="35"/>
      <c r="O1767" s="35"/>
    </row>
    <row r="1768" spans="9:15" x14ac:dyDescent="0.35">
      <c r="I1768" s="35"/>
      <c r="O1768" s="35"/>
    </row>
    <row r="1769" spans="9:15" x14ac:dyDescent="0.35">
      <c r="I1769" s="35"/>
      <c r="O1769" s="35"/>
    </row>
    <row r="1770" spans="9:15" x14ac:dyDescent="0.35">
      <c r="I1770" s="35"/>
      <c r="O1770" s="35"/>
    </row>
    <row r="1771" spans="9:15" x14ac:dyDescent="0.35">
      <c r="I1771" s="35"/>
      <c r="O1771" s="35"/>
    </row>
    <row r="1772" spans="9:15" x14ac:dyDescent="0.35">
      <c r="I1772" s="35"/>
      <c r="O1772" s="35"/>
    </row>
    <row r="1773" spans="9:15" x14ac:dyDescent="0.35">
      <c r="I1773" s="35"/>
      <c r="O1773" s="35"/>
    </row>
    <row r="1774" spans="9:15" x14ac:dyDescent="0.35">
      <c r="I1774" s="35"/>
      <c r="O1774" s="35"/>
    </row>
    <row r="1775" spans="9:15" x14ac:dyDescent="0.35">
      <c r="I1775" s="35"/>
      <c r="O1775" s="35"/>
    </row>
    <row r="1776" spans="9:15" x14ac:dyDescent="0.35">
      <c r="I1776" s="35"/>
      <c r="O1776" s="35"/>
    </row>
    <row r="1777" spans="9:15" x14ac:dyDescent="0.35">
      <c r="I1777" s="35"/>
      <c r="O1777" s="35"/>
    </row>
    <row r="1778" spans="9:15" x14ac:dyDescent="0.35">
      <c r="I1778" s="35"/>
      <c r="O1778" s="35"/>
    </row>
    <row r="1779" spans="9:15" x14ac:dyDescent="0.35">
      <c r="I1779" s="35"/>
      <c r="O1779" s="35"/>
    </row>
    <row r="1780" spans="9:15" x14ac:dyDescent="0.35">
      <c r="I1780" s="35"/>
      <c r="O1780" s="35"/>
    </row>
    <row r="1781" spans="9:15" x14ac:dyDescent="0.35">
      <c r="I1781" s="35"/>
      <c r="O1781" s="35"/>
    </row>
    <row r="1782" spans="9:15" x14ac:dyDescent="0.35">
      <c r="I1782" s="35"/>
      <c r="O1782" s="35"/>
    </row>
    <row r="1783" spans="9:15" x14ac:dyDescent="0.35">
      <c r="I1783" s="35"/>
      <c r="O1783" s="35"/>
    </row>
    <row r="1784" spans="9:15" x14ac:dyDescent="0.35">
      <c r="I1784" s="35"/>
      <c r="O1784" s="35"/>
    </row>
    <row r="1785" spans="9:15" x14ac:dyDescent="0.35">
      <c r="I1785" s="35"/>
      <c r="O1785" s="35"/>
    </row>
    <row r="1786" spans="9:15" x14ac:dyDescent="0.35">
      <c r="I1786" s="35"/>
      <c r="O1786" s="35"/>
    </row>
    <row r="1787" spans="9:15" x14ac:dyDescent="0.35">
      <c r="I1787" s="35"/>
      <c r="O1787" s="35"/>
    </row>
    <row r="1788" spans="9:15" x14ac:dyDescent="0.35">
      <c r="I1788" s="35"/>
      <c r="O1788" s="35"/>
    </row>
    <row r="1789" spans="9:15" x14ac:dyDescent="0.35">
      <c r="I1789" s="35"/>
      <c r="O1789" s="35"/>
    </row>
    <row r="1790" spans="9:15" x14ac:dyDescent="0.35">
      <c r="I1790" s="35"/>
      <c r="O1790" s="35"/>
    </row>
    <row r="1791" spans="9:15" x14ac:dyDescent="0.35">
      <c r="I1791" s="35"/>
      <c r="O1791" s="35"/>
    </row>
    <row r="1792" spans="9:15" x14ac:dyDescent="0.35">
      <c r="I1792" s="35"/>
      <c r="O1792" s="35"/>
    </row>
    <row r="1793" spans="9:15" x14ac:dyDescent="0.35">
      <c r="I1793" s="35"/>
      <c r="O1793" s="35"/>
    </row>
    <row r="1794" spans="9:15" x14ac:dyDescent="0.35">
      <c r="I1794" s="35"/>
      <c r="O1794" s="35"/>
    </row>
    <row r="1795" spans="9:15" x14ac:dyDescent="0.35">
      <c r="I1795" s="35"/>
      <c r="O1795" s="35"/>
    </row>
    <row r="1796" spans="9:15" x14ac:dyDescent="0.35">
      <c r="I1796" s="35"/>
      <c r="O1796" s="35"/>
    </row>
    <row r="1797" spans="9:15" x14ac:dyDescent="0.35">
      <c r="I1797" s="35"/>
      <c r="O1797" s="35"/>
    </row>
    <row r="1798" spans="9:15" x14ac:dyDescent="0.35">
      <c r="I1798" s="35"/>
      <c r="O1798" s="35"/>
    </row>
    <row r="1799" spans="9:15" x14ac:dyDescent="0.35">
      <c r="I1799" s="35"/>
      <c r="O1799" s="35"/>
    </row>
    <row r="1800" spans="9:15" x14ac:dyDescent="0.35">
      <c r="I1800" s="35"/>
      <c r="O1800" s="35"/>
    </row>
    <row r="1801" spans="9:15" x14ac:dyDescent="0.35">
      <c r="I1801" s="35"/>
      <c r="O1801" s="35"/>
    </row>
    <row r="1802" spans="9:15" x14ac:dyDescent="0.35">
      <c r="I1802" s="35"/>
      <c r="O1802" s="35"/>
    </row>
    <row r="1803" spans="9:15" x14ac:dyDescent="0.35">
      <c r="I1803" s="35"/>
      <c r="O1803" s="35"/>
    </row>
    <row r="1804" spans="9:15" x14ac:dyDescent="0.35">
      <c r="I1804" s="35"/>
      <c r="O1804" s="35"/>
    </row>
    <row r="1805" spans="9:15" x14ac:dyDescent="0.35">
      <c r="I1805" s="35"/>
      <c r="O1805" s="35"/>
    </row>
    <row r="1806" spans="9:15" x14ac:dyDescent="0.35">
      <c r="I1806" s="35"/>
      <c r="O1806" s="35"/>
    </row>
    <row r="1807" spans="9:15" x14ac:dyDescent="0.35">
      <c r="I1807" s="35"/>
      <c r="O1807" s="35"/>
    </row>
    <row r="1808" spans="9:15" x14ac:dyDescent="0.35">
      <c r="I1808" s="35"/>
      <c r="O1808" s="35"/>
    </row>
    <row r="1809" spans="9:15" x14ac:dyDescent="0.35">
      <c r="I1809" s="35"/>
      <c r="O1809" s="35"/>
    </row>
    <row r="1810" spans="9:15" x14ac:dyDescent="0.35">
      <c r="I1810" s="35"/>
      <c r="O1810" s="35"/>
    </row>
    <row r="1811" spans="9:15" x14ac:dyDescent="0.35">
      <c r="I1811" s="35"/>
      <c r="O1811" s="35"/>
    </row>
    <row r="1812" spans="9:15" x14ac:dyDescent="0.35">
      <c r="I1812" s="35"/>
      <c r="O1812" s="35"/>
    </row>
    <row r="1813" spans="9:15" x14ac:dyDescent="0.35">
      <c r="I1813" s="35"/>
      <c r="O1813" s="35"/>
    </row>
    <row r="1814" spans="9:15" x14ac:dyDescent="0.35">
      <c r="I1814" s="35"/>
      <c r="O1814" s="35"/>
    </row>
    <row r="1815" spans="9:15" x14ac:dyDescent="0.35">
      <c r="I1815" s="35"/>
      <c r="O1815" s="35"/>
    </row>
    <row r="1816" spans="9:15" x14ac:dyDescent="0.35">
      <c r="I1816" s="35"/>
      <c r="O1816" s="35"/>
    </row>
    <row r="1817" spans="9:15" x14ac:dyDescent="0.35">
      <c r="I1817" s="35"/>
      <c r="O1817" s="35"/>
    </row>
    <row r="1818" spans="9:15" x14ac:dyDescent="0.35">
      <c r="I1818" s="35"/>
      <c r="O1818" s="35"/>
    </row>
    <row r="1819" spans="9:15" x14ac:dyDescent="0.35">
      <c r="I1819" s="35"/>
      <c r="O1819" s="35"/>
    </row>
    <row r="1820" spans="9:15" x14ac:dyDescent="0.35">
      <c r="I1820" s="35"/>
      <c r="O1820" s="35"/>
    </row>
    <row r="1821" spans="9:15" x14ac:dyDescent="0.35">
      <c r="I1821" s="35"/>
      <c r="O1821" s="35"/>
    </row>
    <row r="1822" spans="9:15" x14ac:dyDescent="0.35">
      <c r="I1822" s="35"/>
      <c r="O1822" s="35"/>
    </row>
    <row r="1823" spans="9:15" x14ac:dyDescent="0.35">
      <c r="I1823" s="35"/>
      <c r="O1823" s="35"/>
    </row>
    <row r="1824" spans="9:15" x14ac:dyDescent="0.35">
      <c r="I1824" s="35"/>
      <c r="O1824" s="35"/>
    </row>
    <row r="1825" spans="9:15" x14ac:dyDescent="0.35">
      <c r="I1825" s="35"/>
      <c r="O1825" s="35"/>
    </row>
    <row r="1826" spans="9:15" x14ac:dyDescent="0.35">
      <c r="I1826" s="35"/>
      <c r="O1826" s="35"/>
    </row>
    <row r="1827" spans="9:15" x14ac:dyDescent="0.35">
      <c r="I1827" s="35"/>
      <c r="O1827" s="35"/>
    </row>
    <row r="1828" spans="9:15" x14ac:dyDescent="0.35">
      <c r="I1828" s="35"/>
      <c r="O1828" s="35"/>
    </row>
    <row r="1829" spans="9:15" x14ac:dyDescent="0.35">
      <c r="I1829" s="35"/>
      <c r="O1829" s="35"/>
    </row>
    <row r="1830" spans="9:15" x14ac:dyDescent="0.35">
      <c r="I1830" s="35"/>
      <c r="O1830" s="35"/>
    </row>
    <row r="1831" spans="9:15" x14ac:dyDescent="0.35">
      <c r="I1831" s="35"/>
      <c r="O1831" s="35"/>
    </row>
    <row r="1832" spans="9:15" x14ac:dyDescent="0.35">
      <c r="I1832" s="35"/>
      <c r="O1832" s="35"/>
    </row>
    <row r="1833" spans="9:15" x14ac:dyDescent="0.35">
      <c r="I1833" s="35"/>
      <c r="O1833" s="35"/>
    </row>
    <row r="1834" spans="9:15" x14ac:dyDescent="0.35">
      <c r="I1834" s="35"/>
      <c r="O1834" s="35"/>
    </row>
    <row r="1835" spans="9:15" x14ac:dyDescent="0.35">
      <c r="I1835" s="35"/>
      <c r="O1835" s="35"/>
    </row>
    <row r="1836" spans="9:15" x14ac:dyDescent="0.35">
      <c r="I1836" s="35"/>
      <c r="O1836" s="35"/>
    </row>
    <row r="1837" spans="9:15" x14ac:dyDescent="0.35">
      <c r="I1837" s="35"/>
      <c r="O1837" s="35"/>
    </row>
    <row r="1838" spans="9:15" x14ac:dyDescent="0.35">
      <c r="I1838" s="35"/>
      <c r="O1838" s="35"/>
    </row>
    <row r="1839" spans="9:15" x14ac:dyDescent="0.35">
      <c r="I1839" s="35"/>
      <c r="O1839" s="35"/>
    </row>
    <row r="1840" spans="9:15" x14ac:dyDescent="0.35">
      <c r="I1840" s="35"/>
      <c r="O1840" s="35"/>
    </row>
    <row r="1841" spans="9:15" x14ac:dyDescent="0.35">
      <c r="I1841" s="35"/>
      <c r="O1841" s="35"/>
    </row>
    <row r="1842" spans="9:15" x14ac:dyDescent="0.35">
      <c r="I1842" s="35"/>
      <c r="O1842" s="35"/>
    </row>
    <row r="1843" spans="9:15" x14ac:dyDescent="0.35">
      <c r="I1843" s="35"/>
      <c r="O1843" s="35"/>
    </row>
    <row r="1844" spans="9:15" x14ac:dyDescent="0.35">
      <c r="I1844" s="35"/>
      <c r="O1844" s="35"/>
    </row>
    <row r="1845" spans="9:15" x14ac:dyDescent="0.35">
      <c r="I1845" s="35"/>
      <c r="O1845" s="35"/>
    </row>
    <row r="1846" spans="9:15" x14ac:dyDescent="0.35">
      <c r="I1846" s="35"/>
      <c r="O1846" s="35"/>
    </row>
    <row r="1847" spans="9:15" x14ac:dyDescent="0.35">
      <c r="I1847" s="35"/>
      <c r="O1847" s="35"/>
    </row>
    <row r="1848" spans="9:15" x14ac:dyDescent="0.35">
      <c r="I1848" s="35"/>
      <c r="O1848" s="35"/>
    </row>
    <row r="1849" spans="9:15" x14ac:dyDescent="0.35">
      <c r="I1849" s="35"/>
      <c r="O1849" s="35"/>
    </row>
    <row r="1850" spans="9:15" x14ac:dyDescent="0.35">
      <c r="I1850" s="35"/>
      <c r="O1850" s="35"/>
    </row>
    <row r="1851" spans="9:15" x14ac:dyDescent="0.35">
      <c r="I1851" s="35"/>
      <c r="O1851" s="35"/>
    </row>
    <row r="1852" spans="9:15" x14ac:dyDescent="0.35">
      <c r="I1852" s="35"/>
      <c r="O1852" s="35"/>
    </row>
    <row r="1853" spans="9:15" x14ac:dyDescent="0.35">
      <c r="I1853" s="35"/>
      <c r="O1853" s="35"/>
    </row>
    <row r="1854" spans="9:15" x14ac:dyDescent="0.35">
      <c r="I1854" s="35"/>
      <c r="O1854" s="35"/>
    </row>
    <row r="1855" spans="9:15" x14ac:dyDescent="0.35">
      <c r="I1855" s="35"/>
      <c r="O1855" s="35"/>
    </row>
    <row r="1856" spans="9:15" x14ac:dyDescent="0.35">
      <c r="I1856" s="35"/>
      <c r="O1856" s="35"/>
    </row>
    <row r="1857" spans="9:15" x14ac:dyDescent="0.35">
      <c r="I1857" s="35"/>
      <c r="O1857" s="35"/>
    </row>
    <row r="1858" spans="9:15" x14ac:dyDescent="0.35">
      <c r="I1858" s="35"/>
      <c r="O1858" s="35"/>
    </row>
    <row r="1859" spans="9:15" x14ac:dyDescent="0.35">
      <c r="I1859" s="35"/>
      <c r="O1859" s="35"/>
    </row>
    <row r="1860" spans="9:15" x14ac:dyDescent="0.35">
      <c r="I1860" s="35"/>
      <c r="O1860" s="35"/>
    </row>
    <row r="1861" spans="9:15" x14ac:dyDescent="0.35">
      <c r="I1861" s="35"/>
      <c r="O1861" s="35"/>
    </row>
    <row r="1862" spans="9:15" x14ac:dyDescent="0.35">
      <c r="I1862" s="35"/>
      <c r="O1862" s="35"/>
    </row>
    <row r="1863" spans="9:15" x14ac:dyDescent="0.35">
      <c r="I1863" s="35"/>
      <c r="O1863" s="35"/>
    </row>
    <row r="1864" spans="9:15" x14ac:dyDescent="0.35">
      <c r="I1864" s="35"/>
      <c r="O1864" s="35"/>
    </row>
    <row r="1865" spans="9:15" x14ac:dyDescent="0.35">
      <c r="I1865" s="35"/>
      <c r="O1865" s="35"/>
    </row>
    <row r="1866" spans="9:15" x14ac:dyDescent="0.35">
      <c r="I1866" s="35"/>
      <c r="O1866" s="35"/>
    </row>
    <row r="1867" spans="9:15" x14ac:dyDescent="0.35">
      <c r="I1867" s="35"/>
      <c r="O1867" s="35"/>
    </row>
    <row r="1868" spans="9:15" x14ac:dyDescent="0.35">
      <c r="I1868" s="35"/>
      <c r="O1868" s="35"/>
    </row>
    <row r="1869" spans="9:15" x14ac:dyDescent="0.35">
      <c r="I1869" s="35"/>
      <c r="O1869" s="35"/>
    </row>
    <row r="1870" spans="9:15" x14ac:dyDescent="0.35">
      <c r="I1870" s="35"/>
      <c r="O1870" s="35"/>
    </row>
    <row r="1871" spans="9:15" x14ac:dyDescent="0.35">
      <c r="I1871" s="35"/>
      <c r="O1871" s="35"/>
    </row>
    <row r="1872" spans="9:15" x14ac:dyDescent="0.35">
      <c r="I1872" s="35"/>
      <c r="O1872" s="35"/>
    </row>
    <row r="1873" spans="9:15" x14ac:dyDescent="0.35">
      <c r="I1873" s="35"/>
      <c r="O1873" s="35"/>
    </row>
    <row r="1874" spans="9:15" x14ac:dyDescent="0.35">
      <c r="I1874" s="35"/>
      <c r="O1874" s="35"/>
    </row>
    <row r="1875" spans="9:15" x14ac:dyDescent="0.35">
      <c r="I1875" s="35"/>
      <c r="O1875" s="35"/>
    </row>
    <row r="1876" spans="9:15" x14ac:dyDescent="0.35">
      <c r="I1876" s="35"/>
      <c r="O1876" s="35"/>
    </row>
    <row r="1877" spans="9:15" x14ac:dyDescent="0.35">
      <c r="I1877" s="35"/>
      <c r="O1877" s="35"/>
    </row>
    <row r="1878" spans="9:15" x14ac:dyDescent="0.35">
      <c r="I1878" s="35"/>
      <c r="O1878" s="35"/>
    </row>
    <row r="1879" spans="9:15" x14ac:dyDescent="0.35">
      <c r="I1879" s="35"/>
      <c r="O1879" s="35"/>
    </row>
    <row r="1880" spans="9:15" x14ac:dyDescent="0.35">
      <c r="I1880" s="35"/>
      <c r="O1880" s="35"/>
    </row>
    <row r="1881" spans="9:15" x14ac:dyDescent="0.35">
      <c r="I1881" s="35"/>
      <c r="O1881" s="35"/>
    </row>
    <row r="1882" spans="9:15" x14ac:dyDescent="0.35">
      <c r="I1882" s="35"/>
      <c r="O1882" s="35"/>
    </row>
    <row r="1883" spans="9:15" x14ac:dyDescent="0.35">
      <c r="I1883" s="35"/>
      <c r="O1883" s="35"/>
    </row>
    <row r="1884" spans="9:15" x14ac:dyDescent="0.35">
      <c r="I1884" s="35"/>
      <c r="O1884" s="35"/>
    </row>
    <row r="1885" spans="9:15" x14ac:dyDescent="0.35">
      <c r="I1885" s="35"/>
      <c r="O1885" s="35"/>
    </row>
    <row r="1886" spans="9:15" x14ac:dyDescent="0.35">
      <c r="I1886" s="35"/>
      <c r="O1886" s="35"/>
    </row>
    <row r="1887" spans="9:15" x14ac:dyDescent="0.35">
      <c r="I1887" s="35"/>
      <c r="O1887" s="35"/>
    </row>
    <row r="1888" spans="9:15" x14ac:dyDescent="0.35">
      <c r="I1888" s="35"/>
      <c r="O1888" s="35"/>
    </row>
    <row r="1889" spans="9:15" x14ac:dyDescent="0.35">
      <c r="I1889" s="35"/>
      <c r="O1889" s="35"/>
    </row>
    <row r="1890" spans="9:15" x14ac:dyDescent="0.35">
      <c r="I1890" s="35"/>
      <c r="O1890" s="35"/>
    </row>
    <row r="1891" spans="9:15" x14ac:dyDescent="0.35">
      <c r="I1891" s="35"/>
      <c r="O1891" s="35"/>
    </row>
    <row r="1892" spans="9:15" x14ac:dyDescent="0.35">
      <c r="I1892" s="35"/>
      <c r="O1892" s="35"/>
    </row>
    <row r="1893" spans="9:15" x14ac:dyDescent="0.35">
      <c r="I1893" s="35"/>
      <c r="O1893" s="35"/>
    </row>
    <row r="1894" spans="9:15" x14ac:dyDescent="0.35">
      <c r="I1894" s="35"/>
      <c r="O1894" s="35"/>
    </row>
    <row r="1895" spans="9:15" x14ac:dyDescent="0.35">
      <c r="I1895" s="35"/>
      <c r="O1895" s="35"/>
    </row>
    <row r="1896" spans="9:15" x14ac:dyDescent="0.35">
      <c r="I1896" s="35"/>
      <c r="O1896" s="35"/>
    </row>
    <row r="1897" spans="9:15" x14ac:dyDescent="0.35">
      <c r="I1897" s="35"/>
      <c r="O1897" s="35"/>
    </row>
    <row r="1898" spans="9:15" x14ac:dyDescent="0.35">
      <c r="I1898" s="35"/>
      <c r="O1898" s="35"/>
    </row>
    <row r="1899" spans="9:15" x14ac:dyDescent="0.35">
      <c r="I1899" s="35"/>
      <c r="O1899" s="35"/>
    </row>
    <row r="1900" spans="9:15" x14ac:dyDescent="0.35">
      <c r="I1900" s="35"/>
      <c r="O1900" s="35"/>
    </row>
    <row r="1901" spans="9:15" x14ac:dyDescent="0.35">
      <c r="I1901" s="35"/>
      <c r="O1901" s="35"/>
    </row>
    <row r="1902" spans="9:15" x14ac:dyDescent="0.35">
      <c r="I1902" s="35"/>
      <c r="O1902" s="35"/>
    </row>
    <row r="1903" spans="9:15" x14ac:dyDescent="0.35">
      <c r="I1903" s="35"/>
      <c r="O1903" s="35"/>
    </row>
    <row r="1904" spans="9:15" x14ac:dyDescent="0.35">
      <c r="I1904" s="35"/>
      <c r="O1904" s="35"/>
    </row>
    <row r="1905" spans="9:15" x14ac:dyDescent="0.35">
      <c r="I1905" s="35"/>
      <c r="O1905" s="35"/>
    </row>
    <row r="1906" spans="9:15" x14ac:dyDescent="0.35">
      <c r="I1906" s="35"/>
      <c r="O1906" s="35"/>
    </row>
    <row r="1907" spans="9:15" x14ac:dyDescent="0.35">
      <c r="I1907" s="35"/>
      <c r="O1907" s="35"/>
    </row>
    <row r="1908" spans="9:15" x14ac:dyDescent="0.35">
      <c r="I1908" s="35"/>
      <c r="O1908" s="35"/>
    </row>
    <row r="1909" spans="9:15" x14ac:dyDescent="0.35">
      <c r="I1909" s="35"/>
      <c r="O1909" s="35"/>
    </row>
    <row r="1910" spans="9:15" x14ac:dyDescent="0.35">
      <c r="I1910" s="35"/>
      <c r="O1910" s="35"/>
    </row>
    <row r="1911" spans="9:15" x14ac:dyDescent="0.35">
      <c r="I1911" s="35"/>
      <c r="O1911" s="35"/>
    </row>
    <row r="1912" spans="9:15" x14ac:dyDescent="0.35">
      <c r="I1912" s="35"/>
      <c r="O1912" s="35"/>
    </row>
    <row r="1913" spans="9:15" x14ac:dyDescent="0.35">
      <c r="I1913" s="35"/>
      <c r="O1913" s="35"/>
    </row>
    <row r="1914" spans="9:15" x14ac:dyDescent="0.35">
      <c r="I1914" s="35"/>
      <c r="O1914" s="35"/>
    </row>
    <row r="1915" spans="9:15" x14ac:dyDescent="0.35">
      <c r="I1915" s="35"/>
      <c r="O1915" s="35"/>
    </row>
    <row r="1916" spans="9:15" x14ac:dyDescent="0.35">
      <c r="I1916" s="35"/>
      <c r="O1916" s="35"/>
    </row>
    <row r="1917" spans="9:15" x14ac:dyDescent="0.35">
      <c r="I1917" s="35"/>
      <c r="O1917" s="35"/>
    </row>
    <row r="1918" spans="9:15" x14ac:dyDescent="0.35">
      <c r="I1918" s="35"/>
      <c r="O1918" s="35"/>
    </row>
    <row r="1919" spans="9:15" x14ac:dyDescent="0.35">
      <c r="I1919" s="35"/>
      <c r="O1919" s="35"/>
    </row>
    <row r="1920" spans="9:15" x14ac:dyDescent="0.35">
      <c r="I1920" s="35"/>
      <c r="O1920" s="35"/>
    </row>
    <row r="1921" spans="9:15" x14ac:dyDescent="0.35">
      <c r="I1921" s="35"/>
      <c r="O1921" s="35"/>
    </row>
    <row r="1922" spans="9:15" x14ac:dyDescent="0.35">
      <c r="I1922" s="35"/>
      <c r="O1922" s="35"/>
    </row>
    <row r="1923" spans="9:15" x14ac:dyDescent="0.35">
      <c r="I1923" s="35"/>
      <c r="O1923" s="35"/>
    </row>
    <row r="1924" spans="9:15" x14ac:dyDescent="0.35">
      <c r="I1924" s="35"/>
      <c r="O1924" s="35"/>
    </row>
    <row r="1925" spans="9:15" x14ac:dyDescent="0.35">
      <c r="I1925" s="35"/>
      <c r="O1925" s="35"/>
    </row>
    <row r="1926" spans="9:15" x14ac:dyDescent="0.35">
      <c r="I1926" s="35"/>
      <c r="O1926" s="35"/>
    </row>
    <row r="1927" spans="9:15" x14ac:dyDescent="0.35">
      <c r="I1927" s="35"/>
      <c r="O1927" s="35"/>
    </row>
    <row r="1928" spans="9:15" x14ac:dyDescent="0.35">
      <c r="I1928" s="35"/>
      <c r="O1928" s="35"/>
    </row>
    <row r="1929" spans="9:15" x14ac:dyDescent="0.35">
      <c r="I1929" s="35"/>
      <c r="O1929" s="35"/>
    </row>
    <row r="1930" spans="9:15" x14ac:dyDescent="0.35">
      <c r="I1930" s="35"/>
      <c r="O1930" s="35"/>
    </row>
    <row r="1931" spans="9:15" x14ac:dyDescent="0.35">
      <c r="I1931" s="35"/>
      <c r="O1931" s="35"/>
    </row>
    <row r="1932" spans="9:15" x14ac:dyDescent="0.35">
      <c r="I1932" s="35"/>
      <c r="O1932" s="35"/>
    </row>
    <row r="1933" spans="9:15" x14ac:dyDescent="0.35">
      <c r="I1933" s="35"/>
      <c r="O1933" s="35"/>
    </row>
    <row r="1934" spans="9:15" x14ac:dyDescent="0.35">
      <c r="I1934" s="35"/>
      <c r="O1934" s="35"/>
    </row>
    <row r="1935" spans="9:15" x14ac:dyDescent="0.35">
      <c r="I1935" s="35"/>
      <c r="O1935" s="35"/>
    </row>
    <row r="1936" spans="9:15" x14ac:dyDescent="0.35">
      <c r="I1936" s="35"/>
      <c r="O1936" s="35"/>
    </row>
    <row r="1937" spans="9:15" x14ac:dyDescent="0.35">
      <c r="I1937" s="35"/>
      <c r="O1937" s="35"/>
    </row>
    <row r="1938" spans="9:15" x14ac:dyDescent="0.35">
      <c r="I1938" s="35"/>
      <c r="O1938" s="35"/>
    </row>
    <row r="1939" spans="9:15" x14ac:dyDescent="0.35">
      <c r="I1939" s="35"/>
      <c r="O1939" s="35"/>
    </row>
    <row r="1940" spans="9:15" x14ac:dyDescent="0.35">
      <c r="I1940" s="35"/>
      <c r="O1940" s="35"/>
    </row>
    <row r="1941" spans="9:15" x14ac:dyDescent="0.35">
      <c r="I1941" s="35"/>
      <c r="O1941" s="35"/>
    </row>
    <row r="1942" spans="9:15" x14ac:dyDescent="0.35">
      <c r="I1942" s="35"/>
      <c r="O1942" s="35"/>
    </row>
    <row r="1943" spans="9:15" x14ac:dyDescent="0.35">
      <c r="I1943" s="35"/>
      <c r="O1943" s="35"/>
    </row>
    <row r="1944" spans="9:15" x14ac:dyDescent="0.35">
      <c r="I1944" s="35"/>
      <c r="O1944" s="35"/>
    </row>
    <row r="1945" spans="9:15" x14ac:dyDescent="0.35">
      <c r="I1945" s="35"/>
      <c r="O1945" s="35"/>
    </row>
    <row r="1946" spans="9:15" x14ac:dyDescent="0.35">
      <c r="I1946" s="35"/>
      <c r="O1946" s="35"/>
    </row>
    <row r="1947" spans="9:15" x14ac:dyDescent="0.35">
      <c r="I1947" s="35"/>
      <c r="O1947" s="35"/>
    </row>
    <row r="1948" spans="9:15" x14ac:dyDescent="0.35">
      <c r="I1948" s="35"/>
      <c r="O1948" s="35"/>
    </row>
    <row r="1949" spans="9:15" x14ac:dyDescent="0.35">
      <c r="I1949" s="35"/>
      <c r="O1949" s="35"/>
    </row>
    <row r="1950" spans="9:15" x14ac:dyDescent="0.35">
      <c r="I1950" s="35"/>
      <c r="O1950" s="35"/>
    </row>
    <row r="1951" spans="9:15" x14ac:dyDescent="0.35">
      <c r="I1951" s="35"/>
      <c r="O1951" s="35"/>
    </row>
    <row r="1952" spans="9:15" x14ac:dyDescent="0.35">
      <c r="I1952" s="35"/>
      <c r="O1952" s="35"/>
    </row>
    <row r="1953" spans="9:15" x14ac:dyDescent="0.35">
      <c r="I1953" s="35"/>
      <c r="O1953" s="35"/>
    </row>
    <row r="1954" spans="9:15" x14ac:dyDescent="0.35">
      <c r="I1954" s="35"/>
      <c r="O1954" s="35"/>
    </row>
    <row r="1955" spans="9:15" x14ac:dyDescent="0.35">
      <c r="I1955" s="35"/>
      <c r="O1955" s="35"/>
    </row>
    <row r="1956" spans="9:15" x14ac:dyDescent="0.35">
      <c r="I1956" s="35"/>
      <c r="O1956" s="35"/>
    </row>
    <row r="1957" spans="9:15" x14ac:dyDescent="0.35">
      <c r="I1957" s="35"/>
      <c r="O1957" s="35"/>
    </row>
    <row r="1958" spans="9:15" x14ac:dyDescent="0.35">
      <c r="I1958" s="35"/>
      <c r="O1958" s="35"/>
    </row>
    <row r="1959" spans="9:15" x14ac:dyDescent="0.35">
      <c r="I1959" s="35"/>
      <c r="O1959" s="35"/>
    </row>
    <row r="1960" spans="9:15" x14ac:dyDescent="0.35">
      <c r="I1960" s="35"/>
      <c r="O1960" s="35"/>
    </row>
    <row r="1961" spans="9:15" x14ac:dyDescent="0.35">
      <c r="I1961" s="35"/>
      <c r="O1961" s="35"/>
    </row>
    <row r="1962" spans="9:15" x14ac:dyDescent="0.35">
      <c r="I1962" s="35"/>
      <c r="O1962" s="35"/>
    </row>
    <row r="1963" spans="9:15" x14ac:dyDescent="0.35">
      <c r="I1963" s="35"/>
      <c r="O1963" s="35"/>
    </row>
    <row r="1964" spans="9:15" x14ac:dyDescent="0.35">
      <c r="I1964" s="35"/>
      <c r="O1964" s="35"/>
    </row>
    <row r="1965" spans="9:15" x14ac:dyDescent="0.35">
      <c r="I1965" s="35"/>
      <c r="O1965" s="35"/>
    </row>
    <row r="1966" spans="9:15" x14ac:dyDescent="0.35">
      <c r="I1966" s="35"/>
      <c r="O1966" s="35"/>
    </row>
    <row r="1967" spans="9:15" x14ac:dyDescent="0.35">
      <c r="I1967" s="35"/>
      <c r="O1967" s="35"/>
    </row>
    <row r="1968" spans="9:15" x14ac:dyDescent="0.35">
      <c r="I1968" s="35"/>
      <c r="O1968" s="35"/>
    </row>
    <row r="1969" spans="9:15" x14ac:dyDescent="0.35">
      <c r="I1969" s="35"/>
      <c r="O1969" s="35"/>
    </row>
    <row r="1970" spans="9:15" x14ac:dyDescent="0.35">
      <c r="I1970" s="35"/>
      <c r="O1970" s="35"/>
    </row>
    <row r="1971" spans="9:15" x14ac:dyDescent="0.35">
      <c r="I1971" s="35"/>
      <c r="O1971" s="35"/>
    </row>
    <row r="1972" spans="9:15" x14ac:dyDescent="0.35">
      <c r="I1972" s="35"/>
      <c r="O1972" s="35"/>
    </row>
    <row r="1973" spans="9:15" x14ac:dyDescent="0.35">
      <c r="I1973" s="35"/>
      <c r="O1973" s="35"/>
    </row>
    <row r="1974" spans="9:15" x14ac:dyDescent="0.35">
      <c r="I1974" s="35"/>
      <c r="O1974" s="35"/>
    </row>
    <row r="1975" spans="9:15" x14ac:dyDescent="0.35">
      <c r="I1975" s="35"/>
      <c r="O1975" s="35"/>
    </row>
    <row r="1976" spans="9:15" x14ac:dyDescent="0.35">
      <c r="I1976" s="35"/>
      <c r="O1976" s="35"/>
    </row>
    <row r="1977" spans="9:15" x14ac:dyDescent="0.35">
      <c r="I1977" s="35"/>
      <c r="O1977" s="35"/>
    </row>
    <row r="1978" spans="9:15" x14ac:dyDescent="0.35">
      <c r="I1978" s="35"/>
      <c r="O1978" s="35"/>
    </row>
    <row r="1979" spans="9:15" x14ac:dyDescent="0.35">
      <c r="I1979" s="35"/>
      <c r="O1979" s="35"/>
    </row>
    <row r="1980" spans="9:15" x14ac:dyDescent="0.35">
      <c r="I1980" s="35"/>
      <c r="O1980" s="35"/>
    </row>
    <row r="1981" spans="9:15" x14ac:dyDescent="0.35">
      <c r="I1981" s="35"/>
      <c r="O1981" s="35"/>
    </row>
    <row r="1982" spans="9:15" x14ac:dyDescent="0.35">
      <c r="I1982" s="35"/>
      <c r="O1982" s="35"/>
    </row>
    <row r="1983" spans="9:15" x14ac:dyDescent="0.35">
      <c r="I1983" s="35"/>
      <c r="O1983" s="35"/>
    </row>
    <row r="1984" spans="9:15" x14ac:dyDescent="0.35">
      <c r="I1984" s="35"/>
      <c r="O1984" s="35"/>
    </row>
    <row r="1985" spans="9:15" x14ac:dyDescent="0.35">
      <c r="I1985" s="35"/>
      <c r="O1985" s="35"/>
    </row>
    <row r="1986" spans="9:15" x14ac:dyDescent="0.35">
      <c r="I1986" s="35"/>
      <c r="O1986" s="35"/>
    </row>
    <row r="1987" spans="9:15" x14ac:dyDescent="0.35">
      <c r="I1987" s="35"/>
      <c r="O1987" s="35"/>
    </row>
    <row r="1988" spans="9:15" x14ac:dyDescent="0.35">
      <c r="I1988" s="35"/>
      <c r="O1988" s="35"/>
    </row>
    <row r="1989" spans="9:15" x14ac:dyDescent="0.35">
      <c r="I1989" s="35"/>
      <c r="O1989" s="35"/>
    </row>
    <row r="1990" spans="9:15" x14ac:dyDescent="0.35">
      <c r="I1990" s="35"/>
      <c r="O1990" s="35"/>
    </row>
    <row r="1991" spans="9:15" x14ac:dyDescent="0.35">
      <c r="I1991" s="35"/>
      <c r="O1991" s="35"/>
    </row>
    <row r="1992" spans="9:15" x14ac:dyDescent="0.35">
      <c r="I1992" s="35"/>
      <c r="O1992" s="35"/>
    </row>
    <row r="1993" spans="9:15" x14ac:dyDescent="0.35">
      <c r="I1993" s="35"/>
      <c r="O1993" s="35"/>
    </row>
    <row r="1994" spans="9:15" x14ac:dyDescent="0.35">
      <c r="I1994" s="35"/>
      <c r="O1994" s="35"/>
    </row>
    <row r="1995" spans="9:15" x14ac:dyDescent="0.35">
      <c r="I1995" s="35"/>
      <c r="O1995" s="35"/>
    </row>
    <row r="1996" spans="9:15" x14ac:dyDescent="0.35">
      <c r="I1996" s="35"/>
      <c r="O1996" s="35"/>
    </row>
    <row r="1997" spans="9:15" x14ac:dyDescent="0.35">
      <c r="I1997" s="35"/>
      <c r="O1997" s="35"/>
    </row>
    <row r="1998" spans="9:15" x14ac:dyDescent="0.35">
      <c r="I1998" s="35"/>
      <c r="O1998" s="35"/>
    </row>
    <row r="1999" spans="9:15" x14ac:dyDescent="0.35">
      <c r="I1999" s="35"/>
      <c r="O1999" s="35"/>
    </row>
    <row r="2000" spans="9:15" x14ac:dyDescent="0.35">
      <c r="I2000" s="35"/>
      <c r="O2000" s="35"/>
    </row>
    <row r="2001" spans="9:15" x14ac:dyDescent="0.35">
      <c r="I2001" s="35"/>
      <c r="O2001" s="35"/>
    </row>
    <row r="2002" spans="9:15" x14ac:dyDescent="0.35">
      <c r="I2002" s="35"/>
      <c r="O2002" s="35"/>
    </row>
    <row r="2003" spans="9:15" x14ac:dyDescent="0.35">
      <c r="I2003" s="35"/>
      <c r="O2003" s="35"/>
    </row>
    <row r="2004" spans="9:15" x14ac:dyDescent="0.35">
      <c r="I2004" s="35"/>
      <c r="O2004" s="35"/>
    </row>
    <row r="2005" spans="9:15" x14ac:dyDescent="0.35">
      <c r="I2005" s="35"/>
      <c r="O2005" s="35"/>
    </row>
    <row r="2006" spans="9:15" x14ac:dyDescent="0.35">
      <c r="I2006" s="35"/>
      <c r="O2006" s="35"/>
    </row>
    <row r="2007" spans="9:15" x14ac:dyDescent="0.35">
      <c r="I2007" s="35"/>
      <c r="O2007" s="35"/>
    </row>
    <row r="2008" spans="9:15" x14ac:dyDescent="0.35">
      <c r="I2008" s="35"/>
      <c r="O2008" s="35"/>
    </row>
    <row r="2009" spans="9:15" x14ac:dyDescent="0.35">
      <c r="I2009" s="35"/>
      <c r="O2009" s="35"/>
    </row>
    <row r="2010" spans="9:15" x14ac:dyDescent="0.35">
      <c r="I2010" s="35"/>
      <c r="O2010" s="35"/>
    </row>
    <row r="2011" spans="9:15" x14ac:dyDescent="0.35">
      <c r="I2011" s="35"/>
      <c r="O2011" s="35"/>
    </row>
    <row r="2012" spans="9:15" x14ac:dyDescent="0.35">
      <c r="I2012" s="35"/>
      <c r="O2012" s="35"/>
    </row>
    <row r="2013" spans="9:15" x14ac:dyDescent="0.35">
      <c r="I2013" s="35"/>
      <c r="O2013" s="35"/>
    </row>
    <row r="2014" spans="9:15" x14ac:dyDescent="0.35">
      <c r="I2014" s="35"/>
      <c r="O2014" s="35"/>
    </row>
    <row r="2015" spans="9:15" x14ac:dyDescent="0.35">
      <c r="I2015" s="35"/>
      <c r="O2015" s="35"/>
    </row>
    <row r="2016" spans="9:15" x14ac:dyDescent="0.35">
      <c r="I2016" s="35"/>
      <c r="O2016" s="35"/>
    </row>
    <row r="2017" spans="9:15" x14ac:dyDescent="0.35">
      <c r="I2017" s="35"/>
      <c r="O2017" s="35"/>
    </row>
    <row r="2018" spans="9:15" x14ac:dyDescent="0.35">
      <c r="I2018" s="35"/>
      <c r="O2018" s="35"/>
    </row>
    <row r="2019" spans="9:15" x14ac:dyDescent="0.35">
      <c r="I2019" s="35"/>
      <c r="O2019" s="35"/>
    </row>
    <row r="2020" spans="9:15" x14ac:dyDescent="0.35">
      <c r="I2020" s="35"/>
      <c r="O2020" s="35"/>
    </row>
    <row r="2021" spans="9:15" x14ac:dyDescent="0.35">
      <c r="I2021" s="35"/>
      <c r="O2021" s="35"/>
    </row>
    <row r="2022" spans="9:15" x14ac:dyDescent="0.35">
      <c r="I2022" s="35"/>
      <c r="O2022" s="35"/>
    </row>
    <row r="2023" spans="9:15" x14ac:dyDescent="0.35">
      <c r="I2023" s="35"/>
      <c r="O2023" s="35"/>
    </row>
    <row r="2024" spans="9:15" x14ac:dyDescent="0.35">
      <c r="I2024" s="35"/>
      <c r="O2024" s="35"/>
    </row>
    <row r="2025" spans="9:15" x14ac:dyDescent="0.35">
      <c r="I2025" s="35"/>
      <c r="O2025" s="35"/>
    </row>
    <row r="2026" spans="9:15" x14ac:dyDescent="0.35">
      <c r="I2026" s="35"/>
      <c r="O2026" s="35"/>
    </row>
    <row r="2027" spans="9:15" x14ac:dyDescent="0.35">
      <c r="I2027" s="35"/>
      <c r="O2027" s="35"/>
    </row>
    <row r="2028" spans="9:15" x14ac:dyDescent="0.35">
      <c r="I2028" s="35"/>
      <c r="O2028" s="35"/>
    </row>
    <row r="2029" spans="9:15" x14ac:dyDescent="0.35">
      <c r="I2029" s="35"/>
      <c r="O2029" s="35"/>
    </row>
    <row r="2030" spans="9:15" x14ac:dyDescent="0.35">
      <c r="I2030" s="35"/>
      <c r="O2030" s="35"/>
    </row>
    <row r="2031" spans="9:15" x14ac:dyDescent="0.35">
      <c r="I2031" s="35"/>
      <c r="O2031" s="35"/>
    </row>
    <row r="2032" spans="9:15" x14ac:dyDescent="0.35">
      <c r="I2032" s="35"/>
      <c r="O2032" s="35"/>
    </row>
    <row r="2033" spans="9:15" x14ac:dyDescent="0.35">
      <c r="I2033" s="35"/>
      <c r="O2033" s="35"/>
    </row>
    <row r="2034" spans="9:15" x14ac:dyDescent="0.35">
      <c r="I2034" s="35"/>
      <c r="O2034" s="35"/>
    </row>
    <row r="2035" spans="9:15" x14ac:dyDescent="0.35">
      <c r="I2035" s="35"/>
      <c r="O2035" s="35"/>
    </row>
    <row r="2036" spans="9:15" x14ac:dyDescent="0.35">
      <c r="I2036" s="35"/>
      <c r="O2036" s="35"/>
    </row>
    <row r="2037" spans="9:15" x14ac:dyDescent="0.35">
      <c r="I2037" s="35"/>
      <c r="O2037" s="35"/>
    </row>
    <row r="2038" spans="9:15" x14ac:dyDescent="0.35">
      <c r="I2038" s="35"/>
      <c r="O2038" s="35"/>
    </row>
    <row r="2039" spans="9:15" x14ac:dyDescent="0.35">
      <c r="I2039" s="35"/>
      <c r="O2039" s="35"/>
    </row>
    <row r="2040" spans="9:15" x14ac:dyDescent="0.35">
      <c r="I2040" s="35"/>
      <c r="O2040" s="35"/>
    </row>
    <row r="2041" spans="9:15" x14ac:dyDescent="0.35">
      <c r="I2041" s="35"/>
      <c r="O2041" s="35"/>
    </row>
    <row r="2042" spans="9:15" x14ac:dyDescent="0.35">
      <c r="I2042" s="35"/>
      <c r="O2042" s="35"/>
    </row>
    <row r="2043" spans="9:15" x14ac:dyDescent="0.35">
      <c r="I2043" s="35"/>
      <c r="O2043" s="35"/>
    </row>
    <row r="2044" spans="9:15" x14ac:dyDescent="0.35">
      <c r="I2044" s="35"/>
      <c r="O2044" s="35"/>
    </row>
    <row r="2045" spans="9:15" x14ac:dyDescent="0.35">
      <c r="I2045" s="35"/>
      <c r="O2045" s="35"/>
    </row>
    <row r="2046" spans="9:15" x14ac:dyDescent="0.35">
      <c r="I2046" s="35"/>
      <c r="O2046" s="35"/>
    </row>
    <row r="2047" spans="9:15" x14ac:dyDescent="0.35">
      <c r="I2047" s="35"/>
      <c r="O2047" s="35"/>
    </row>
    <row r="2048" spans="9:15" x14ac:dyDescent="0.35">
      <c r="I2048" s="35"/>
      <c r="O2048" s="35"/>
    </row>
    <row r="2049" spans="9:15" x14ac:dyDescent="0.35">
      <c r="I2049" s="35"/>
      <c r="O2049" s="35"/>
    </row>
    <row r="2050" spans="9:15" x14ac:dyDescent="0.35">
      <c r="I2050" s="35"/>
      <c r="O2050" s="35"/>
    </row>
    <row r="2051" spans="9:15" x14ac:dyDescent="0.35">
      <c r="I2051" s="35"/>
      <c r="O2051" s="35"/>
    </row>
    <row r="2052" spans="9:15" x14ac:dyDescent="0.35">
      <c r="I2052" s="35"/>
      <c r="O2052" s="35"/>
    </row>
    <row r="2053" spans="9:15" x14ac:dyDescent="0.35">
      <c r="I2053" s="35"/>
      <c r="O2053" s="35"/>
    </row>
    <row r="2054" spans="9:15" x14ac:dyDescent="0.35">
      <c r="I2054" s="35"/>
      <c r="O2054" s="35"/>
    </row>
    <row r="2055" spans="9:15" x14ac:dyDescent="0.35">
      <c r="I2055" s="35"/>
      <c r="O2055" s="35"/>
    </row>
    <row r="2056" spans="9:15" x14ac:dyDescent="0.35">
      <c r="I2056" s="35"/>
      <c r="O2056" s="35"/>
    </row>
    <row r="2057" spans="9:15" x14ac:dyDescent="0.35">
      <c r="I2057" s="35"/>
      <c r="O2057" s="35"/>
    </row>
    <row r="2058" spans="9:15" x14ac:dyDescent="0.35">
      <c r="I2058" s="35"/>
      <c r="O2058" s="35"/>
    </row>
    <row r="2059" spans="9:15" x14ac:dyDescent="0.35">
      <c r="I2059" s="35"/>
      <c r="O2059" s="35"/>
    </row>
    <row r="2060" spans="9:15" x14ac:dyDescent="0.35">
      <c r="I2060" s="35"/>
      <c r="O2060" s="35"/>
    </row>
    <row r="2061" spans="9:15" x14ac:dyDescent="0.35">
      <c r="I2061" s="35"/>
      <c r="O2061" s="35"/>
    </row>
    <row r="2062" spans="9:15" x14ac:dyDescent="0.35">
      <c r="I2062" s="35"/>
      <c r="O2062" s="35"/>
    </row>
    <row r="2063" spans="9:15" x14ac:dyDescent="0.35">
      <c r="I2063" s="35"/>
      <c r="O2063" s="35"/>
    </row>
    <row r="2064" spans="9:15" x14ac:dyDescent="0.35">
      <c r="I2064" s="35"/>
      <c r="O2064" s="35"/>
    </row>
    <row r="2065" spans="9:15" x14ac:dyDescent="0.35">
      <c r="I2065" s="35"/>
      <c r="O2065" s="35"/>
    </row>
    <row r="2066" spans="9:15" x14ac:dyDescent="0.35">
      <c r="I2066" s="35"/>
      <c r="O2066" s="35"/>
    </row>
    <row r="2067" spans="9:15" x14ac:dyDescent="0.35">
      <c r="I2067" s="35"/>
      <c r="O2067" s="35"/>
    </row>
    <row r="2068" spans="9:15" x14ac:dyDescent="0.35">
      <c r="I2068" s="35"/>
      <c r="O2068" s="35"/>
    </row>
    <row r="2069" spans="9:15" x14ac:dyDescent="0.35">
      <c r="I2069" s="35"/>
      <c r="O2069" s="35"/>
    </row>
    <row r="2070" spans="9:15" x14ac:dyDescent="0.35">
      <c r="I2070" s="35"/>
      <c r="O2070" s="35"/>
    </row>
    <row r="2071" spans="9:15" x14ac:dyDescent="0.35">
      <c r="I2071" s="35"/>
      <c r="O2071" s="35"/>
    </row>
    <row r="2072" spans="9:15" x14ac:dyDescent="0.35">
      <c r="I2072" s="35"/>
      <c r="O2072" s="35"/>
    </row>
    <row r="2073" spans="9:15" x14ac:dyDescent="0.35">
      <c r="I2073" s="35"/>
      <c r="O2073" s="35"/>
    </row>
    <row r="2074" spans="9:15" x14ac:dyDescent="0.35">
      <c r="I2074" s="35"/>
      <c r="O2074" s="35"/>
    </row>
    <row r="2075" spans="9:15" x14ac:dyDescent="0.35">
      <c r="I2075" s="35"/>
      <c r="O2075" s="35"/>
    </row>
    <row r="2076" spans="9:15" x14ac:dyDescent="0.35">
      <c r="I2076" s="35"/>
      <c r="O2076" s="35"/>
    </row>
    <row r="2077" spans="9:15" x14ac:dyDescent="0.35">
      <c r="I2077" s="35"/>
      <c r="O2077" s="35"/>
    </row>
    <row r="2078" spans="9:15" x14ac:dyDescent="0.35">
      <c r="I2078" s="35"/>
      <c r="O2078" s="35"/>
    </row>
    <row r="2079" spans="9:15" x14ac:dyDescent="0.35">
      <c r="I2079" s="35"/>
      <c r="O2079" s="35"/>
    </row>
    <row r="2080" spans="9:15" x14ac:dyDescent="0.35">
      <c r="I2080" s="35"/>
      <c r="O2080" s="35"/>
    </row>
    <row r="2081" spans="9:15" x14ac:dyDescent="0.35">
      <c r="I2081" s="35"/>
      <c r="O2081" s="35"/>
    </row>
    <row r="2082" spans="9:15" x14ac:dyDescent="0.35">
      <c r="I2082" s="35"/>
      <c r="O2082" s="35"/>
    </row>
    <row r="2083" spans="9:15" x14ac:dyDescent="0.35">
      <c r="I2083" s="35"/>
      <c r="O2083" s="35"/>
    </row>
    <row r="2084" spans="9:15" x14ac:dyDescent="0.35">
      <c r="I2084" s="35"/>
      <c r="O2084" s="35"/>
    </row>
    <row r="2085" spans="9:15" x14ac:dyDescent="0.35">
      <c r="I2085" s="35"/>
      <c r="O2085" s="35"/>
    </row>
    <row r="2086" spans="9:15" x14ac:dyDescent="0.35">
      <c r="I2086" s="35"/>
      <c r="O2086" s="35"/>
    </row>
    <row r="2087" spans="9:15" x14ac:dyDescent="0.35">
      <c r="I2087" s="35"/>
      <c r="O2087" s="35"/>
    </row>
    <row r="2088" spans="9:15" x14ac:dyDescent="0.35">
      <c r="I2088" s="35"/>
      <c r="O2088" s="35"/>
    </row>
    <row r="2089" spans="9:15" x14ac:dyDescent="0.35">
      <c r="I2089" s="35"/>
      <c r="O2089" s="35"/>
    </row>
    <row r="2090" spans="9:15" x14ac:dyDescent="0.35">
      <c r="I2090" s="35"/>
      <c r="O2090" s="35"/>
    </row>
    <row r="2091" spans="9:15" x14ac:dyDescent="0.35">
      <c r="I2091" s="35"/>
      <c r="O2091" s="35"/>
    </row>
    <row r="2092" spans="9:15" x14ac:dyDescent="0.35">
      <c r="I2092" s="35"/>
      <c r="O2092" s="35"/>
    </row>
    <row r="2093" spans="9:15" x14ac:dyDescent="0.35">
      <c r="I2093" s="35"/>
      <c r="O2093" s="35"/>
    </row>
    <row r="2094" spans="9:15" x14ac:dyDescent="0.35">
      <c r="I2094" s="35"/>
      <c r="O2094" s="35"/>
    </row>
    <row r="2095" spans="9:15" x14ac:dyDescent="0.35">
      <c r="I2095" s="35"/>
      <c r="O2095" s="35"/>
    </row>
    <row r="2096" spans="9:15" x14ac:dyDescent="0.35">
      <c r="I2096" s="35"/>
      <c r="O2096" s="35"/>
    </row>
    <row r="2097" spans="9:15" x14ac:dyDescent="0.35">
      <c r="I2097" s="35"/>
      <c r="O2097" s="35"/>
    </row>
    <row r="2098" spans="9:15" x14ac:dyDescent="0.35">
      <c r="I2098" s="35"/>
      <c r="O2098" s="35"/>
    </row>
    <row r="2099" spans="9:15" x14ac:dyDescent="0.35">
      <c r="I2099" s="35"/>
      <c r="O2099" s="35"/>
    </row>
    <row r="2100" spans="9:15" x14ac:dyDescent="0.35">
      <c r="I2100" s="35"/>
      <c r="O2100" s="35"/>
    </row>
    <row r="2101" spans="9:15" x14ac:dyDescent="0.35">
      <c r="I2101" s="35"/>
      <c r="O2101" s="35"/>
    </row>
    <row r="2102" spans="9:15" x14ac:dyDescent="0.35">
      <c r="I2102" s="35"/>
      <c r="O2102" s="35"/>
    </row>
    <row r="2103" spans="9:15" x14ac:dyDescent="0.35">
      <c r="I2103" s="35"/>
      <c r="O2103" s="35"/>
    </row>
    <row r="2104" spans="9:15" x14ac:dyDescent="0.35">
      <c r="I2104" s="35"/>
      <c r="O2104" s="35"/>
    </row>
    <row r="2105" spans="9:15" x14ac:dyDescent="0.35">
      <c r="I2105" s="35"/>
      <c r="O2105" s="35"/>
    </row>
    <row r="2106" spans="9:15" x14ac:dyDescent="0.35">
      <c r="I2106" s="35"/>
      <c r="O2106" s="35"/>
    </row>
    <row r="2107" spans="9:15" x14ac:dyDescent="0.35">
      <c r="I2107" s="35"/>
      <c r="O2107" s="35"/>
    </row>
    <row r="2108" spans="9:15" x14ac:dyDescent="0.35">
      <c r="I2108" s="35"/>
      <c r="O2108" s="35"/>
    </row>
    <row r="2109" spans="9:15" x14ac:dyDescent="0.35">
      <c r="I2109" s="35"/>
      <c r="O2109" s="35"/>
    </row>
    <row r="2110" spans="9:15" x14ac:dyDescent="0.35">
      <c r="I2110" s="35"/>
      <c r="O2110" s="35"/>
    </row>
    <row r="2111" spans="9:15" x14ac:dyDescent="0.35">
      <c r="I2111" s="35"/>
      <c r="O2111" s="35"/>
    </row>
    <row r="2112" spans="9:15" x14ac:dyDescent="0.35">
      <c r="I2112" s="35"/>
      <c r="O2112" s="35"/>
    </row>
    <row r="2113" spans="9:15" x14ac:dyDescent="0.35">
      <c r="I2113" s="35"/>
      <c r="O2113" s="35"/>
    </row>
    <row r="2114" spans="9:15" x14ac:dyDescent="0.35">
      <c r="I2114" s="35"/>
      <c r="O2114" s="35"/>
    </row>
    <row r="2115" spans="9:15" x14ac:dyDescent="0.35">
      <c r="I2115" s="35"/>
      <c r="O2115" s="35"/>
    </row>
    <row r="2116" spans="9:15" x14ac:dyDescent="0.35">
      <c r="I2116" s="35"/>
      <c r="O2116" s="35"/>
    </row>
    <row r="2117" spans="9:15" x14ac:dyDescent="0.35">
      <c r="I2117" s="35"/>
      <c r="O2117" s="35"/>
    </row>
    <row r="2118" spans="9:15" x14ac:dyDescent="0.35">
      <c r="I2118" s="35"/>
      <c r="O2118" s="35"/>
    </row>
    <row r="2119" spans="9:15" x14ac:dyDescent="0.35">
      <c r="I2119" s="35"/>
      <c r="O2119" s="35"/>
    </row>
    <row r="2120" spans="9:15" x14ac:dyDescent="0.35">
      <c r="I2120" s="35"/>
      <c r="O2120" s="35"/>
    </row>
    <row r="2121" spans="9:15" x14ac:dyDescent="0.35">
      <c r="I2121" s="35"/>
      <c r="O2121" s="35"/>
    </row>
    <row r="2122" spans="9:15" x14ac:dyDescent="0.35">
      <c r="I2122" s="35"/>
      <c r="O2122" s="35"/>
    </row>
    <row r="2123" spans="9:15" x14ac:dyDescent="0.35">
      <c r="I2123" s="35"/>
      <c r="O2123" s="35"/>
    </row>
    <row r="2124" spans="9:15" x14ac:dyDescent="0.35">
      <c r="I2124" s="35"/>
      <c r="O2124" s="35"/>
    </row>
    <row r="2125" spans="9:15" x14ac:dyDescent="0.35">
      <c r="I2125" s="35"/>
      <c r="O2125" s="35"/>
    </row>
    <row r="2126" spans="9:15" x14ac:dyDescent="0.35">
      <c r="I2126" s="35"/>
      <c r="O2126" s="35"/>
    </row>
    <row r="2127" spans="9:15" x14ac:dyDescent="0.35">
      <c r="I2127" s="35"/>
      <c r="O2127" s="35"/>
    </row>
    <row r="2128" spans="9:15" x14ac:dyDescent="0.35">
      <c r="I2128" s="35"/>
      <c r="O2128" s="35"/>
    </row>
    <row r="2129" spans="9:15" x14ac:dyDescent="0.35">
      <c r="I2129" s="35"/>
      <c r="O2129" s="35"/>
    </row>
    <row r="2130" spans="9:15" x14ac:dyDescent="0.35">
      <c r="I2130" s="35"/>
      <c r="O2130" s="35"/>
    </row>
    <row r="2131" spans="9:15" x14ac:dyDescent="0.35">
      <c r="I2131" s="35"/>
      <c r="O2131" s="35"/>
    </row>
    <row r="2132" spans="9:15" x14ac:dyDescent="0.35">
      <c r="I2132" s="35"/>
      <c r="O2132" s="35"/>
    </row>
    <row r="2133" spans="9:15" x14ac:dyDescent="0.35">
      <c r="I2133" s="35"/>
      <c r="O2133" s="35"/>
    </row>
    <row r="2134" spans="9:15" x14ac:dyDescent="0.35">
      <c r="I2134" s="35"/>
      <c r="O2134" s="35"/>
    </row>
    <row r="2135" spans="9:15" x14ac:dyDescent="0.35">
      <c r="I2135" s="35"/>
      <c r="O2135" s="35"/>
    </row>
    <row r="2136" spans="9:15" x14ac:dyDescent="0.35">
      <c r="I2136" s="35"/>
      <c r="O2136" s="35"/>
    </row>
    <row r="2137" spans="9:15" x14ac:dyDescent="0.35">
      <c r="I2137" s="35"/>
      <c r="O2137" s="35"/>
    </row>
    <row r="2138" spans="9:15" x14ac:dyDescent="0.35">
      <c r="I2138" s="35"/>
      <c r="O2138" s="35"/>
    </row>
    <row r="2139" spans="9:15" x14ac:dyDescent="0.35">
      <c r="I2139" s="35"/>
      <c r="O2139" s="35"/>
    </row>
    <row r="2140" spans="9:15" x14ac:dyDescent="0.35">
      <c r="I2140" s="35"/>
      <c r="O2140" s="35"/>
    </row>
    <row r="2141" spans="9:15" x14ac:dyDescent="0.35">
      <c r="I2141" s="35"/>
      <c r="O2141" s="35"/>
    </row>
    <row r="2142" spans="9:15" x14ac:dyDescent="0.35">
      <c r="I2142" s="35"/>
      <c r="O2142" s="35"/>
    </row>
    <row r="2143" spans="9:15" x14ac:dyDescent="0.35">
      <c r="I2143" s="35"/>
      <c r="O2143" s="35"/>
    </row>
    <row r="2144" spans="9:15" x14ac:dyDescent="0.35">
      <c r="I2144" s="35"/>
      <c r="O2144" s="35"/>
    </row>
    <row r="2145" spans="9:15" x14ac:dyDescent="0.35">
      <c r="I2145" s="35"/>
      <c r="O2145" s="35"/>
    </row>
    <row r="2146" spans="9:15" x14ac:dyDescent="0.35">
      <c r="I2146" s="35"/>
      <c r="O2146" s="35"/>
    </row>
    <row r="2147" spans="9:15" x14ac:dyDescent="0.35">
      <c r="I2147" s="35"/>
      <c r="O2147" s="35"/>
    </row>
    <row r="2148" spans="9:15" x14ac:dyDescent="0.35">
      <c r="I2148" s="35"/>
      <c r="O2148" s="35"/>
    </row>
    <row r="2149" spans="9:15" x14ac:dyDescent="0.35">
      <c r="I2149" s="35"/>
      <c r="O2149" s="35"/>
    </row>
    <row r="2150" spans="9:15" x14ac:dyDescent="0.35">
      <c r="I2150" s="35"/>
      <c r="O2150" s="35"/>
    </row>
    <row r="2151" spans="9:15" x14ac:dyDescent="0.35">
      <c r="I2151" s="35"/>
      <c r="O2151" s="35"/>
    </row>
    <row r="2152" spans="9:15" x14ac:dyDescent="0.35">
      <c r="I2152" s="35"/>
      <c r="O2152" s="35"/>
    </row>
    <row r="2153" spans="9:15" x14ac:dyDescent="0.35">
      <c r="I2153" s="35"/>
      <c r="O2153" s="35"/>
    </row>
    <row r="2154" spans="9:15" x14ac:dyDescent="0.35">
      <c r="I2154" s="35"/>
      <c r="O2154" s="35"/>
    </row>
    <row r="2155" spans="9:15" x14ac:dyDescent="0.35">
      <c r="I2155" s="35"/>
      <c r="O2155" s="35"/>
    </row>
    <row r="2156" spans="9:15" x14ac:dyDescent="0.35">
      <c r="I2156" s="35"/>
      <c r="O2156" s="35"/>
    </row>
    <row r="2157" spans="9:15" x14ac:dyDescent="0.35">
      <c r="I2157" s="35"/>
      <c r="O2157" s="35"/>
    </row>
    <row r="2158" spans="9:15" x14ac:dyDescent="0.35">
      <c r="I2158" s="35"/>
      <c r="O2158" s="35"/>
    </row>
    <row r="2159" spans="9:15" x14ac:dyDescent="0.35">
      <c r="I2159" s="35"/>
      <c r="O2159" s="35"/>
    </row>
    <row r="2160" spans="9:15" x14ac:dyDescent="0.35">
      <c r="I2160" s="35"/>
      <c r="O2160" s="35"/>
    </row>
    <row r="2161" spans="9:15" x14ac:dyDescent="0.35">
      <c r="I2161" s="35"/>
      <c r="O2161" s="35"/>
    </row>
    <row r="2162" spans="9:15" x14ac:dyDescent="0.35">
      <c r="I2162" s="35"/>
      <c r="O2162" s="35"/>
    </row>
    <row r="2163" spans="9:15" x14ac:dyDescent="0.35">
      <c r="I2163" s="35"/>
      <c r="O2163" s="35"/>
    </row>
    <row r="2164" spans="9:15" x14ac:dyDescent="0.35">
      <c r="I2164" s="35"/>
      <c r="O2164" s="35"/>
    </row>
    <row r="2165" spans="9:15" x14ac:dyDescent="0.35">
      <c r="I2165" s="35"/>
      <c r="O2165" s="35"/>
    </row>
    <row r="2166" spans="9:15" x14ac:dyDescent="0.35">
      <c r="I2166" s="35"/>
      <c r="O2166" s="35"/>
    </row>
    <row r="2167" spans="9:15" x14ac:dyDescent="0.35">
      <c r="I2167" s="35"/>
      <c r="O2167" s="35"/>
    </row>
    <row r="2168" spans="9:15" x14ac:dyDescent="0.35">
      <c r="I2168" s="35"/>
      <c r="O2168" s="35"/>
    </row>
    <row r="2169" spans="9:15" x14ac:dyDescent="0.35">
      <c r="I2169" s="35"/>
      <c r="O2169" s="35"/>
    </row>
    <row r="2170" spans="9:15" x14ac:dyDescent="0.35">
      <c r="I2170" s="35"/>
      <c r="O2170" s="35"/>
    </row>
    <row r="2171" spans="9:15" x14ac:dyDescent="0.35">
      <c r="I2171" s="35"/>
      <c r="O2171" s="35"/>
    </row>
    <row r="2172" spans="9:15" x14ac:dyDescent="0.35">
      <c r="I2172" s="35"/>
      <c r="O2172" s="35"/>
    </row>
    <row r="2173" spans="9:15" x14ac:dyDescent="0.35">
      <c r="I2173" s="35"/>
      <c r="O2173" s="35"/>
    </row>
    <row r="2174" spans="9:15" x14ac:dyDescent="0.35">
      <c r="I2174" s="35"/>
      <c r="O2174" s="35"/>
    </row>
    <row r="2175" spans="9:15" x14ac:dyDescent="0.35">
      <c r="I2175" s="35"/>
      <c r="O2175" s="35"/>
    </row>
    <row r="2176" spans="9:15" x14ac:dyDescent="0.35">
      <c r="I2176" s="35"/>
      <c r="O2176" s="35"/>
    </row>
    <row r="2177" spans="9:15" x14ac:dyDescent="0.35">
      <c r="I2177" s="35"/>
      <c r="O2177" s="35"/>
    </row>
    <row r="2178" spans="9:15" x14ac:dyDescent="0.35">
      <c r="I2178" s="35"/>
      <c r="O2178" s="35"/>
    </row>
    <row r="2179" spans="9:15" x14ac:dyDescent="0.35">
      <c r="I2179" s="35"/>
      <c r="O2179" s="35"/>
    </row>
    <row r="2180" spans="9:15" x14ac:dyDescent="0.35">
      <c r="I2180" s="35"/>
      <c r="O2180" s="35"/>
    </row>
    <row r="2181" spans="9:15" x14ac:dyDescent="0.35">
      <c r="I2181" s="35"/>
      <c r="O2181" s="35"/>
    </row>
    <row r="2182" spans="9:15" x14ac:dyDescent="0.35">
      <c r="I2182" s="35"/>
      <c r="O2182" s="35"/>
    </row>
    <row r="2183" spans="9:15" x14ac:dyDescent="0.35">
      <c r="I2183" s="35"/>
      <c r="O2183" s="35"/>
    </row>
    <row r="2184" spans="9:15" x14ac:dyDescent="0.35">
      <c r="I2184" s="35"/>
      <c r="O2184" s="35"/>
    </row>
    <row r="2185" spans="9:15" x14ac:dyDescent="0.35">
      <c r="I2185" s="35"/>
      <c r="O2185" s="35"/>
    </row>
    <row r="2186" spans="9:15" x14ac:dyDescent="0.35">
      <c r="I2186" s="35"/>
      <c r="O2186" s="35"/>
    </row>
    <row r="2187" spans="9:15" x14ac:dyDescent="0.35">
      <c r="I2187" s="35"/>
      <c r="O2187" s="35"/>
    </row>
    <row r="2188" spans="9:15" x14ac:dyDescent="0.35">
      <c r="I2188" s="35"/>
      <c r="O2188" s="35"/>
    </row>
    <row r="2189" spans="9:15" x14ac:dyDescent="0.35">
      <c r="I2189" s="35"/>
      <c r="O2189" s="35"/>
    </row>
    <row r="2190" spans="9:15" x14ac:dyDescent="0.35">
      <c r="I2190" s="35"/>
      <c r="O2190" s="35"/>
    </row>
    <row r="2191" spans="9:15" x14ac:dyDescent="0.35">
      <c r="I2191" s="35"/>
      <c r="O2191" s="35"/>
    </row>
    <row r="2192" spans="9:15" x14ac:dyDescent="0.35">
      <c r="I2192" s="35"/>
      <c r="O2192" s="35"/>
    </row>
    <row r="2193" spans="9:15" x14ac:dyDescent="0.35">
      <c r="I2193" s="35"/>
      <c r="O2193" s="35"/>
    </row>
    <row r="2194" spans="9:15" x14ac:dyDescent="0.35">
      <c r="I2194" s="35"/>
      <c r="O2194" s="35"/>
    </row>
    <row r="2195" spans="9:15" x14ac:dyDescent="0.35">
      <c r="I2195" s="35"/>
      <c r="O2195" s="35"/>
    </row>
    <row r="2196" spans="9:15" x14ac:dyDescent="0.35">
      <c r="I2196" s="35"/>
      <c r="O2196" s="35"/>
    </row>
    <row r="2197" spans="9:15" x14ac:dyDescent="0.35">
      <c r="I2197" s="35"/>
      <c r="O2197" s="35"/>
    </row>
    <row r="2198" spans="9:15" x14ac:dyDescent="0.35">
      <c r="I2198" s="35"/>
      <c r="O2198" s="35"/>
    </row>
    <row r="2199" spans="9:15" x14ac:dyDescent="0.35">
      <c r="I2199" s="35"/>
      <c r="O2199" s="35"/>
    </row>
    <row r="2200" spans="9:15" x14ac:dyDescent="0.35">
      <c r="I2200" s="35"/>
      <c r="O2200" s="35"/>
    </row>
    <row r="2201" spans="9:15" x14ac:dyDescent="0.35">
      <c r="I2201" s="35"/>
      <c r="O2201" s="35"/>
    </row>
    <row r="2202" spans="9:15" x14ac:dyDescent="0.35">
      <c r="I2202" s="35"/>
      <c r="O2202" s="35"/>
    </row>
    <row r="2203" spans="9:15" x14ac:dyDescent="0.35">
      <c r="I2203" s="35"/>
      <c r="O2203" s="35"/>
    </row>
    <row r="2204" spans="9:15" x14ac:dyDescent="0.35">
      <c r="I2204" s="35"/>
      <c r="O2204" s="35"/>
    </row>
    <row r="2205" spans="9:15" x14ac:dyDescent="0.35">
      <c r="I2205" s="35"/>
      <c r="O2205" s="35"/>
    </row>
    <row r="2206" spans="9:15" x14ac:dyDescent="0.35">
      <c r="I2206" s="35"/>
      <c r="O2206" s="35"/>
    </row>
    <row r="2207" spans="9:15" x14ac:dyDescent="0.35">
      <c r="I2207" s="35"/>
      <c r="O2207" s="35"/>
    </row>
    <row r="2208" spans="9:15" x14ac:dyDescent="0.35">
      <c r="I2208" s="35"/>
      <c r="O2208" s="35"/>
    </row>
    <row r="2209" spans="9:15" x14ac:dyDescent="0.35">
      <c r="I2209" s="35"/>
      <c r="O2209" s="35"/>
    </row>
    <row r="2210" spans="9:15" x14ac:dyDescent="0.35">
      <c r="I2210" s="35"/>
      <c r="O2210" s="35"/>
    </row>
    <row r="2211" spans="9:15" x14ac:dyDescent="0.35">
      <c r="I2211" s="35"/>
      <c r="O2211" s="35"/>
    </row>
    <row r="2212" spans="9:15" x14ac:dyDescent="0.35">
      <c r="I2212" s="35"/>
      <c r="O2212" s="35"/>
    </row>
    <row r="2213" spans="9:15" x14ac:dyDescent="0.35">
      <c r="I2213" s="35"/>
      <c r="O2213" s="35"/>
    </row>
    <row r="2214" spans="9:15" x14ac:dyDescent="0.35">
      <c r="I2214" s="35"/>
      <c r="O2214" s="35"/>
    </row>
    <row r="2215" spans="9:15" x14ac:dyDescent="0.35">
      <c r="I2215" s="35"/>
      <c r="O2215" s="35"/>
    </row>
    <row r="2216" spans="9:15" x14ac:dyDescent="0.35">
      <c r="I2216" s="35"/>
      <c r="O2216" s="35"/>
    </row>
    <row r="2217" spans="9:15" x14ac:dyDescent="0.35">
      <c r="I2217" s="35"/>
      <c r="O2217" s="35"/>
    </row>
    <row r="2218" spans="9:15" x14ac:dyDescent="0.35">
      <c r="I2218" s="35"/>
      <c r="O2218" s="35"/>
    </row>
    <row r="2219" spans="9:15" x14ac:dyDescent="0.35">
      <c r="I2219" s="35"/>
      <c r="O2219" s="35"/>
    </row>
    <row r="2220" spans="9:15" x14ac:dyDescent="0.35">
      <c r="I2220" s="35"/>
      <c r="O2220" s="35"/>
    </row>
    <row r="2221" spans="9:15" x14ac:dyDescent="0.35">
      <c r="I2221" s="35"/>
      <c r="O2221" s="35"/>
    </row>
    <row r="2222" spans="9:15" x14ac:dyDescent="0.35">
      <c r="I2222" s="35"/>
      <c r="O2222" s="35"/>
    </row>
    <row r="2223" spans="9:15" x14ac:dyDescent="0.35">
      <c r="I2223" s="35"/>
      <c r="O2223" s="35"/>
    </row>
    <row r="2224" spans="9:15" x14ac:dyDescent="0.35">
      <c r="I2224" s="35"/>
      <c r="O2224" s="35"/>
    </row>
    <row r="2225" spans="9:15" x14ac:dyDescent="0.35">
      <c r="I2225" s="35"/>
      <c r="O2225" s="35"/>
    </row>
    <row r="2226" spans="9:15" x14ac:dyDescent="0.35">
      <c r="I2226" s="35"/>
      <c r="O2226" s="35"/>
    </row>
    <row r="2227" spans="9:15" x14ac:dyDescent="0.35">
      <c r="I2227" s="35"/>
      <c r="O2227" s="35"/>
    </row>
    <row r="2228" spans="9:15" x14ac:dyDescent="0.35">
      <c r="I2228" s="35"/>
      <c r="O2228" s="35"/>
    </row>
    <row r="2229" spans="9:15" x14ac:dyDescent="0.35">
      <c r="I2229" s="35"/>
      <c r="O2229" s="35"/>
    </row>
    <row r="2230" spans="9:15" x14ac:dyDescent="0.35">
      <c r="I2230" s="35"/>
      <c r="O2230" s="35"/>
    </row>
    <row r="2231" spans="9:15" x14ac:dyDescent="0.35">
      <c r="I2231" s="35"/>
      <c r="O2231" s="35"/>
    </row>
    <row r="2232" spans="9:15" x14ac:dyDescent="0.35">
      <c r="I2232" s="35"/>
      <c r="O2232" s="35"/>
    </row>
    <row r="2233" spans="9:15" x14ac:dyDescent="0.35">
      <c r="I2233" s="35"/>
      <c r="O2233" s="35"/>
    </row>
    <row r="2234" spans="9:15" x14ac:dyDescent="0.35">
      <c r="I2234" s="35"/>
      <c r="O2234" s="35"/>
    </row>
    <row r="2235" spans="9:15" x14ac:dyDescent="0.35">
      <c r="I2235" s="35"/>
      <c r="O2235" s="35"/>
    </row>
    <row r="2236" spans="9:15" x14ac:dyDescent="0.35">
      <c r="I2236" s="35"/>
      <c r="O2236" s="35"/>
    </row>
    <row r="2237" spans="9:15" x14ac:dyDescent="0.35">
      <c r="I2237" s="35"/>
      <c r="O2237" s="35"/>
    </row>
    <row r="2238" spans="9:15" x14ac:dyDescent="0.35">
      <c r="I2238" s="35"/>
      <c r="O2238" s="35"/>
    </row>
    <row r="2239" spans="9:15" x14ac:dyDescent="0.35">
      <c r="I2239" s="35"/>
      <c r="O2239" s="35"/>
    </row>
    <row r="2240" spans="9:15" x14ac:dyDescent="0.35">
      <c r="I2240" s="35"/>
      <c r="O2240" s="35"/>
    </row>
    <row r="2241" spans="9:15" x14ac:dyDescent="0.35">
      <c r="I2241" s="35"/>
      <c r="O2241" s="35"/>
    </row>
    <row r="2242" spans="9:15" x14ac:dyDescent="0.35">
      <c r="I2242" s="35"/>
      <c r="O2242" s="35"/>
    </row>
    <row r="2243" spans="9:15" x14ac:dyDescent="0.35">
      <c r="I2243" s="35"/>
      <c r="O2243" s="35"/>
    </row>
    <row r="2244" spans="9:15" x14ac:dyDescent="0.35">
      <c r="I2244" s="35"/>
      <c r="O2244" s="35"/>
    </row>
    <row r="2245" spans="9:15" x14ac:dyDescent="0.35">
      <c r="I2245" s="35"/>
      <c r="O2245" s="35"/>
    </row>
    <row r="2246" spans="9:15" x14ac:dyDescent="0.35">
      <c r="I2246" s="35"/>
      <c r="O2246" s="35"/>
    </row>
    <row r="2247" spans="9:15" x14ac:dyDescent="0.35">
      <c r="I2247" s="35"/>
      <c r="O2247" s="35"/>
    </row>
    <row r="2248" spans="9:15" x14ac:dyDescent="0.35">
      <c r="I2248" s="35"/>
      <c r="O2248" s="35"/>
    </row>
    <row r="2249" spans="9:15" x14ac:dyDescent="0.35">
      <c r="I2249" s="35"/>
      <c r="O2249" s="35"/>
    </row>
    <row r="2250" spans="9:15" x14ac:dyDescent="0.35">
      <c r="I2250" s="35"/>
      <c r="O2250" s="35"/>
    </row>
    <row r="2251" spans="9:15" x14ac:dyDescent="0.35">
      <c r="I2251" s="35"/>
      <c r="O2251" s="35"/>
    </row>
    <row r="2252" spans="9:15" x14ac:dyDescent="0.35">
      <c r="I2252" s="35"/>
      <c r="O2252" s="35"/>
    </row>
    <row r="2253" spans="9:15" x14ac:dyDescent="0.35">
      <c r="I2253" s="35"/>
      <c r="O2253" s="35"/>
    </row>
    <row r="2254" spans="9:15" x14ac:dyDescent="0.35">
      <c r="I2254" s="35"/>
      <c r="O2254" s="35"/>
    </row>
    <row r="2255" spans="9:15" x14ac:dyDescent="0.35">
      <c r="I2255" s="35"/>
      <c r="O2255" s="35"/>
    </row>
    <row r="2256" spans="9:15" x14ac:dyDescent="0.35">
      <c r="I2256" s="35"/>
      <c r="O2256" s="35"/>
    </row>
    <row r="2257" spans="9:15" x14ac:dyDescent="0.35">
      <c r="I2257" s="35"/>
      <c r="O2257" s="35"/>
    </row>
    <row r="2258" spans="9:15" x14ac:dyDescent="0.35">
      <c r="I2258" s="35"/>
      <c r="O2258" s="35"/>
    </row>
    <row r="2259" spans="9:15" x14ac:dyDescent="0.35">
      <c r="I2259" s="35"/>
      <c r="O2259" s="35"/>
    </row>
    <row r="2260" spans="9:15" x14ac:dyDescent="0.35">
      <c r="I2260" s="35"/>
      <c r="O2260" s="35"/>
    </row>
    <row r="2261" spans="9:15" x14ac:dyDescent="0.35">
      <c r="I2261" s="35"/>
      <c r="O2261" s="35"/>
    </row>
    <row r="2262" spans="9:15" x14ac:dyDescent="0.35">
      <c r="I2262" s="35"/>
      <c r="O2262" s="35"/>
    </row>
    <row r="2263" spans="9:15" x14ac:dyDescent="0.35">
      <c r="I2263" s="35"/>
      <c r="O2263" s="35"/>
    </row>
    <row r="2264" spans="9:15" x14ac:dyDescent="0.35">
      <c r="I2264" s="35"/>
      <c r="O2264" s="35"/>
    </row>
    <row r="2265" spans="9:15" x14ac:dyDescent="0.35">
      <c r="I2265" s="35"/>
      <c r="O2265" s="35"/>
    </row>
    <row r="2266" spans="9:15" x14ac:dyDescent="0.35">
      <c r="I2266" s="35"/>
      <c r="O2266" s="35"/>
    </row>
    <row r="2267" spans="9:15" x14ac:dyDescent="0.35">
      <c r="I2267" s="35"/>
      <c r="O2267" s="35"/>
    </row>
    <row r="2268" spans="9:15" x14ac:dyDescent="0.35">
      <c r="I2268" s="35"/>
      <c r="O2268" s="35"/>
    </row>
    <row r="2269" spans="9:15" x14ac:dyDescent="0.35">
      <c r="I2269" s="35"/>
      <c r="O2269" s="35"/>
    </row>
    <row r="2270" spans="9:15" x14ac:dyDescent="0.35">
      <c r="I2270" s="35"/>
      <c r="O2270" s="35"/>
    </row>
    <row r="2271" spans="9:15" x14ac:dyDescent="0.35">
      <c r="I2271" s="35"/>
      <c r="O2271" s="35"/>
    </row>
    <row r="2272" spans="9:15" x14ac:dyDescent="0.35">
      <c r="I2272" s="35"/>
      <c r="O2272" s="35"/>
    </row>
    <row r="2273" spans="9:15" x14ac:dyDescent="0.35">
      <c r="I2273" s="35"/>
      <c r="O2273" s="35"/>
    </row>
    <row r="2274" spans="9:15" x14ac:dyDescent="0.35">
      <c r="I2274" s="35"/>
      <c r="O2274" s="35"/>
    </row>
    <row r="2275" spans="9:15" x14ac:dyDescent="0.35">
      <c r="I2275" s="35"/>
      <c r="O2275" s="35"/>
    </row>
    <row r="2276" spans="9:15" x14ac:dyDescent="0.35">
      <c r="I2276" s="35"/>
      <c r="O2276" s="35"/>
    </row>
    <row r="2277" spans="9:15" x14ac:dyDescent="0.35">
      <c r="I2277" s="35"/>
      <c r="O2277" s="35"/>
    </row>
    <row r="2278" spans="9:15" x14ac:dyDescent="0.35">
      <c r="I2278" s="35"/>
      <c r="O2278" s="35"/>
    </row>
    <row r="2279" spans="9:15" x14ac:dyDescent="0.35">
      <c r="I2279" s="35"/>
      <c r="O2279" s="35"/>
    </row>
    <row r="2280" spans="9:15" x14ac:dyDescent="0.35">
      <c r="I2280" s="35"/>
      <c r="O2280" s="35"/>
    </row>
    <row r="2281" spans="9:15" x14ac:dyDescent="0.35">
      <c r="I2281" s="35"/>
      <c r="O2281" s="35"/>
    </row>
    <row r="2282" spans="9:15" x14ac:dyDescent="0.35">
      <c r="I2282" s="35"/>
      <c r="O2282" s="35"/>
    </row>
    <row r="2283" spans="9:15" x14ac:dyDescent="0.35">
      <c r="I2283" s="35"/>
      <c r="O2283" s="35"/>
    </row>
    <row r="2284" spans="9:15" x14ac:dyDescent="0.35">
      <c r="I2284" s="35"/>
      <c r="O2284" s="35"/>
    </row>
    <row r="2285" spans="9:15" x14ac:dyDescent="0.35">
      <c r="I2285" s="35"/>
      <c r="O2285" s="35"/>
    </row>
    <row r="2286" spans="9:15" x14ac:dyDescent="0.35">
      <c r="I2286" s="35"/>
      <c r="O2286" s="35"/>
    </row>
    <row r="2287" spans="9:15" x14ac:dyDescent="0.35">
      <c r="I2287" s="35"/>
      <c r="O2287" s="35"/>
    </row>
    <row r="2288" spans="9:15" x14ac:dyDescent="0.35">
      <c r="I2288" s="35"/>
      <c r="O2288" s="35"/>
    </row>
    <row r="2289" spans="9:15" x14ac:dyDescent="0.35">
      <c r="I2289" s="35"/>
      <c r="O2289" s="35"/>
    </row>
    <row r="2290" spans="9:15" x14ac:dyDescent="0.35">
      <c r="I2290" s="35"/>
      <c r="O2290" s="35"/>
    </row>
    <row r="2291" spans="9:15" x14ac:dyDescent="0.35">
      <c r="I2291" s="35"/>
      <c r="O2291" s="35"/>
    </row>
    <row r="2292" spans="9:15" x14ac:dyDescent="0.35">
      <c r="I2292" s="35"/>
      <c r="O2292" s="35"/>
    </row>
    <row r="2293" spans="9:15" x14ac:dyDescent="0.35">
      <c r="I2293" s="35"/>
      <c r="O2293" s="35"/>
    </row>
    <row r="2294" spans="9:15" x14ac:dyDescent="0.35">
      <c r="I2294" s="35"/>
      <c r="O2294" s="35"/>
    </row>
    <row r="2295" spans="9:15" x14ac:dyDescent="0.35">
      <c r="I2295" s="35"/>
      <c r="O2295" s="35"/>
    </row>
    <row r="2296" spans="9:15" x14ac:dyDescent="0.35">
      <c r="I2296" s="35"/>
      <c r="O2296" s="35"/>
    </row>
    <row r="2297" spans="9:15" x14ac:dyDescent="0.35">
      <c r="I2297" s="35"/>
      <c r="O2297" s="35"/>
    </row>
    <row r="2298" spans="9:15" x14ac:dyDescent="0.35">
      <c r="I2298" s="35"/>
      <c r="O2298" s="35"/>
    </row>
    <row r="2299" spans="9:15" x14ac:dyDescent="0.35">
      <c r="I2299" s="35"/>
      <c r="O2299" s="35"/>
    </row>
    <row r="2300" spans="9:15" x14ac:dyDescent="0.35">
      <c r="I2300" s="35"/>
      <c r="O2300" s="35"/>
    </row>
    <row r="2301" spans="9:15" x14ac:dyDescent="0.35">
      <c r="I2301" s="35"/>
      <c r="O2301" s="35"/>
    </row>
    <row r="2302" spans="9:15" x14ac:dyDescent="0.35">
      <c r="I2302" s="35"/>
      <c r="O2302" s="35"/>
    </row>
    <row r="2303" spans="9:15" x14ac:dyDescent="0.35">
      <c r="I2303" s="35"/>
      <c r="O2303" s="35"/>
    </row>
    <row r="2304" spans="9:15" x14ac:dyDescent="0.35">
      <c r="I2304" s="35"/>
      <c r="O2304" s="35"/>
    </row>
    <row r="2305" spans="9:15" x14ac:dyDescent="0.35">
      <c r="I2305" s="35"/>
      <c r="O2305" s="35"/>
    </row>
    <row r="2306" spans="9:15" x14ac:dyDescent="0.35">
      <c r="I2306" s="35"/>
      <c r="O2306" s="35"/>
    </row>
    <row r="2307" spans="9:15" x14ac:dyDescent="0.35">
      <c r="I2307" s="35"/>
      <c r="O2307" s="35"/>
    </row>
    <row r="2308" spans="9:15" x14ac:dyDescent="0.35">
      <c r="I2308" s="35"/>
      <c r="O2308" s="35"/>
    </row>
    <row r="2309" spans="9:15" x14ac:dyDescent="0.35">
      <c r="I2309" s="35"/>
      <c r="O2309" s="35"/>
    </row>
    <row r="2310" spans="9:15" x14ac:dyDescent="0.35">
      <c r="I2310" s="35"/>
      <c r="O2310" s="35"/>
    </row>
    <row r="2311" spans="9:15" x14ac:dyDescent="0.35">
      <c r="I2311" s="35"/>
      <c r="O2311" s="35"/>
    </row>
    <row r="2312" spans="9:15" x14ac:dyDescent="0.35">
      <c r="I2312" s="35"/>
      <c r="O2312" s="35"/>
    </row>
    <row r="2313" spans="9:15" x14ac:dyDescent="0.35">
      <c r="I2313" s="35"/>
      <c r="O2313" s="35"/>
    </row>
    <row r="2314" spans="9:15" x14ac:dyDescent="0.35">
      <c r="I2314" s="35"/>
      <c r="O2314" s="35"/>
    </row>
    <row r="2315" spans="9:15" x14ac:dyDescent="0.35">
      <c r="I2315" s="35"/>
      <c r="O2315" s="35"/>
    </row>
    <row r="2316" spans="9:15" x14ac:dyDescent="0.35">
      <c r="I2316" s="35"/>
      <c r="O2316" s="35"/>
    </row>
    <row r="2317" spans="9:15" x14ac:dyDescent="0.35">
      <c r="I2317" s="35"/>
      <c r="O2317" s="35"/>
    </row>
    <row r="2318" spans="9:15" x14ac:dyDescent="0.35">
      <c r="I2318" s="35"/>
      <c r="O2318" s="35"/>
    </row>
    <row r="2319" spans="9:15" x14ac:dyDescent="0.35">
      <c r="I2319" s="35"/>
      <c r="O2319" s="35"/>
    </row>
    <row r="2320" spans="9:15" x14ac:dyDescent="0.35">
      <c r="I2320" s="35"/>
      <c r="O2320" s="35"/>
    </row>
    <row r="2321" spans="9:15" x14ac:dyDescent="0.35">
      <c r="I2321" s="35"/>
      <c r="O2321" s="35"/>
    </row>
    <row r="2322" spans="9:15" x14ac:dyDescent="0.35">
      <c r="I2322" s="35"/>
      <c r="O2322" s="35"/>
    </row>
    <row r="2323" spans="9:15" x14ac:dyDescent="0.35">
      <c r="I2323" s="35"/>
      <c r="O2323" s="35"/>
    </row>
    <row r="2324" spans="9:15" x14ac:dyDescent="0.35">
      <c r="I2324" s="35"/>
      <c r="O2324" s="35"/>
    </row>
    <row r="2325" spans="9:15" x14ac:dyDescent="0.35">
      <c r="I2325" s="35"/>
      <c r="O2325" s="35"/>
    </row>
    <row r="2326" spans="9:15" x14ac:dyDescent="0.35">
      <c r="I2326" s="35"/>
      <c r="O2326" s="35"/>
    </row>
    <row r="2327" spans="9:15" x14ac:dyDescent="0.35">
      <c r="I2327" s="35"/>
      <c r="O2327" s="35"/>
    </row>
    <row r="2328" spans="9:15" x14ac:dyDescent="0.35">
      <c r="I2328" s="35"/>
      <c r="O2328" s="35"/>
    </row>
    <row r="2329" spans="9:15" x14ac:dyDescent="0.35">
      <c r="I2329" s="35"/>
      <c r="O2329" s="35"/>
    </row>
    <row r="2330" spans="9:15" x14ac:dyDescent="0.35">
      <c r="I2330" s="35"/>
      <c r="O2330" s="35"/>
    </row>
    <row r="2331" spans="9:15" x14ac:dyDescent="0.35">
      <c r="I2331" s="35"/>
      <c r="O2331" s="35"/>
    </row>
    <row r="2332" spans="9:15" x14ac:dyDescent="0.35">
      <c r="I2332" s="35"/>
      <c r="O2332" s="35"/>
    </row>
    <row r="2333" spans="9:15" x14ac:dyDescent="0.35">
      <c r="I2333" s="35"/>
      <c r="O2333" s="35"/>
    </row>
    <row r="2334" spans="9:15" x14ac:dyDescent="0.35">
      <c r="I2334" s="35"/>
      <c r="O2334" s="35"/>
    </row>
    <row r="2335" spans="9:15" x14ac:dyDescent="0.35">
      <c r="I2335" s="35"/>
      <c r="O2335" s="35"/>
    </row>
    <row r="2336" spans="9:15" x14ac:dyDescent="0.35">
      <c r="I2336" s="35"/>
      <c r="O2336" s="35"/>
    </row>
    <row r="2337" spans="9:15" x14ac:dyDescent="0.35">
      <c r="I2337" s="35"/>
      <c r="O2337" s="35"/>
    </row>
    <row r="2338" spans="9:15" x14ac:dyDescent="0.35">
      <c r="I2338" s="35"/>
      <c r="O2338" s="35"/>
    </row>
    <row r="2339" spans="9:15" x14ac:dyDescent="0.35">
      <c r="I2339" s="35"/>
      <c r="O2339" s="35"/>
    </row>
    <row r="2340" spans="9:15" x14ac:dyDescent="0.35">
      <c r="I2340" s="35"/>
      <c r="O2340" s="35"/>
    </row>
    <row r="2341" spans="9:15" x14ac:dyDescent="0.35">
      <c r="I2341" s="35"/>
      <c r="O2341" s="35"/>
    </row>
    <row r="2342" spans="9:15" x14ac:dyDescent="0.35">
      <c r="I2342" s="35"/>
      <c r="O2342" s="35"/>
    </row>
    <row r="2343" spans="9:15" x14ac:dyDescent="0.35">
      <c r="I2343" s="35"/>
      <c r="O2343" s="35"/>
    </row>
    <row r="2344" spans="9:15" x14ac:dyDescent="0.35">
      <c r="I2344" s="35"/>
      <c r="O2344" s="35"/>
    </row>
    <row r="2345" spans="9:15" x14ac:dyDescent="0.35">
      <c r="I2345" s="35"/>
      <c r="O2345" s="35"/>
    </row>
    <row r="2346" spans="9:15" x14ac:dyDescent="0.35">
      <c r="I2346" s="35"/>
      <c r="O2346" s="35"/>
    </row>
    <row r="2347" spans="9:15" x14ac:dyDescent="0.35">
      <c r="I2347" s="35"/>
      <c r="O2347" s="35"/>
    </row>
    <row r="2348" spans="9:15" x14ac:dyDescent="0.35">
      <c r="I2348" s="35"/>
      <c r="O2348" s="35"/>
    </row>
    <row r="2349" spans="9:15" x14ac:dyDescent="0.35">
      <c r="I2349" s="35"/>
      <c r="O2349" s="35"/>
    </row>
    <row r="2350" spans="9:15" x14ac:dyDescent="0.35">
      <c r="I2350" s="35"/>
      <c r="O2350" s="35"/>
    </row>
    <row r="2351" spans="9:15" x14ac:dyDescent="0.35">
      <c r="I2351" s="35"/>
      <c r="O2351" s="35"/>
    </row>
    <row r="2352" spans="9:15" x14ac:dyDescent="0.35">
      <c r="I2352" s="35"/>
      <c r="O2352" s="35"/>
    </row>
    <row r="2353" spans="9:15" x14ac:dyDescent="0.35">
      <c r="I2353" s="35"/>
      <c r="O2353" s="35"/>
    </row>
    <row r="2354" spans="9:15" x14ac:dyDescent="0.35">
      <c r="I2354" s="35"/>
      <c r="O2354" s="35"/>
    </row>
    <row r="2355" spans="9:15" x14ac:dyDescent="0.35">
      <c r="I2355" s="35"/>
      <c r="O2355" s="35"/>
    </row>
    <row r="2356" spans="9:15" x14ac:dyDescent="0.35">
      <c r="I2356" s="35"/>
      <c r="O2356" s="35"/>
    </row>
    <row r="2357" spans="9:15" x14ac:dyDescent="0.35">
      <c r="I2357" s="35"/>
      <c r="O2357" s="35"/>
    </row>
    <row r="2358" spans="9:15" x14ac:dyDescent="0.35">
      <c r="I2358" s="35"/>
      <c r="O2358" s="35"/>
    </row>
    <row r="2359" spans="9:15" x14ac:dyDescent="0.35">
      <c r="I2359" s="35"/>
      <c r="O2359" s="35"/>
    </row>
    <row r="2360" spans="9:15" x14ac:dyDescent="0.35">
      <c r="I2360" s="35"/>
      <c r="O2360" s="35"/>
    </row>
    <row r="2361" spans="9:15" x14ac:dyDescent="0.35">
      <c r="I2361" s="35"/>
      <c r="O2361" s="35"/>
    </row>
    <row r="2362" spans="9:15" x14ac:dyDescent="0.35">
      <c r="I2362" s="35"/>
      <c r="O2362" s="35"/>
    </row>
    <row r="2363" spans="9:15" x14ac:dyDescent="0.35">
      <c r="I2363" s="35"/>
      <c r="O2363" s="35"/>
    </row>
    <row r="2364" spans="9:15" x14ac:dyDescent="0.35">
      <c r="I2364" s="35"/>
      <c r="O2364" s="35"/>
    </row>
    <row r="2365" spans="9:15" x14ac:dyDescent="0.35">
      <c r="I2365" s="35"/>
      <c r="O2365" s="35"/>
    </row>
    <row r="2366" spans="9:15" x14ac:dyDescent="0.35">
      <c r="I2366" s="35"/>
      <c r="O2366" s="35"/>
    </row>
    <row r="2367" spans="9:15" x14ac:dyDescent="0.35">
      <c r="I2367" s="35"/>
      <c r="O2367" s="35"/>
    </row>
    <row r="2368" spans="9:15" x14ac:dyDescent="0.35">
      <c r="I2368" s="35"/>
      <c r="O2368" s="35"/>
    </row>
    <row r="2369" spans="9:15" x14ac:dyDescent="0.35">
      <c r="I2369" s="35"/>
      <c r="O2369" s="35"/>
    </row>
    <row r="2370" spans="9:15" x14ac:dyDescent="0.35">
      <c r="I2370" s="35"/>
      <c r="O2370" s="35"/>
    </row>
    <row r="2371" spans="9:15" x14ac:dyDescent="0.35">
      <c r="I2371" s="35"/>
      <c r="O2371" s="35"/>
    </row>
    <row r="2372" spans="9:15" x14ac:dyDescent="0.35">
      <c r="I2372" s="35"/>
      <c r="O2372" s="35"/>
    </row>
    <row r="2373" spans="9:15" x14ac:dyDescent="0.35">
      <c r="I2373" s="35"/>
      <c r="O2373" s="35"/>
    </row>
    <row r="2374" spans="9:15" x14ac:dyDescent="0.35">
      <c r="I2374" s="35"/>
      <c r="O2374" s="35"/>
    </row>
    <row r="2375" spans="9:15" x14ac:dyDescent="0.35">
      <c r="I2375" s="35"/>
      <c r="O2375" s="35"/>
    </row>
    <row r="2376" spans="9:15" x14ac:dyDescent="0.35">
      <c r="I2376" s="35"/>
      <c r="O2376" s="35"/>
    </row>
    <row r="2377" spans="9:15" x14ac:dyDescent="0.35">
      <c r="I2377" s="35"/>
      <c r="O2377" s="35"/>
    </row>
    <row r="2378" spans="9:15" x14ac:dyDescent="0.35">
      <c r="I2378" s="35"/>
      <c r="O2378" s="35"/>
    </row>
    <row r="2379" spans="9:15" x14ac:dyDescent="0.35">
      <c r="I2379" s="35"/>
      <c r="O2379" s="35"/>
    </row>
    <row r="2380" spans="9:15" x14ac:dyDescent="0.35">
      <c r="I2380" s="35"/>
      <c r="O2380" s="35"/>
    </row>
    <row r="2381" spans="9:15" x14ac:dyDescent="0.35">
      <c r="I2381" s="35"/>
      <c r="O2381" s="35"/>
    </row>
    <row r="2382" spans="9:15" x14ac:dyDescent="0.35">
      <c r="I2382" s="35"/>
      <c r="O2382" s="35"/>
    </row>
    <row r="2383" spans="9:15" x14ac:dyDescent="0.35">
      <c r="I2383" s="35"/>
      <c r="O2383" s="35"/>
    </row>
    <row r="2384" spans="9:15" x14ac:dyDescent="0.35">
      <c r="I2384" s="35"/>
      <c r="O2384" s="35"/>
    </row>
    <row r="2385" spans="9:15" x14ac:dyDescent="0.35">
      <c r="I2385" s="35"/>
      <c r="O2385" s="35"/>
    </row>
    <row r="2386" spans="9:15" x14ac:dyDescent="0.35">
      <c r="I2386" s="35"/>
      <c r="O2386" s="35"/>
    </row>
    <row r="2387" spans="9:15" x14ac:dyDescent="0.35">
      <c r="I2387" s="35"/>
      <c r="O2387" s="35"/>
    </row>
    <row r="2388" spans="9:15" x14ac:dyDescent="0.35">
      <c r="I2388" s="35"/>
      <c r="O2388" s="35"/>
    </row>
    <row r="2389" spans="9:15" x14ac:dyDescent="0.35">
      <c r="I2389" s="35"/>
      <c r="O2389" s="35"/>
    </row>
    <row r="2390" spans="9:15" x14ac:dyDescent="0.35">
      <c r="I2390" s="35"/>
      <c r="O2390" s="35"/>
    </row>
    <row r="2391" spans="9:15" x14ac:dyDescent="0.35">
      <c r="I2391" s="35"/>
      <c r="O2391" s="35"/>
    </row>
    <row r="2392" spans="9:15" x14ac:dyDescent="0.35">
      <c r="I2392" s="35"/>
      <c r="O2392" s="35"/>
    </row>
    <row r="2393" spans="9:15" x14ac:dyDescent="0.35">
      <c r="I2393" s="35"/>
      <c r="O2393" s="35"/>
    </row>
    <row r="2394" spans="9:15" x14ac:dyDescent="0.35">
      <c r="I2394" s="35"/>
      <c r="O2394" s="35"/>
    </row>
    <row r="2395" spans="9:15" x14ac:dyDescent="0.35">
      <c r="I2395" s="35"/>
      <c r="O2395" s="35"/>
    </row>
    <row r="2396" spans="9:15" x14ac:dyDescent="0.35">
      <c r="I2396" s="35"/>
      <c r="O2396" s="35"/>
    </row>
    <row r="2397" spans="9:15" x14ac:dyDescent="0.35">
      <c r="I2397" s="35"/>
      <c r="O2397" s="35"/>
    </row>
    <row r="2398" spans="9:15" x14ac:dyDescent="0.35">
      <c r="I2398" s="35"/>
      <c r="O2398" s="35"/>
    </row>
    <row r="2399" spans="9:15" x14ac:dyDescent="0.35">
      <c r="I2399" s="35"/>
      <c r="O2399" s="35"/>
    </row>
    <row r="2400" spans="9:15" x14ac:dyDescent="0.35">
      <c r="I2400" s="35"/>
      <c r="O2400" s="35"/>
    </row>
    <row r="2401" spans="9:15" x14ac:dyDescent="0.35">
      <c r="I2401" s="35"/>
      <c r="O2401" s="35"/>
    </row>
    <row r="2402" spans="9:15" x14ac:dyDescent="0.35">
      <c r="I2402" s="35"/>
      <c r="O2402" s="35"/>
    </row>
    <row r="2403" spans="9:15" x14ac:dyDescent="0.35">
      <c r="I2403" s="35"/>
      <c r="O2403" s="35"/>
    </row>
    <row r="2404" spans="9:15" x14ac:dyDescent="0.35">
      <c r="I2404" s="35"/>
      <c r="O2404" s="35"/>
    </row>
    <row r="2405" spans="9:15" x14ac:dyDescent="0.35">
      <c r="I2405" s="35"/>
      <c r="O2405" s="35"/>
    </row>
    <row r="2406" spans="9:15" x14ac:dyDescent="0.35">
      <c r="I2406" s="35"/>
      <c r="O2406" s="35"/>
    </row>
    <row r="2407" spans="9:15" x14ac:dyDescent="0.35">
      <c r="I2407" s="35"/>
      <c r="O2407" s="35"/>
    </row>
    <row r="2408" spans="9:15" x14ac:dyDescent="0.35">
      <c r="I2408" s="35"/>
      <c r="O2408" s="35"/>
    </row>
    <row r="2409" spans="9:15" x14ac:dyDescent="0.35">
      <c r="I2409" s="35"/>
      <c r="O2409" s="35"/>
    </row>
    <row r="2410" spans="9:15" x14ac:dyDescent="0.35">
      <c r="I2410" s="35"/>
      <c r="O2410" s="35"/>
    </row>
    <row r="2411" spans="9:15" x14ac:dyDescent="0.35">
      <c r="I2411" s="35"/>
      <c r="O2411" s="35"/>
    </row>
    <row r="2412" spans="9:15" x14ac:dyDescent="0.35">
      <c r="I2412" s="35"/>
      <c r="O2412" s="35"/>
    </row>
    <row r="2413" spans="9:15" x14ac:dyDescent="0.35">
      <c r="I2413" s="35"/>
      <c r="O2413" s="35"/>
    </row>
    <row r="2414" spans="9:15" x14ac:dyDescent="0.35">
      <c r="I2414" s="35"/>
      <c r="O2414" s="35"/>
    </row>
    <row r="2415" spans="9:15" x14ac:dyDescent="0.35">
      <c r="I2415" s="35"/>
      <c r="O2415" s="35"/>
    </row>
    <row r="2416" spans="9:15" x14ac:dyDescent="0.35">
      <c r="I2416" s="35"/>
      <c r="O2416" s="35"/>
    </row>
    <row r="2417" spans="9:15" x14ac:dyDescent="0.35">
      <c r="I2417" s="35"/>
      <c r="O2417" s="35"/>
    </row>
    <row r="2418" spans="9:15" x14ac:dyDescent="0.35">
      <c r="I2418" s="35"/>
      <c r="O2418" s="35"/>
    </row>
    <row r="2419" spans="9:15" x14ac:dyDescent="0.35">
      <c r="I2419" s="35"/>
      <c r="O2419" s="35"/>
    </row>
    <row r="2420" spans="9:15" x14ac:dyDescent="0.35">
      <c r="I2420" s="35"/>
      <c r="O2420" s="35"/>
    </row>
    <row r="2421" spans="9:15" x14ac:dyDescent="0.35">
      <c r="I2421" s="35"/>
      <c r="O2421" s="35"/>
    </row>
    <row r="2422" spans="9:15" x14ac:dyDescent="0.35">
      <c r="I2422" s="35"/>
      <c r="O2422" s="35"/>
    </row>
    <row r="2423" spans="9:15" x14ac:dyDescent="0.35">
      <c r="I2423" s="35"/>
      <c r="O2423" s="35"/>
    </row>
    <row r="2424" spans="9:15" x14ac:dyDescent="0.35">
      <c r="I2424" s="35"/>
      <c r="O2424" s="35"/>
    </row>
    <row r="2425" spans="9:15" x14ac:dyDescent="0.35">
      <c r="I2425" s="35"/>
      <c r="O2425" s="35"/>
    </row>
    <row r="2426" spans="9:15" x14ac:dyDescent="0.35">
      <c r="I2426" s="35"/>
      <c r="O2426" s="35"/>
    </row>
    <row r="2427" spans="9:15" x14ac:dyDescent="0.35">
      <c r="I2427" s="35"/>
      <c r="O2427" s="35"/>
    </row>
    <row r="2428" spans="9:15" x14ac:dyDescent="0.35">
      <c r="I2428" s="35"/>
      <c r="O2428" s="35"/>
    </row>
    <row r="2429" spans="9:15" x14ac:dyDescent="0.35">
      <c r="I2429" s="35"/>
      <c r="O2429" s="35"/>
    </row>
    <row r="2430" spans="9:15" x14ac:dyDescent="0.35">
      <c r="I2430" s="35"/>
      <c r="O2430" s="35"/>
    </row>
    <row r="2431" spans="9:15" x14ac:dyDescent="0.35">
      <c r="I2431" s="35"/>
      <c r="O2431" s="35"/>
    </row>
    <row r="2432" spans="9:15" x14ac:dyDescent="0.35">
      <c r="I2432" s="35"/>
      <c r="O2432" s="35"/>
    </row>
    <row r="2433" spans="9:15" x14ac:dyDescent="0.35">
      <c r="I2433" s="35"/>
      <c r="O2433" s="35"/>
    </row>
    <row r="2434" spans="9:15" x14ac:dyDescent="0.35">
      <c r="I2434" s="35"/>
      <c r="O2434" s="35"/>
    </row>
    <row r="2435" spans="9:15" x14ac:dyDescent="0.35">
      <c r="I2435" s="35"/>
      <c r="O2435" s="35"/>
    </row>
    <row r="2436" spans="9:15" x14ac:dyDescent="0.35">
      <c r="I2436" s="35"/>
      <c r="O2436" s="35"/>
    </row>
    <row r="2437" spans="9:15" x14ac:dyDescent="0.35">
      <c r="I2437" s="35"/>
      <c r="O2437" s="35"/>
    </row>
    <row r="2438" spans="9:15" x14ac:dyDescent="0.35">
      <c r="I2438" s="35"/>
      <c r="O2438" s="35"/>
    </row>
    <row r="2439" spans="9:15" x14ac:dyDescent="0.35">
      <c r="I2439" s="35"/>
      <c r="O2439" s="35"/>
    </row>
    <row r="2440" spans="9:15" x14ac:dyDescent="0.35">
      <c r="I2440" s="35"/>
      <c r="O2440" s="35"/>
    </row>
    <row r="2441" spans="9:15" x14ac:dyDescent="0.35">
      <c r="I2441" s="35"/>
      <c r="O2441" s="35"/>
    </row>
    <row r="2442" spans="9:15" x14ac:dyDescent="0.35">
      <c r="I2442" s="35"/>
      <c r="O2442" s="35"/>
    </row>
    <row r="2443" spans="9:15" x14ac:dyDescent="0.35">
      <c r="I2443" s="35"/>
      <c r="O2443" s="35"/>
    </row>
    <row r="2444" spans="9:15" x14ac:dyDescent="0.35">
      <c r="I2444" s="35"/>
      <c r="O2444" s="35"/>
    </row>
    <row r="2445" spans="9:15" x14ac:dyDescent="0.35">
      <c r="I2445" s="35"/>
      <c r="O2445" s="35"/>
    </row>
    <row r="2446" spans="9:15" x14ac:dyDescent="0.35">
      <c r="I2446" s="35"/>
      <c r="O2446" s="35"/>
    </row>
    <row r="2447" spans="9:15" x14ac:dyDescent="0.35">
      <c r="I2447" s="35"/>
      <c r="O2447" s="35"/>
    </row>
    <row r="2448" spans="9:15" x14ac:dyDescent="0.35">
      <c r="I2448" s="35"/>
      <c r="O2448" s="35"/>
    </row>
    <row r="2449" spans="9:15" x14ac:dyDescent="0.35">
      <c r="I2449" s="35"/>
      <c r="O2449" s="35"/>
    </row>
    <row r="2450" spans="9:15" x14ac:dyDescent="0.35">
      <c r="I2450" s="35"/>
      <c r="O2450" s="35"/>
    </row>
    <row r="2451" spans="9:15" x14ac:dyDescent="0.35">
      <c r="I2451" s="35"/>
      <c r="O2451" s="35"/>
    </row>
    <row r="2452" spans="9:15" x14ac:dyDescent="0.35">
      <c r="I2452" s="35"/>
      <c r="O2452" s="35"/>
    </row>
    <row r="2453" spans="9:15" x14ac:dyDescent="0.35">
      <c r="I2453" s="35"/>
      <c r="O2453" s="35"/>
    </row>
    <row r="2454" spans="9:15" x14ac:dyDescent="0.35">
      <c r="I2454" s="35"/>
      <c r="O2454" s="35"/>
    </row>
    <row r="2455" spans="9:15" x14ac:dyDescent="0.35">
      <c r="I2455" s="35"/>
      <c r="O2455" s="35"/>
    </row>
    <row r="2456" spans="9:15" x14ac:dyDescent="0.35">
      <c r="I2456" s="35"/>
      <c r="O2456" s="35"/>
    </row>
    <row r="2457" spans="9:15" x14ac:dyDescent="0.35">
      <c r="I2457" s="35"/>
      <c r="O2457" s="35"/>
    </row>
    <row r="2458" spans="9:15" x14ac:dyDescent="0.35">
      <c r="I2458" s="35"/>
      <c r="O2458" s="35"/>
    </row>
    <row r="2459" spans="9:15" x14ac:dyDescent="0.35">
      <c r="I2459" s="35"/>
      <c r="O2459" s="35"/>
    </row>
    <row r="2460" spans="9:15" x14ac:dyDescent="0.35">
      <c r="I2460" s="35"/>
      <c r="O2460" s="35"/>
    </row>
    <row r="2461" spans="9:15" x14ac:dyDescent="0.35">
      <c r="I2461" s="35"/>
      <c r="O2461" s="35"/>
    </row>
    <row r="2462" spans="9:15" x14ac:dyDescent="0.35">
      <c r="I2462" s="35"/>
      <c r="O2462" s="35"/>
    </row>
    <row r="2463" spans="9:15" x14ac:dyDescent="0.35">
      <c r="I2463" s="35"/>
      <c r="O2463" s="35"/>
    </row>
    <row r="2464" spans="9:15" x14ac:dyDescent="0.35">
      <c r="I2464" s="35"/>
      <c r="O2464" s="35"/>
    </row>
    <row r="2465" spans="9:15" x14ac:dyDescent="0.35">
      <c r="I2465" s="35"/>
      <c r="O2465" s="35"/>
    </row>
    <row r="2466" spans="9:15" x14ac:dyDescent="0.35">
      <c r="I2466" s="35"/>
      <c r="O2466" s="35"/>
    </row>
    <row r="2467" spans="9:15" x14ac:dyDescent="0.35">
      <c r="I2467" s="35"/>
      <c r="O2467" s="35"/>
    </row>
    <row r="2468" spans="9:15" x14ac:dyDescent="0.35">
      <c r="I2468" s="35"/>
      <c r="O2468" s="35"/>
    </row>
    <row r="2469" spans="9:15" x14ac:dyDescent="0.35">
      <c r="I2469" s="35"/>
      <c r="O2469" s="35"/>
    </row>
    <row r="2470" spans="9:15" x14ac:dyDescent="0.35">
      <c r="I2470" s="35"/>
      <c r="O2470" s="35"/>
    </row>
    <row r="2471" spans="9:15" x14ac:dyDescent="0.35">
      <c r="I2471" s="35"/>
      <c r="O2471" s="35"/>
    </row>
    <row r="2472" spans="9:15" x14ac:dyDescent="0.35">
      <c r="I2472" s="35"/>
      <c r="O2472" s="35"/>
    </row>
    <row r="2473" spans="9:15" x14ac:dyDescent="0.35">
      <c r="I2473" s="35"/>
      <c r="O2473" s="35"/>
    </row>
    <row r="2474" spans="9:15" x14ac:dyDescent="0.35">
      <c r="I2474" s="35"/>
      <c r="O2474" s="35"/>
    </row>
    <row r="2475" spans="9:15" x14ac:dyDescent="0.35">
      <c r="I2475" s="35"/>
      <c r="O2475" s="35"/>
    </row>
    <row r="2476" spans="9:15" x14ac:dyDescent="0.35">
      <c r="I2476" s="35"/>
      <c r="O2476" s="35"/>
    </row>
    <row r="2477" spans="9:15" x14ac:dyDescent="0.35">
      <c r="I2477" s="35"/>
      <c r="O2477" s="35"/>
    </row>
    <row r="2478" spans="9:15" x14ac:dyDescent="0.35">
      <c r="I2478" s="35"/>
      <c r="O2478" s="35"/>
    </row>
    <row r="2479" spans="9:15" x14ac:dyDescent="0.35">
      <c r="I2479" s="35"/>
      <c r="O2479" s="35"/>
    </row>
    <row r="2480" spans="9:15" x14ac:dyDescent="0.35">
      <c r="I2480" s="35"/>
      <c r="O2480" s="35"/>
    </row>
    <row r="2481" spans="9:15" x14ac:dyDescent="0.35">
      <c r="I2481" s="35"/>
      <c r="O2481" s="35"/>
    </row>
    <row r="2482" spans="9:15" x14ac:dyDescent="0.35">
      <c r="I2482" s="35"/>
      <c r="O2482" s="35"/>
    </row>
    <row r="2483" spans="9:15" x14ac:dyDescent="0.35">
      <c r="I2483" s="35"/>
      <c r="O2483" s="35"/>
    </row>
    <row r="2484" spans="9:15" x14ac:dyDescent="0.35">
      <c r="I2484" s="35"/>
      <c r="O2484" s="35"/>
    </row>
    <row r="2485" spans="9:15" x14ac:dyDescent="0.35">
      <c r="I2485" s="35"/>
      <c r="O2485" s="35"/>
    </row>
    <row r="2486" spans="9:15" x14ac:dyDescent="0.35">
      <c r="I2486" s="35"/>
      <c r="O2486" s="35"/>
    </row>
    <row r="2487" spans="9:15" x14ac:dyDescent="0.35">
      <c r="I2487" s="35"/>
      <c r="O2487" s="35"/>
    </row>
    <row r="2488" spans="9:15" x14ac:dyDescent="0.35">
      <c r="I2488" s="35"/>
      <c r="O2488" s="35"/>
    </row>
    <row r="2489" spans="9:15" x14ac:dyDescent="0.35">
      <c r="I2489" s="35"/>
      <c r="O2489" s="35"/>
    </row>
    <row r="2490" spans="9:15" x14ac:dyDescent="0.35">
      <c r="I2490" s="35"/>
      <c r="O2490" s="35"/>
    </row>
    <row r="2491" spans="9:15" x14ac:dyDescent="0.35">
      <c r="I2491" s="35"/>
      <c r="O2491" s="35"/>
    </row>
    <row r="2492" spans="9:15" x14ac:dyDescent="0.35">
      <c r="I2492" s="35"/>
      <c r="O2492" s="35"/>
    </row>
    <row r="2493" spans="9:15" x14ac:dyDescent="0.35">
      <c r="I2493" s="35"/>
      <c r="O2493" s="35"/>
    </row>
    <row r="2494" spans="9:15" x14ac:dyDescent="0.35">
      <c r="I2494" s="35"/>
      <c r="O2494" s="35"/>
    </row>
    <row r="2495" spans="9:15" x14ac:dyDescent="0.35">
      <c r="I2495" s="35"/>
      <c r="O2495" s="35"/>
    </row>
    <row r="2496" spans="9:15" x14ac:dyDescent="0.35">
      <c r="I2496" s="35"/>
      <c r="O2496" s="35"/>
    </row>
    <row r="2497" spans="9:15" x14ac:dyDescent="0.35">
      <c r="I2497" s="35"/>
      <c r="O2497" s="35"/>
    </row>
    <row r="2498" spans="9:15" x14ac:dyDescent="0.35">
      <c r="I2498" s="35"/>
      <c r="O2498" s="35"/>
    </row>
    <row r="2499" spans="9:15" x14ac:dyDescent="0.35">
      <c r="I2499" s="35"/>
      <c r="O2499" s="35"/>
    </row>
    <row r="2500" spans="9:15" x14ac:dyDescent="0.35">
      <c r="I2500" s="35"/>
      <c r="O2500" s="35"/>
    </row>
    <row r="2501" spans="9:15" x14ac:dyDescent="0.35">
      <c r="I2501" s="35"/>
      <c r="O2501" s="35"/>
    </row>
    <row r="2502" spans="9:15" x14ac:dyDescent="0.35">
      <c r="I2502" s="35"/>
      <c r="O2502" s="35"/>
    </row>
    <row r="2503" spans="9:15" x14ac:dyDescent="0.35">
      <c r="I2503" s="35"/>
      <c r="O2503" s="35"/>
    </row>
    <row r="2504" spans="9:15" x14ac:dyDescent="0.35">
      <c r="I2504" s="35"/>
      <c r="O2504" s="35"/>
    </row>
    <row r="2505" spans="9:15" x14ac:dyDescent="0.35">
      <c r="I2505" s="35"/>
      <c r="O2505" s="35"/>
    </row>
    <row r="2506" spans="9:15" x14ac:dyDescent="0.35">
      <c r="I2506" s="35"/>
      <c r="O2506" s="35"/>
    </row>
    <row r="2507" spans="9:15" x14ac:dyDescent="0.35">
      <c r="I2507" s="35"/>
      <c r="O2507" s="35"/>
    </row>
    <row r="2508" spans="9:15" x14ac:dyDescent="0.35">
      <c r="I2508" s="35"/>
      <c r="O2508" s="35"/>
    </row>
    <row r="2509" spans="9:15" x14ac:dyDescent="0.35">
      <c r="I2509" s="35"/>
      <c r="O2509" s="35"/>
    </row>
    <row r="2510" spans="9:15" x14ac:dyDescent="0.35">
      <c r="I2510" s="35"/>
      <c r="O2510" s="35"/>
    </row>
    <row r="2511" spans="9:15" x14ac:dyDescent="0.35">
      <c r="I2511" s="35"/>
      <c r="O2511" s="35"/>
    </row>
    <row r="2512" spans="9:15" x14ac:dyDescent="0.35">
      <c r="I2512" s="35"/>
      <c r="O2512" s="35"/>
    </row>
    <row r="2513" spans="9:15" x14ac:dyDescent="0.35">
      <c r="I2513" s="35"/>
      <c r="O2513" s="35"/>
    </row>
    <row r="2514" spans="9:15" x14ac:dyDescent="0.35">
      <c r="I2514" s="35"/>
      <c r="O2514" s="35"/>
    </row>
    <row r="2515" spans="9:15" x14ac:dyDescent="0.35">
      <c r="I2515" s="35"/>
      <c r="O2515" s="35"/>
    </row>
    <row r="2516" spans="9:15" x14ac:dyDescent="0.35">
      <c r="I2516" s="35"/>
      <c r="O2516" s="35"/>
    </row>
    <row r="2517" spans="9:15" x14ac:dyDescent="0.35">
      <c r="I2517" s="35"/>
      <c r="O2517" s="35"/>
    </row>
    <row r="2518" spans="9:15" x14ac:dyDescent="0.35">
      <c r="I2518" s="35"/>
      <c r="O2518" s="35"/>
    </row>
    <row r="2519" spans="9:15" x14ac:dyDescent="0.35">
      <c r="I2519" s="35"/>
      <c r="O2519" s="35"/>
    </row>
    <row r="2520" spans="9:15" x14ac:dyDescent="0.35">
      <c r="I2520" s="35"/>
      <c r="O2520" s="35"/>
    </row>
    <row r="2521" spans="9:15" x14ac:dyDescent="0.35">
      <c r="I2521" s="35"/>
      <c r="O2521" s="35"/>
    </row>
    <row r="2522" spans="9:15" x14ac:dyDescent="0.35">
      <c r="I2522" s="35"/>
      <c r="O2522" s="35"/>
    </row>
    <row r="2523" spans="9:15" x14ac:dyDescent="0.35">
      <c r="I2523" s="35"/>
      <c r="O2523" s="35"/>
    </row>
    <row r="2524" spans="9:15" x14ac:dyDescent="0.35">
      <c r="I2524" s="35"/>
      <c r="O2524" s="35"/>
    </row>
    <row r="2525" spans="9:15" x14ac:dyDescent="0.35">
      <c r="I2525" s="35"/>
      <c r="O2525" s="35"/>
    </row>
    <row r="2526" spans="9:15" x14ac:dyDescent="0.35">
      <c r="I2526" s="35"/>
      <c r="O2526" s="35"/>
    </row>
    <row r="2527" spans="9:15" x14ac:dyDescent="0.35">
      <c r="I2527" s="35"/>
      <c r="O2527" s="35"/>
    </row>
    <row r="2528" spans="9:15" x14ac:dyDescent="0.35">
      <c r="I2528" s="35"/>
      <c r="O2528" s="35"/>
    </row>
    <row r="2529" spans="9:15" x14ac:dyDescent="0.35">
      <c r="I2529" s="35"/>
      <c r="O2529" s="35"/>
    </row>
    <row r="2530" spans="9:15" x14ac:dyDescent="0.35">
      <c r="I2530" s="35"/>
      <c r="O2530" s="35"/>
    </row>
    <row r="2531" spans="9:15" x14ac:dyDescent="0.35">
      <c r="I2531" s="35"/>
      <c r="O2531" s="35"/>
    </row>
    <row r="2532" spans="9:15" x14ac:dyDescent="0.35">
      <c r="I2532" s="35"/>
      <c r="O2532" s="35"/>
    </row>
    <row r="2533" spans="9:15" x14ac:dyDescent="0.35">
      <c r="I2533" s="35"/>
      <c r="O2533" s="35"/>
    </row>
    <row r="2534" spans="9:15" x14ac:dyDescent="0.35">
      <c r="I2534" s="35"/>
      <c r="O2534" s="35"/>
    </row>
    <row r="2535" spans="9:15" x14ac:dyDescent="0.35">
      <c r="I2535" s="35"/>
      <c r="O2535" s="35"/>
    </row>
    <row r="2536" spans="9:15" x14ac:dyDescent="0.35">
      <c r="I2536" s="35"/>
      <c r="O2536" s="35"/>
    </row>
    <row r="2537" spans="9:15" x14ac:dyDescent="0.35">
      <c r="I2537" s="35"/>
      <c r="O2537" s="35"/>
    </row>
    <row r="2538" spans="9:15" x14ac:dyDescent="0.35">
      <c r="I2538" s="35"/>
      <c r="O2538" s="35"/>
    </row>
    <row r="2539" spans="9:15" x14ac:dyDescent="0.35">
      <c r="I2539" s="35"/>
      <c r="O2539" s="35"/>
    </row>
    <row r="2540" spans="9:15" x14ac:dyDescent="0.35">
      <c r="I2540" s="35"/>
      <c r="O2540" s="35"/>
    </row>
    <row r="2541" spans="9:15" x14ac:dyDescent="0.35">
      <c r="I2541" s="35"/>
      <c r="O2541" s="35"/>
    </row>
    <row r="2542" spans="9:15" x14ac:dyDescent="0.35">
      <c r="I2542" s="35"/>
      <c r="O2542" s="35"/>
    </row>
    <row r="2543" spans="9:15" x14ac:dyDescent="0.35">
      <c r="I2543" s="35"/>
      <c r="O2543" s="35"/>
    </row>
    <row r="2544" spans="9:15" x14ac:dyDescent="0.35">
      <c r="I2544" s="35"/>
      <c r="O2544" s="35"/>
    </row>
    <row r="2545" spans="9:15" x14ac:dyDescent="0.35">
      <c r="I2545" s="35"/>
      <c r="O2545" s="35"/>
    </row>
    <row r="2546" spans="9:15" x14ac:dyDescent="0.35">
      <c r="I2546" s="35"/>
      <c r="O2546" s="35"/>
    </row>
    <row r="2547" spans="9:15" x14ac:dyDescent="0.35">
      <c r="I2547" s="35"/>
      <c r="O2547" s="35"/>
    </row>
    <row r="2548" spans="9:15" x14ac:dyDescent="0.35">
      <c r="I2548" s="35"/>
      <c r="O2548" s="35"/>
    </row>
    <row r="2549" spans="9:15" x14ac:dyDescent="0.35">
      <c r="I2549" s="35"/>
      <c r="O2549" s="35"/>
    </row>
    <row r="2550" spans="9:15" x14ac:dyDescent="0.35">
      <c r="I2550" s="35"/>
      <c r="O2550" s="35"/>
    </row>
    <row r="2551" spans="9:15" x14ac:dyDescent="0.35">
      <c r="I2551" s="35"/>
      <c r="O2551" s="35"/>
    </row>
    <row r="2552" spans="9:15" x14ac:dyDescent="0.35">
      <c r="I2552" s="35"/>
      <c r="O2552" s="35"/>
    </row>
    <row r="2553" spans="9:15" x14ac:dyDescent="0.35">
      <c r="I2553" s="35"/>
      <c r="O2553" s="35"/>
    </row>
    <row r="2554" spans="9:15" x14ac:dyDescent="0.35">
      <c r="I2554" s="35"/>
      <c r="O2554" s="35"/>
    </row>
    <row r="2555" spans="9:15" x14ac:dyDescent="0.35">
      <c r="I2555" s="35"/>
      <c r="O2555" s="35"/>
    </row>
    <row r="2556" spans="9:15" x14ac:dyDescent="0.35">
      <c r="I2556" s="35"/>
      <c r="O2556" s="35"/>
    </row>
    <row r="2557" spans="9:15" x14ac:dyDescent="0.35">
      <c r="I2557" s="35"/>
      <c r="O2557" s="35"/>
    </row>
    <row r="2558" spans="9:15" x14ac:dyDescent="0.35">
      <c r="I2558" s="35"/>
      <c r="O2558" s="35"/>
    </row>
    <row r="2559" spans="9:15" x14ac:dyDescent="0.35">
      <c r="I2559" s="35"/>
      <c r="O2559" s="35"/>
    </row>
    <row r="2560" spans="9:15" x14ac:dyDescent="0.35">
      <c r="I2560" s="35"/>
      <c r="O2560" s="35"/>
    </row>
    <row r="2561" spans="9:15" x14ac:dyDescent="0.35">
      <c r="I2561" s="35"/>
      <c r="O2561" s="35"/>
    </row>
    <row r="2562" spans="9:15" x14ac:dyDescent="0.35">
      <c r="I2562" s="35"/>
      <c r="O2562" s="35"/>
    </row>
    <row r="2563" spans="9:15" x14ac:dyDescent="0.35">
      <c r="I2563" s="35"/>
      <c r="O2563" s="35"/>
    </row>
    <row r="2564" spans="9:15" x14ac:dyDescent="0.35">
      <c r="I2564" s="35"/>
      <c r="O2564" s="35"/>
    </row>
    <row r="2565" spans="9:15" x14ac:dyDescent="0.35">
      <c r="I2565" s="35"/>
      <c r="O2565" s="35"/>
    </row>
    <row r="2566" spans="9:15" x14ac:dyDescent="0.35">
      <c r="I2566" s="35"/>
      <c r="O2566" s="35"/>
    </row>
    <row r="2567" spans="9:15" x14ac:dyDescent="0.35">
      <c r="I2567" s="35"/>
      <c r="O2567" s="35"/>
    </row>
    <row r="2568" spans="9:15" x14ac:dyDescent="0.35">
      <c r="I2568" s="35"/>
      <c r="O2568" s="35"/>
    </row>
    <row r="2569" spans="9:15" x14ac:dyDescent="0.35">
      <c r="I2569" s="35"/>
      <c r="O2569" s="35"/>
    </row>
    <row r="2570" spans="9:15" x14ac:dyDescent="0.35">
      <c r="I2570" s="35"/>
      <c r="O2570" s="35"/>
    </row>
    <row r="2571" spans="9:15" x14ac:dyDescent="0.35">
      <c r="I2571" s="35"/>
      <c r="O2571" s="35"/>
    </row>
    <row r="2572" spans="9:15" x14ac:dyDescent="0.35">
      <c r="I2572" s="35"/>
      <c r="O2572" s="35"/>
    </row>
    <row r="2573" spans="9:15" x14ac:dyDescent="0.35">
      <c r="I2573" s="35"/>
      <c r="O2573" s="35"/>
    </row>
    <row r="2574" spans="9:15" x14ac:dyDescent="0.35">
      <c r="I2574" s="35"/>
      <c r="O2574" s="35"/>
    </row>
    <row r="2575" spans="9:15" x14ac:dyDescent="0.35">
      <c r="I2575" s="35"/>
      <c r="O2575" s="35"/>
    </row>
    <row r="2576" spans="9:15" x14ac:dyDescent="0.35">
      <c r="I2576" s="35"/>
      <c r="O2576" s="35"/>
    </row>
    <row r="2577" spans="9:15" x14ac:dyDescent="0.35">
      <c r="I2577" s="35"/>
      <c r="O2577" s="35"/>
    </row>
    <row r="2578" spans="9:15" x14ac:dyDescent="0.35">
      <c r="I2578" s="35"/>
      <c r="O2578" s="35"/>
    </row>
    <row r="2579" spans="9:15" x14ac:dyDescent="0.35">
      <c r="I2579" s="35"/>
      <c r="O2579" s="35"/>
    </row>
    <row r="2580" spans="9:15" x14ac:dyDescent="0.35">
      <c r="I2580" s="35"/>
      <c r="O2580" s="35"/>
    </row>
    <row r="2581" spans="9:15" x14ac:dyDescent="0.35">
      <c r="I2581" s="35"/>
      <c r="O2581" s="35"/>
    </row>
    <row r="2582" spans="9:15" x14ac:dyDescent="0.35">
      <c r="I2582" s="35"/>
      <c r="O2582" s="35"/>
    </row>
    <row r="2583" spans="9:15" x14ac:dyDescent="0.35">
      <c r="I2583" s="35"/>
      <c r="O2583" s="35"/>
    </row>
    <row r="2584" spans="9:15" x14ac:dyDescent="0.35">
      <c r="I2584" s="35"/>
      <c r="O2584" s="35"/>
    </row>
    <row r="2585" spans="9:15" x14ac:dyDescent="0.35">
      <c r="I2585" s="35"/>
      <c r="O2585" s="35"/>
    </row>
    <row r="2586" spans="9:15" x14ac:dyDescent="0.35">
      <c r="I2586" s="35"/>
      <c r="O2586" s="35"/>
    </row>
    <row r="2587" spans="9:15" x14ac:dyDescent="0.35">
      <c r="I2587" s="35"/>
      <c r="O2587" s="35"/>
    </row>
    <row r="2588" spans="9:15" x14ac:dyDescent="0.35">
      <c r="I2588" s="35"/>
      <c r="O2588" s="35"/>
    </row>
    <row r="2589" spans="9:15" x14ac:dyDescent="0.35">
      <c r="I2589" s="35"/>
      <c r="O2589" s="35"/>
    </row>
    <row r="2590" spans="9:15" x14ac:dyDescent="0.35">
      <c r="I2590" s="35"/>
      <c r="O2590" s="35"/>
    </row>
    <row r="2591" spans="9:15" x14ac:dyDescent="0.35">
      <c r="I2591" s="35"/>
      <c r="O2591" s="35"/>
    </row>
    <row r="2592" spans="9:15" x14ac:dyDescent="0.35">
      <c r="I2592" s="35"/>
      <c r="O2592" s="35"/>
    </row>
    <row r="2593" spans="9:15" x14ac:dyDescent="0.35">
      <c r="I2593" s="35"/>
      <c r="O2593" s="35"/>
    </row>
    <row r="2594" spans="9:15" x14ac:dyDescent="0.35">
      <c r="I2594" s="35"/>
      <c r="O2594" s="35"/>
    </row>
    <row r="2595" spans="9:15" x14ac:dyDescent="0.35">
      <c r="I2595" s="35"/>
      <c r="O2595" s="35"/>
    </row>
    <row r="2596" spans="9:15" x14ac:dyDescent="0.35">
      <c r="I2596" s="35"/>
      <c r="O2596" s="35"/>
    </row>
    <row r="2597" spans="9:15" x14ac:dyDescent="0.35">
      <c r="I2597" s="35"/>
      <c r="O2597" s="35"/>
    </row>
    <row r="2598" spans="9:15" x14ac:dyDescent="0.35">
      <c r="I2598" s="35"/>
      <c r="O2598" s="35"/>
    </row>
    <row r="2599" spans="9:15" x14ac:dyDescent="0.35">
      <c r="I2599" s="35"/>
      <c r="O2599" s="35"/>
    </row>
    <row r="2600" spans="9:15" x14ac:dyDescent="0.35">
      <c r="I2600" s="35"/>
      <c r="O2600" s="35"/>
    </row>
    <row r="2601" spans="9:15" x14ac:dyDescent="0.35">
      <c r="I2601" s="35"/>
      <c r="O2601" s="35"/>
    </row>
    <row r="2602" spans="9:15" x14ac:dyDescent="0.35">
      <c r="I2602" s="35"/>
      <c r="O2602" s="35"/>
    </row>
    <row r="2603" spans="9:15" x14ac:dyDescent="0.35">
      <c r="I2603" s="35"/>
      <c r="O2603" s="35"/>
    </row>
    <row r="2604" spans="9:15" x14ac:dyDescent="0.35">
      <c r="I2604" s="35"/>
      <c r="O2604" s="35"/>
    </row>
    <row r="2605" spans="9:15" x14ac:dyDescent="0.35">
      <c r="I2605" s="35"/>
      <c r="O2605" s="35"/>
    </row>
    <row r="2606" spans="9:15" x14ac:dyDescent="0.35">
      <c r="I2606" s="35"/>
      <c r="O2606" s="35"/>
    </row>
    <row r="2607" spans="9:15" x14ac:dyDescent="0.35">
      <c r="I2607" s="35"/>
      <c r="O2607" s="35"/>
    </row>
    <row r="2608" spans="9:15" x14ac:dyDescent="0.35">
      <c r="I2608" s="35"/>
      <c r="O2608" s="35"/>
    </row>
    <row r="2609" spans="9:15" x14ac:dyDescent="0.35">
      <c r="I2609" s="35"/>
      <c r="O2609" s="35"/>
    </row>
    <row r="2610" spans="9:15" x14ac:dyDescent="0.35">
      <c r="I2610" s="35"/>
      <c r="O2610" s="35"/>
    </row>
    <row r="2611" spans="9:15" x14ac:dyDescent="0.35">
      <c r="I2611" s="35"/>
      <c r="O2611" s="35"/>
    </row>
    <row r="2612" spans="9:15" x14ac:dyDescent="0.35">
      <c r="I2612" s="35"/>
      <c r="O2612" s="35"/>
    </row>
    <row r="2613" spans="9:15" x14ac:dyDescent="0.35">
      <c r="I2613" s="35"/>
      <c r="O2613" s="35"/>
    </row>
    <row r="2614" spans="9:15" x14ac:dyDescent="0.35">
      <c r="I2614" s="35"/>
      <c r="O2614" s="35"/>
    </row>
    <row r="2615" spans="9:15" x14ac:dyDescent="0.35">
      <c r="I2615" s="35"/>
      <c r="O2615" s="35"/>
    </row>
    <row r="2616" spans="9:15" x14ac:dyDescent="0.35">
      <c r="I2616" s="35"/>
      <c r="O2616" s="35"/>
    </row>
    <row r="2617" spans="9:15" x14ac:dyDescent="0.35">
      <c r="I2617" s="35"/>
      <c r="O2617" s="35"/>
    </row>
    <row r="2618" spans="9:15" x14ac:dyDescent="0.35">
      <c r="I2618" s="35"/>
      <c r="O2618" s="35"/>
    </row>
    <row r="2619" spans="9:15" x14ac:dyDescent="0.35">
      <c r="I2619" s="35"/>
      <c r="O2619" s="35"/>
    </row>
    <row r="2620" spans="9:15" x14ac:dyDescent="0.35">
      <c r="I2620" s="35"/>
      <c r="O2620" s="35"/>
    </row>
    <row r="2621" spans="9:15" x14ac:dyDescent="0.35">
      <c r="I2621" s="35"/>
      <c r="O2621" s="35"/>
    </row>
    <row r="2622" spans="9:15" x14ac:dyDescent="0.35">
      <c r="I2622" s="35"/>
      <c r="O2622" s="35"/>
    </row>
    <row r="2623" spans="9:15" x14ac:dyDescent="0.35">
      <c r="I2623" s="35"/>
      <c r="O2623" s="35"/>
    </row>
    <row r="2624" spans="9:15" x14ac:dyDescent="0.35">
      <c r="I2624" s="35"/>
      <c r="O2624" s="35"/>
    </row>
    <row r="2625" spans="9:15" x14ac:dyDescent="0.35">
      <c r="I2625" s="35"/>
      <c r="O2625" s="35"/>
    </row>
    <row r="2626" spans="9:15" x14ac:dyDescent="0.35">
      <c r="I2626" s="35"/>
      <c r="O2626" s="35"/>
    </row>
    <row r="2627" spans="9:15" x14ac:dyDescent="0.35">
      <c r="I2627" s="35"/>
      <c r="O2627" s="35"/>
    </row>
    <row r="2628" spans="9:15" x14ac:dyDescent="0.35">
      <c r="I2628" s="35"/>
      <c r="O2628" s="35"/>
    </row>
    <row r="2629" spans="9:15" x14ac:dyDescent="0.35">
      <c r="I2629" s="35"/>
      <c r="O2629" s="35"/>
    </row>
    <row r="2630" spans="9:15" x14ac:dyDescent="0.35">
      <c r="I2630" s="35"/>
      <c r="O2630" s="35"/>
    </row>
    <row r="2631" spans="9:15" x14ac:dyDescent="0.35">
      <c r="I2631" s="35"/>
      <c r="O2631" s="35"/>
    </row>
    <row r="2632" spans="9:15" x14ac:dyDescent="0.35">
      <c r="I2632" s="35"/>
      <c r="O2632" s="35"/>
    </row>
    <row r="2633" spans="9:15" x14ac:dyDescent="0.35">
      <c r="I2633" s="35"/>
      <c r="O2633" s="35"/>
    </row>
    <row r="2634" spans="9:15" x14ac:dyDescent="0.35">
      <c r="I2634" s="35"/>
      <c r="O2634" s="35"/>
    </row>
    <row r="2635" spans="9:15" x14ac:dyDescent="0.35">
      <c r="I2635" s="35"/>
      <c r="O2635" s="35"/>
    </row>
    <row r="2636" spans="9:15" x14ac:dyDescent="0.35">
      <c r="I2636" s="35"/>
      <c r="O2636" s="35"/>
    </row>
    <row r="2637" spans="9:15" x14ac:dyDescent="0.35">
      <c r="I2637" s="35"/>
      <c r="O2637" s="35"/>
    </row>
    <row r="2638" spans="9:15" x14ac:dyDescent="0.35">
      <c r="I2638" s="35"/>
      <c r="O2638" s="35"/>
    </row>
    <row r="2639" spans="9:15" x14ac:dyDescent="0.35">
      <c r="I2639" s="35"/>
      <c r="O2639" s="35"/>
    </row>
    <row r="2640" spans="9:15" x14ac:dyDescent="0.35">
      <c r="I2640" s="35"/>
      <c r="O2640" s="35"/>
    </row>
    <row r="2641" spans="9:15" x14ac:dyDescent="0.35">
      <c r="I2641" s="35"/>
      <c r="O2641" s="35"/>
    </row>
    <row r="2642" spans="9:15" x14ac:dyDescent="0.35">
      <c r="I2642" s="35"/>
      <c r="O2642" s="35"/>
    </row>
    <row r="2643" spans="9:15" x14ac:dyDescent="0.35">
      <c r="I2643" s="35"/>
      <c r="O2643" s="35"/>
    </row>
    <row r="2644" spans="9:15" x14ac:dyDescent="0.35">
      <c r="I2644" s="35"/>
      <c r="O2644" s="35"/>
    </row>
    <row r="2645" spans="9:15" x14ac:dyDescent="0.35">
      <c r="I2645" s="35"/>
      <c r="O2645" s="35"/>
    </row>
    <row r="2646" spans="9:15" x14ac:dyDescent="0.35">
      <c r="I2646" s="35"/>
      <c r="O2646" s="35"/>
    </row>
    <row r="2647" spans="9:15" x14ac:dyDescent="0.35">
      <c r="I2647" s="35"/>
      <c r="O2647" s="35"/>
    </row>
    <row r="2648" spans="9:15" x14ac:dyDescent="0.35">
      <c r="I2648" s="35"/>
      <c r="O2648" s="35"/>
    </row>
    <row r="2649" spans="9:15" x14ac:dyDescent="0.35">
      <c r="I2649" s="35"/>
      <c r="O2649" s="35"/>
    </row>
    <row r="2650" spans="9:15" x14ac:dyDescent="0.35">
      <c r="I2650" s="35"/>
      <c r="O2650" s="35"/>
    </row>
    <row r="2651" spans="9:15" x14ac:dyDescent="0.35">
      <c r="I2651" s="35"/>
      <c r="O2651" s="35"/>
    </row>
    <row r="2652" spans="9:15" x14ac:dyDescent="0.35">
      <c r="I2652" s="35"/>
      <c r="O2652" s="35"/>
    </row>
    <row r="2653" spans="9:15" x14ac:dyDescent="0.35">
      <c r="I2653" s="35"/>
      <c r="O2653" s="35"/>
    </row>
    <row r="2654" spans="9:15" x14ac:dyDescent="0.35">
      <c r="I2654" s="35"/>
      <c r="O2654" s="35"/>
    </row>
    <row r="2655" spans="9:15" x14ac:dyDescent="0.35">
      <c r="I2655" s="35"/>
      <c r="O2655" s="35"/>
    </row>
    <row r="2656" spans="9:15" x14ac:dyDescent="0.35">
      <c r="I2656" s="35"/>
      <c r="O2656" s="35"/>
    </row>
    <row r="2657" spans="9:15" x14ac:dyDescent="0.35">
      <c r="I2657" s="35"/>
      <c r="O2657" s="35"/>
    </row>
    <row r="2658" spans="9:15" x14ac:dyDescent="0.35">
      <c r="I2658" s="35"/>
      <c r="O2658" s="35"/>
    </row>
    <row r="2659" spans="9:15" x14ac:dyDescent="0.35">
      <c r="I2659" s="35"/>
      <c r="O2659" s="35"/>
    </row>
    <row r="2660" spans="9:15" x14ac:dyDescent="0.35">
      <c r="I2660" s="35"/>
      <c r="O2660" s="35"/>
    </row>
    <row r="2661" spans="9:15" x14ac:dyDescent="0.35">
      <c r="I2661" s="35"/>
      <c r="O2661" s="35"/>
    </row>
    <row r="2662" spans="9:15" x14ac:dyDescent="0.35">
      <c r="I2662" s="35"/>
      <c r="O2662" s="35"/>
    </row>
    <row r="2663" spans="9:15" x14ac:dyDescent="0.35">
      <c r="I2663" s="35"/>
      <c r="O2663" s="35"/>
    </row>
    <row r="2664" spans="9:15" x14ac:dyDescent="0.35">
      <c r="I2664" s="35"/>
      <c r="O2664" s="35"/>
    </row>
    <row r="2665" spans="9:15" x14ac:dyDescent="0.35">
      <c r="I2665" s="35"/>
      <c r="O2665" s="35"/>
    </row>
    <row r="2666" spans="9:15" x14ac:dyDescent="0.35">
      <c r="I2666" s="35"/>
      <c r="O2666" s="35"/>
    </row>
    <row r="2667" spans="9:15" x14ac:dyDescent="0.35">
      <c r="I2667" s="35"/>
      <c r="O2667" s="35"/>
    </row>
    <row r="2668" spans="9:15" x14ac:dyDescent="0.35">
      <c r="I2668" s="35"/>
      <c r="O2668" s="35"/>
    </row>
    <row r="2669" spans="9:15" x14ac:dyDescent="0.35">
      <c r="I2669" s="35"/>
      <c r="O2669" s="35"/>
    </row>
    <row r="2670" spans="9:15" x14ac:dyDescent="0.35">
      <c r="I2670" s="35"/>
      <c r="O2670" s="35"/>
    </row>
    <row r="2671" spans="9:15" x14ac:dyDescent="0.35">
      <c r="I2671" s="35"/>
      <c r="O2671" s="35"/>
    </row>
    <row r="2672" spans="9:15" x14ac:dyDescent="0.35">
      <c r="I2672" s="35"/>
      <c r="O2672" s="35"/>
    </row>
    <row r="2673" spans="9:15" x14ac:dyDescent="0.35">
      <c r="I2673" s="35"/>
      <c r="O2673" s="35"/>
    </row>
    <row r="2674" spans="9:15" x14ac:dyDescent="0.35">
      <c r="I2674" s="35"/>
      <c r="O2674" s="35"/>
    </row>
    <row r="2675" spans="9:15" x14ac:dyDescent="0.35">
      <c r="I2675" s="35"/>
      <c r="O2675" s="35"/>
    </row>
    <row r="2676" spans="9:15" x14ac:dyDescent="0.35">
      <c r="I2676" s="35"/>
      <c r="O2676" s="35"/>
    </row>
    <row r="2677" spans="9:15" x14ac:dyDescent="0.35">
      <c r="I2677" s="35"/>
      <c r="O2677" s="35"/>
    </row>
    <row r="2678" spans="9:15" x14ac:dyDescent="0.35">
      <c r="I2678" s="35"/>
      <c r="O2678" s="35"/>
    </row>
    <row r="2679" spans="9:15" x14ac:dyDescent="0.35">
      <c r="I2679" s="35"/>
      <c r="O2679" s="35"/>
    </row>
    <row r="2680" spans="9:15" x14ac:dyDescent="0.35">
      <c r="I2680" s="35"/>
      <c r="O2680" s="35"/>
    </row>
    <row r="2681" spans="9:15" x14ac:dyDescent="0.35">
      <c r="I2681" s="35"/>
      <c r="O2681" s="35"/>
    </row>
    <row r="2682" spans="9:15" x14ac:dyDescent="0.35">
      <c r="I2682" s="35"/>
      <c r="O2682" s="35"/>
    </row>
    <row r="2683" spans="9:15" x14ac:dyDescent="0.35">
      <c r="I2683" s="35"/>
      <c r="O2683" s="35"/>
    </row>
    <row r="2684" spans="9:15" x14ac:dyDescent="0.35">
      <c r="I2684" s="35"/>
      <c r="O2684" s="35"/>
    </row>
    <row r="2685" spans="9:15" x14ac:dyDescent="0.35">
      <c r="I2685" s="35"/>
      <c r="O2685" s="35"/>
    </row>
    <row r="2686" spans="9:15" x14ac:dyDescent="0.35">
      <c r="I2686" s="35"/>
      <c r="O2686" s="35"/>
    </row>
    <row r="2687" spans="9:15" x14ac:dyDescent="0.35">
      <c r="I2687" s="35"/>
      <c r="O2687" s="35"/>
    </row>
    <row r="2688" spans="9:15" x14ac:dyDescent="0.35">
      <c r="I2688" s="35"/>
      <c r="O2688" s="35"/>
    </row>
    <row r="2689" spans="9:15" x14ac:dyDescent="0.35">
      <c r="I2689" s="35"/>
      <c r="O2689" s="35"/>
    </row>
    <row r="2690" spans="9:15" x14ac:dyDescent="0.35">
      <c r="I2690" s="35"/>
      <c r="O2690" s="35"/>
    </row>
    <row r="2691" spans="9:15" x14ac:dyDescent="0.35">
      <c r="I2691" s="35"/>
      <c r="O2691" s="35"/>
    </row>
    <row r="2692" spans="9:15" x14ac:dyDescent="0.35">
      <c r="I2692" s="35"/>
      <c r="O2692" s="35"/>
    </row>
    <row r="2693" spans="9:15" x14ac:dyDescent="0.35">
      <c r="I2693" s="35"/>
      <c r="O2693" s="35"/>
    </row>
    <row r="2694" spans="9:15" x14ac:dyDescent="0.35">
      <c r="I2694" s="35"/>
      <c r="O2694" s="35"/>
    </row>
    <row r="2695" spans="9:15" x14ac:dyDescent="0.35">
      <c r="I2695" s="35"/>
      <c r="O2695" s="35"/>
    </row>
    <row r="2696" spans="9:15" x14ac:dyDescent="0.35">
      <c r="I2696" s="35"/>
      <c r="O2696" s="35"/>
    </row>
    <row r="2697" spans="9:15" x14ac:dyDescent="0.35">
      <c r="I2697" s="35"/>
      <c r="O2697" s="35"/>
    </row>
    <row r="2698" spans="9:15" x14ac:dyDescent="0.35">
      <c r="I2698" s="35"/>
      <c r="O2698" s="35"/>
    </row>
    <row r="2699" spans="9:15" x14ac:dyDescent="0.35">
      <c r="I2699" s="35"/>
      <c r="O2699" s="35"/>
    </row>
    <row r="2700" spans="9:15" x14ac:dyDescent="0.35">
      <c r="I2700" s="35"/>
      <c r="O2700" s="35"/>
    </row>
    <row r="2701" spans="9:15" x14ac:dyDescent="0.35">
      <c r="I2701" s="35"/>
      <c r="O2701" s="35"/>
    </row>
    <row r="2702" spans="9:15" x14ac:dyDescent="0.35">
      <c r="I2702" s="35"/>
      <c r="O2702" s="35"/>
    </row>
    <row r="2703" spans="9:15" x14ac:dyDescent="0.35">
      <c r="I2703" s="35"/>
      <c r="O2703" s="35"/>
    </row>
    <row r="2704" spans="9:15" x14ac:dyDescent="0.35">
      <c r="I2704" s="35"/>
      <c r="O2704" s="35"/>
    </row>
    <row r="2705" spans="9:15" x14ac:dyDescent="0.35">
      <c r="I2705" s="35"/>
      <c r="O2705" s="35"/>
    </row>
    <row r="2706" spans="9:15" x14ac:dyDescent="0.35">
      <c r="I2706" s="35"/>
      <c r="O2706" s="35"/>
    </row>
    <row r="2707" spans="9:15" x14ac:dyDescent="0.35">
      <c r="I2707" s="35"/>
      <c r="O2707" s="35"/>
    </row>
    <row r="2708" spans="9:15" x14ac:dyDescent="0.35">
      <c r="I2708" s="35"/>
      <c r="O2708" s="35"/>
    </row>
    <row r="2709" spans="9:15" x14ac:dyDescent="0.35">
      <c r="I2709" s="35"/>
      <c r="O2709" s="35"/>
    </row>
    <row r="2710" spans="9:15" x14ac:dyDescent="0.35">
      <c r="I2710" s="35"/>
      <c r="O2710" s="35"/>
    </row>
    <row r="2711" spans="9:15" x14ac:dyDescent="0.35">
      <c r="I2711" s="35"/>
      <c r="O2711" s="35"/>
    </row>
    <row r="2712" spans="9:15" x14ac:dyDescent="0.35">
      <c r="I2712" s="35"/>
      <c r="O2712" s="35"/>
    </row>
    <row r="2713" spans="9:15" x14ac:dyDescent="0.35">
      <c r="I2713" s="35"/>
      <c r="O2713" s="35"/>
    </row>
    <row r="2714" spans="9:15" x14ac:dyDescent="0.35">
      <c r="I2714" s="35"/>
      <c r="O2714" s="35"/>
    </row>
    <row r="2715" spans="9:15" x14ac:dyDescent="0.35">
      <c r="I2715" s="35"/>
      <c r="O2715" s="35"/>
    </row>
    <row r="2716" spans="9:15" x14ac:dyDescent="0.35">
      <c r="I2716" s="35"/>
      <c r="O2716" s="35"/>
    </row>
    <row r="2717" spans="9:15" x14ac:dyDescent="0.35">
      <c r="I2717" s="35"/>
      <c r="O2717" s="35"/>
    </row>
    <row r="2718" spans="9:15" x14ac:dyDescent="0.35">
      <c r="I2718" s="35"/>
      <c r="O2718" s="35"/>
    </row>
    <row r="2719" spans="9:15" x14ac:dyDescent="0.35">
      <c r="I2719" s="35"/>
      <c r="O2719" s="35"/>
    </row>
    <row r="2720" spans="9:15" x14ac:dyDescent="0.35">
      <c r="I2720" s="35"/>
      <c r="O2720" s="35"/>
    </row>
    <row r="2721" spans="9:15" x14ac:dyDescent="0.35">
      <c r="I2721" s="35"/>
      <c r="O2721" s="35"/>
    </row>
    <row r="2722" spans="9:15" x14ac:dyDescent="0.35">
      <c r="I2722" s="35"/>
      <c r="O2722" s="35"/>
    </row>
    <row r="2723" spans="9:15" x14ac:dyDescent="0.35">
      <c r="I2723" s="35"/>
      <c r="O2723" s="35"/>
    </row>
    <row r="2724" spans="9:15" x14ac:dyDescent="0.35">
      <c r="I2724" s="35"/>
      <c r="O2724" s="35"/>
    </row>
    <row r="2725" spans="9:15" x14ac:dyDescent="0.35">
      <c r="I2725" s="35"/>
      <c r="O2725" s="35"/>
    </row>
    <row r="2726" spans="9:15" x14ac:dyDescent="0.35">
      <c r="I2726" s="35"/>
      <c r="O2726" s="35"/>
    </row>
    <row r="2727" spans="9:15" x14ac:dyDescent="0.35">
      <c r="I2727" s="35"/>
      <c r="O2727" s="35"/>
    </row>
    <row r="2728" spans="9:15" x14ac:dyDescent="0.35">
      <c r="I2728" s="35"/>
      <c r="O2728" s="35"/>
    </row>
    <row r="2729" spans="9:15" x14ac:dyDescent="0.35">
      <c r="I2729" s="35"/>
      <c r="O2729" s="35"/>
    </row>
    <row r="2730" spans="9:15" x14ac:dyDescent="0.35">
      <c r="I2730" s="35"/>
      <c r="O2730" s="35"/>
    </row>
    <row r="2731" spans="9:15" x14ac:dyDescent="0.35">
      <c r="I2731" s="35"/>
      <c r="O2731" s="35"/>
    </row>
    <row r="2732" spans="9:15" x14ac:dyDescent="0.35">
      <c r="I2732" s="35"/>
      <c r="O2732" s="35"/>
    </row>
    <row r="2733" spans="9:15" x14ac:dyDescent="0.35">
      <c r="I2733" s="35"/>
      <c r="O2733" s="35"/>
    </row>
    <row r="2734" spans="9:15" x14ac:dyDescent="0.35">
      <c r="I2734" s="35"/>
      <c r="O2734" s="35"/>
    </row>
    <row r="2735" spans="9:15" x14ac:dyDescent="0.35">
      <c r="I2735" s="35"/>
      <c r="O2735" s="35"/>
    </row>
    <row r="2736" spans="9:15" x14ac:dyDescent="0.35">
      <c r="I2736" s="35"/>
      <c r="O2736" s="35"/>
    </row>
    <row r="2737" spans="9:15" x14ac:dyDescent="0.35">
      <c r="I2737" s="35"/>
      <c r="O2737" s="35"/>
    </row>
    <row r="2738" spans="9:15" x14ac:dyDescent="0.35">
      <c r="I2738" s="35"/>
      <c r="O2738" s="35"/>
    </row>
    <row r="2739" spans="9:15" x14ac:dyDescent="0.35">
      <c r="I2739" s="35"/>
      <c r="O2739" s="35"/>
    </row>
    <row r="2740" spans="9:15" x14ac:dyDescent="0.35">
      <c r="I2740" s="35"/>
      <c r="O2740" s="35"/>
    </row>
    <row r="2741" spans="9:15" x14ac:dyDescent="0.35">
      <c r="I2741" s="35"/>
      <c r="O2741" s="35"/>
    </row>
    <row r="2742" spans="9:15" x14ac:dyDescent="0.35">
      <c r="I2742" s="35"/>
      <c r="O2742" s="35"/>
    </row>
    <row r="2743" spans="9:15" x14ac:dyDescent="0.35">
      <c r="I2743" s="35"/>
      <c r="O2743" s="35"/>
    </row>
    <row r="2744" spans="9:15" x14ac:dyDescent="0.35">
      <c r="I2744" s="35"/>
      <c r="O2744" s="35"/>
    </row>
    <row r="2745" spans="9:15" x14ac:dyDescent="0.35">
      <c r="I2745" s="35"/>
      <c r="O2745" s="35"/>
    </row>
    <row r="2746" spans="9:15" x14ac:dyDescent="0.35">
      <c r="I2746" s="35"/>
      <c r="O2746" s="35"/>
    </row>
    <row r="2747" spans="9:15" x14ac:dyDescent="0.35">
      <c r="I2747" s="35"/>
      <c r="O2747" s="35"/>
    </row>
    <row r="2748" spans="9:15" x14ac:dyDescent="0.35">
      <c r="I2748" s="35"/>
      <c r="O2748" s="35"/>
    </row>
    <row r="2749" spans="9:15" x14ac:dyDescent="0.35">
      <c r="I2749" s="35"/>
      <c r="O2749" s="35"/>
    </row>
    <row r="2750" spans="9:15" x14ac:dyDescent="0.35">
      <c r="I2750" s="35"/>
      <c r="O2750" s="35"/>
    </row>
    <row r="2751" spans="9:15" x14ac:dyDescent="0.35">
      <c r="I2751" s="35"/>
      <c r="O2751" s="35"/>
    </row>
    <row r="2752" spans="9:15" x14ac:dyDescent="0.35">
      <c r="I2752" s="35"/>
      <c r="O2752" s="35"/>
    </row>
    <row r="2753" spans="9:15" x14ac:dyDescent="0.35">
      <c r="I2753" s="35"/>
      <c r="O2753" s="35"/>
    </row>
    <row r="2754" spans="9:15" x14ac:dyDescent="0.35">
      <c r="I2754" s="35"/>
      <c r="O2754" s="35"/>
    </row>
    <row r="2755" spans="9:15" x14ac:dyDescent="0.35">
      <c r="I2755" s="35"/>
      <c r="O2755" s="35"/>
    </row>
    <row r="2756" spans="9:15" x14ac:dyDescent="0.35">
      <c r="I2756" s="35"/>
      <c r="O2756" s="35"/>
    </row>
    <row r="2757" spans="9:15" x14ac:dyDescent="0.35">
      <c r="I2757" s="35"/>
      <c r="O2757" s="35"/>
    </row>
    <row r="2758" spans="9:15" x14ac:dyDescent="0.35">
      <c r="I2758" s="35"/>
      <c r="O2758" s="35"/>
    </row>
    <row r="2759" spans="9:15" x14ac:dyDescent="0.35">
      <c r="I2759" s="35"/>
      <c r="O2759" s="35"/>
    </row>
    <row r="2760" spans="9:15" x14ac:dyDescent="0.35">
      <c r="I2760" s="35"/>
      <c r="O2760" s="35"/>
    </row>
    <row r="2761" spans="9:15" x14ac:dyDescent="0.35">
      <c r="I2761" s="35"/>
      <c r="O2761" s="35"/>
    </row>
    <row r="2762" spans="9:15" x14ac:dyDescent="0.35">
      <c r="I2762" s="35"/>
      <c r="O2762" s="35"/>
    </row>
    <row r="2763" spans="9:15" x14ac:dyDescent="0.35">
      <c r="I2763" s="35"/>
      <c r="O2763" s="35"/>
    </row>
    <row r="2764" spans="9:15" x14ac:dyDescent="0.35">
      <c r="I2764" s="35"/>
      <c r="O2764" s="35"/>
    </row>
    <row r="2765" spans="9:15" x14ac:dyDescent="0.35">
      <c r="I2765" s="35"/>
      <c r="O2765" s="35"/>
    </row>
    <row r="2766" spans="9:15" x14ac:dyDescent="0.35">
      <c r="I2766" s="35"/>
      <c r="O2766" s="35"/>
    </row>
    <row r="2767" spans="9:15" x14ac:dyDescent="0.35">
      <c r="I2767" s="35"/>
      <c r="O2767" s="35"/>
    </row>
    <row r="2768" spans="9:15" x14ac:dyDescent="0.35">
      <c r="I2768" s="35"/>
      <c r="O2768" s="35"/>
    </row>
    <row r="2769" spans="9:15" x14ac:dyDescent="0.35">
      <c r="I2769" s="35"/>
      <c r="O2769" s="35"/>
    </row>
    <row r="2770" spans="9:15" x14ac:dyDescent="0.35">
      <c r="I2770" s="35"/>
      <c r="O2770" s="35"/>
    </row>
    <row r="2771" spans="9:15" x14ac:dyDescent="0.35">
      <c r="I2771" s="35"/>
      <c r="O2771" s="35"/>
    </row>
    <row r="2772" spans="9:15" x14ac:dyDescent="0.35">
      <c r="I2772" s="35"/>
      <c r="O2772" s="35"/>
    </row>
    <row r="2773" spans="9:15" x14ac:dyDescent="0.35">
      <c r="I2773" s="35"/>
      <c r="O2773" s="35"/>
    </row>
    <row r="2774" spans="9:15" x14ac:dyDescent="0.35">
      <c r="I2774" s="35"/>
      <c r="O2774" s="35"/>
    </row>
    <row r="2775" spans="9:15" x14ac:dyDescent="0.35">
      <c r="I2775" s="35"/>
      <c r="O2775" s="35"/>
    </row>
    <row r="2776" spans="9:15" x14ac:dyDescent="0.35">
      <c r="I2776" s="35"/>
      <c r="O2776" s="35"/>
    </row>
    <row r="2777" spans="9:15" x14ac:dyDescent="0.35">
      <c r="I2777" s="35"/>
      <c r="O2777" s="35"/>
    </row>
    <row r="2778" spans="9:15" x14ac:dyDescent="0.35">
      <c r="I2778" s="35"/>
      <c r="O2778" s="35"/>
    </row>
    <row r="2779" spans="9:15" x14ac:dyDescent="0.35">
      <c r="I2779" s="35"/>
      <c r="O2779" s="35"/>
    </row>
    <row r="2780" spans="9:15" x14ac:dyDescent="0.35">
      <c r="I2780" s="35"/>
      <c r="O2780" s="35"/>
    </row>
    <row r="2781" spans="9:15" x14ac:dyDescent="0.35">
      <c r="I2781" s="35"/>
      <c r="O2781" s="35"/>
    </row>
    <row r="2782" spans="9:15" x14ac:dyDescent="0.35">
      <c r="I2782" s="35"/>
      <c r="O2782" s="35"/>
    </row>
    <row r="2783" spans="9:15" x14ac:dyDescent="0.35">
      <c r="I2783" s="35"/>
      <c r="O2783" s="35"/>
    </row>
    <row r="2784" spans="9:15" x14ac:dyDescent="0.35">
      <c r="I2784" s="35"/>
      <c r="O2784" s="35"/>
    </row>
    <row r="2785" spans="9:15" x14ac:dyDescent="0.35">
      <c r="I2785" s="35"/>
      <c r="O2785" s="35"/>
    </row>
    <row r="2786" spans="9:15" x14ac:dyDescent="0.35">
      <c r="I2786" s="35"/>
      <c r="O2786" s="35"/>
    </row>
    <row r="2787" spans="9:15" x14ac:dyDescent="0.35">
      <c r="I2787" s="35"/>
      <c r="O2787" s="35"/>
    </row>
    <row r="2788" spans="9:15" x14ac:dyDescent="0.35">
      <c r="I2788" s="35"/>
      <c r="O2788" s="35"/>
    </row>
    <row r="2789" spans="9:15" x14ac:dyDescent="0.35">
      <c r="I2789" s="35"/>
      <c r="O2789" s="35"/>
    </row>
    <row r="2790" spans="9:15" x14ac:dyDescent="0.35">
      <c r="I2790" s="35"/>
      <c r="O2790" s="35"/>
    </row>
    <row r="2791" spans="9:15" x14ac:dyDescent="0.35">
      <c r="I2791" s="35"/>
      <c r="O2791" s="35"/>
    </row>
    <row r="2792" spans="9:15" x14ac:dyDescent="0.35">
      <c r="I2792" s="35"/>
      <c r="O2792" s="35"/>
    </row>
    <row r="2793" spans="9:15" x14ac:dyDescent="0.35">
      <c r="I2793" s="35"/>
      <c r="O2793" s="35"/>
    </row>
    <row r="2794" spans="9:15" x14ac:dyDescent="0.35">
      <c r="I2794" s="35"/>
      <c r="O2794" s="35"/>
    </row>
    <row r="2795" spans="9:15" x14ac:dyDescent="0.35">
      <c r="I2795" s="35"/>
      <c r="O2795" s="35"/>
    </row>
    <row r="2796" spans="9:15" x14ac:dyDescent="0.35">
      <c r="I2796" s="35"/>
      <c r="O2796" s="35"/>
    </row>
    <row r="2797" spans="9:15" x14ac:dyDescent="0.35">
      <c r="I2797" s="35"/>
      <c r="O2797" s="35"/>
    </row>
    <row r="2798" spans="9:15" x14ac:dyDescent="0.35">
      <c r="I2798" s="35"/>
      <c r="O2798" s="35"/>
    </row>
    <row r="2799" spans="9:15" x14ac:dyDescent="0.35">
      <c r="I2799" s="35"/>
      <c r="O2799" s="35"/>
    </row>
    <row r="2800" spans="9:15" x14ac:dyDescent="0.35">
      <c r="I2800" s="35"/>
      <c r="O2800" s="35"/>
    </row>
    <row r="2801" spans="9:15" x14ac:dyDescent="0.35">
      <c r="I2801" s="35"/>
      <c r="O2801" s="35"/>
    </row>
    <row r="2802" spans="9:15" x14ac:dyDescent="0.35">
      <c r="I2802" s="35"/>
      <c r="O2802" s="35"/>
    </row>
    <row r="2803" spans="9:15" x14ac:dyDescent="0.35">
      <c r="I2803" s="35"/>
      <c r="O2803" s="35"/>
    </row>
    <row r="2804" spans="9:15" x14ac:dyDescent="0.35">
      <c r="I2804" s="35"/>
      <c r="O2804" s="35"/>
    </row>
    <row r="2805" spans="9:15" x14ac:dyDescent="0.35">
      <c r="I2805" s="35"/>
      <c r="O2805" s="35"/>
    </row>
    <row r="2806" spans="9:15" x14ac:dyDescent="0.35">
      <c r="I2806" s="35"/>
      <c r="O2806" s="35"/>
    </row>
    <row r="2807" spans="9:15" x14ac:dyDescent="0.35">
      <c r="I2807" s="35"/>
      <c r="O2807" s="35"/>
    </row>
    <row r="2808" spans="9:15" x14ac:dyDescent="0.35">
      <c r="I2808" s="35"/>
      <c r="O2808" s="35"/>
    </row>
    <row r="2809" spans="9:15" x14ac:dyDescent="0.35">
      <c r="I2809" s="35"/>
      <c r="O2809" s="35"/>
    </row>
    <row r="2810" spans="9:15" x14ac:dyDescent="0.35">
      <c r="I2810" s="35"/>
      <c r="O2810" s="35"/>
    </row>
    <row r="2811" spans="9:15" x14ac:dyDescent="0.35">
      <c r="I2811" s="35"/>
      <c r="O2811" s="35"/>
    </row>
    <row r="2812" spans="9:15" x14ac:dyDescent="0.35">
      <c r="I2812" s="35"/>
      <c r="O2812" s="35"/>
    </row>
    <row r="2813" spans="9:15" x14ac:dyDescent="0.35">
      <c r="I2813" s="35"/>
      <c r="O2813" s="35"/>
    </row>
    <row r="2814" spans="9:15" x14ac:dyDescent="0.35">
      <c r="I2814" s="35"/>
      <c r="O2814" s="35"/>
    </row>
    <row r="2815" spans="9:15" x14ac:dyDescent="0.35">
      <c r="I2815" s="35"/>
      <c r="O2815" s="35"/>
    </row>
    <row r="2816" spans="9:15" x14ac:dyDescent="0.35">
      <c r="I2816" s="35"/>
      <c r="O2816" s="35"/>
    </row>
    <row r="2817" spans="9:15" x14ac:dyDescent="0.35">
      <c r="I2817" s="35"/>
      <c r="O2817" s="35"/>
    </row>
    <row r="2818" spans="9:15" x14ac:dyDescent="0.35">
      <c r="I2818" s="35"/>
      <c r="O2818" s="35"/>
    </row>
    <row r="2819" spans="9:15" x14ac:dyDescent="0.35">
      <c r="I2819" s="35"/>
      <c r="O2819" s="35"/>
    </row>
    <row r="2820" spans="9:15" x14ac:dyDescent="0.35">
      <c r="I2820" s="35"/>
      <c r="O2820" s="35"/>
    </row>
    <row r="2821" spans="9:15" x14ac:dyDescent="0.35">
      <c r="I2821" s="35"/>
      <c r="O2821" s="35"/>
    </row>
    <row r="2822" spans="9:15" x14ac:dyDescent="0.35">
      <c r="I2822" s="35"/>
      <c r="O2822" s="35"/>
    </row>
    <row r="2823" spans="9:15" x14ac:dyDescent="0.35">
      <c r="I2823" s="35"/>
      <c r="O2823" s="35"/>
    </row>
    <row r="2824" spans="9:15" x14ac:dyDescent="0.35">
      <c r="I2824" s="35"/>
      <c r="O2824" s="35"/>
    </row>
    <row r="2825" spans="9:15" x14ac:dyDescent="0.35">
      <c r="I2825" s="35"/>
      <c r="O2825" s="35"/>
    </row>
    <row r="2826" spans="9:15" x14ac:dyDescent="0.35">
      <c r="I2826" s="35"/>
      <c r="O2826" s="35"/>
    </row>
    <row r="2827" spans="9:15" x14ac:dyDescent="0.35">
      <c r="I2827" s="35"/>
      <c r="O2827" s="35"/>
    </row>
    <row r="2828" spans="9:15" x14ac:dyDescent="0.35">
      <c r="I2828" s="35"/>
      <c r="O2828" s="35"/>
    </row>
    <row r="2829" spans="9:15" x14ac:dyDescent="0.35">
      <c r="I2829" s="35"/>
      <c r="O2829" s="35"/>
    </row>
    <row r="2830" spans="9:15" x14ac:dyDescent="0.35">
      <c r="I2830" s="35"/>
      <c r="O2830" s="35"/>
    </row>
    <row r="2831" spans="9:15" x14ac:dyDescent="0.35">
      <c r="I2831" s="35"/>
      <c r="O2831" s="35"/>
    </row>
    <row r="2832" spans="9:15" x14ac:dyDescent="0.35">
      <c r="I2832" s="35"/>
      <c r="O2832" s="35"/>
    </row>
    <row r="2833" spans="9:15" x14ac:dyDescent="0.35">
      <c r="I2833" s="35"/>
      <c r="O2833" s="35"/>
    </row>
    <row r="2834" spans="9:15" x14ac:dyDescent="0.35">
      <c r="I2834" s="35"/>
      <c r="O2834" s="35"/>
    </row>
    <row r="2835" spans="9:15" x14ac:dyDescent="0.35">
      <c r="I2835" s="35"/>
      <c r="O2835" s="35"/>
    </row>
    <row r="2836" spans="9:15" x14ac:dyDescent="0.35">
      <c r="I2836" s="35"/>
      <c r="O2836" s="35"/>
    </row>
    <row r="2837" spans="9:15" x14ac:dyDescent="0.35">
      <c r="I2837" s="35"/>
      <c r="O2837" s="35"/>
    </row>
    <row r="2838" spans="9:15" x14ac:dyDescent="0.35">
      <c r="I2838" s="35"/>
      <c r="O2838" s="35"/>
    </row>
    <row r="2839" spans="9:15" x14ac:dyDescent="0.35">
      <c r="I2839" s="35"/>
      <c r="O2839" s="35"/>
    </row>
    <row r="2840" spans="9:15" x14ac:dyDescent="0.35">
      <c r="I2840" s="35"/>
      <c r="O2840" s="35"/>
    </row>
    <row r="2841" spans="9:15" x14ac:dyDescent="0.35">
      <c r="I2841" s="35"/>
      <c r="O2841" s="35"/>
    </row>
    <row r="2842" spans="9:15" x14ac:dyDescent="0.35">
      <c r="I2842" s="35"/>
      <c r="O2842" s="35"/>
    </row>
    <row r="2843" spans="9:15" x14ac:dyDescent="0.35">
      <c r="I2843" s="35"/>
      <c r="O2843" s="35"/>
    </row>
    <row r="2844" spans="9:15" x14ac:dyDescent="0.35">
      <c r="I2844" s="35"/>
      <c r="O2844" s="35"/>
    </row>
    <row r="2845" spans="9:15" x14ac:dyDescent="0.35">
      <c r="I2845" s="35"/>
      <c r="O2845" s="35"/>
    </row>
    <row r="2846" spans="9:15" x14ac:dyDescent="0.35">
      <c r="I2846" s="35"/>
      <c r="O2846" s="35"/>
    </row>
    <row r="2847" spans="9:15" x14ac:dyDescent="0.35">
      <c r="I2847" s="35"/>
      <c r="O2847" s="35"/>
    </row>
    <row r="2848" spans="9:15" x14ac:dyDescent="0.35">
      <c r="I2848" s="35"/>
      <c r="O2848" s="35"/>
    </row>
    <row r="2849" spans="9:15" x14ac:dyDescent="0.35">
      <c r="I2849" s="35"/>
      <c r="O2849" s="35"/>
    </row>
    <row r="2850" spans="9:15" x14ac:dyDescent="0.35">
      <c r="I2850" s="35"/>
      <c r="O2850" s="35"/>
    </row>
    <row r="2851" spans="9:15" x14ac:dyDescent="0.35">
      <c r="I2851" s="35"/>
      <c r="O2851" s="35"/>
    </row>
    <row r="2852" spans="9:15" x14ac:dyDescent="0.35">
      <c r="I2852" s="35"/>
      <c r="O2852" s="35"/>
    </row>
    <row r="2853" spans="9:15" x14ac:dyDescent="0.35">
      <c r="I2853" s="35"/>
      <c r="O2853" s="35"/>
    </row>
    <row r="2854" spans="9:15" x14ac:dyDescent="0.35">
      <c r="I2854" s="35"/>
      <c r="O2854" s="35"/>
    </row>
    <row r="2855" spans="9:15" x14ac:dyDescent="0.35">
      <c r="I2855" s="35"/>
      <c r="O2855" s="35"/>
    </row>
    <row r="2856" spans="9:15" x14ac:dyDescent="0.35">
      <c r="I2856" s="35"/>
      <c r="O2856" s="35"/>
    </row>
    <row r="2857" spans="9:15" x14ac:dyDescent="0.35">
      <c r="I2857" s="35"/>
      <c r="O2857" s="35"/>
    </row>
    <row r="2858" spans="9:15" x14ac:dyDescent="0.35">
      <c r="I2858" s="35"/>
      <c r="O2858" s="35"/>
    </row>
    <row r="2859" spans="9:15" x14ac:dyDescent="0.35">
      <c r="I2859" s="35"/>
      <c r="O2859" s="35"/>
    </row>
    <row r="2860" spans="9:15" x14ac:dyDescent="0.35">
      <c r="I2860" s="35"/>
      <c r="O2860" s="35"/>
    </row>
    <row r="2861" spans="9:15" x14ac:dyDescent="0.35">
      <c r="I2861" s="35"/>
      <c r="O2861" s="35"/>
    </row>
    <row r="2862" spans="9:15" x14ac:dyDescent="0.35">
      <c r="I2862" s="35"/>
      <c r="O2862" s="35"/>
    </row>
    <row r="2863" spans="9:15" x14ac:dyDescent="0.35">
      <c r="I2863" s="35"/>
      <c r="O2863" s="35"/>
    </row>
    <row r="2864" spans="9:15" x14ac:dyDescent="0.35">
      <c r="I2864" s="35"/>
      <c r="O2864" s="35"/>
    </row>
    <row r="2865" spans="9:15" x14ac:dyDescent="0.35">
      <c r="I2865" s="35"/>
      <c r="O2865" s="35"/>
    </row>
    <row r="2866" spans="9:15" x14ac:dyDescent="0.35">
      <c r="I2866" s="35"/>
      <c r="O2866" s="35"/>
    </row>
    <row r="2867" spans="9:15" x14ac:dyDescent="0.35">
      <c r="I2867" s="35"/>
      <c r="O2867" s="35"/>
    </row>
    <row r="2868" spans="9:15" x14ac:dyDescent="0.35">
      <c r="I2868" s="35"/>
      <c r="O2868" s="35"/>
    </row>
    <row r="2869" spans="9:15" x14ac:dyDescent="0.35">
      <c r="I2869" s="35"/>
      <c r="O2869" s="35"/>
    </row>
    <row r="2870" spans="9:15" x14ac:dyDescent="0.35">
      <c r="I2870" s="35"/>
      <c r="O2870" s="35"/>
    </row>
    <row r="2871" spans="9:15" x14ac:dyDescent="0.35">
      <c r="I2871" s="35"/>
      <c r="O2871" s="35"/>
    </row>
    <row r="2872" spans="9:15" x14ac:dyDescent="0.35">
      <c r="I2872" s="35"/>
      <c r="O2872" s="35"/>
    </row>
    <row r="2873" spans="9:15" x14ac:dyDescent="0.35">
      <c r="I2873" s="35"/>
      <c r="O2873" s="35"/>
    </row>
    <row r="2874" spans="9:15" x14ac:dyDescent="0.35">
      <c r="I2874" s="35"/>
      <c r="O2874" s="35"/>
    </row>
    <row r="2875" spans="9:15" x14ac:dyDescent="0.35">
      <c r="I2875" s="35"/>
      <c r="O2875" s="35"/>
    </row>
    <row r="2876" spans="9:15" x14ac:dyDescent="0.35">
      <c r="I2876" s="35"/>
      <c r="O2876" s="35"/>
    </row>
    <row r="2877" spans="9:15" x14ac:dyDescent="0.35">
      <c r="I2877" s="35"/>
      <c r="O2877" s="35"/>
    </row>
    <row r="2878" spans="9:15" x14ac:dyDescent="0.35">
      <c r="I2878" s="35"/>
      <c r="O2878" s="35"/>
    </row>
    <row r="2879" spans="9:15" x14ac:dyDescent="0.35">
      <c r="I2879" s="35"/>
      <c r="O2879" s="35"/>
    </row>
    <row r="2880" spans="9:15" x14ac:dyDescent="0.35">
      <c r="I2880" s="35"/>
      <c r="O2880" s="35"/>
    </row>
    <row r="2881" spans="9:15" x14ac:dyDescent="0.35">
      <c r="I2881" s="35"/>
      <c r="O2881" s="35"/>
    </row>
    <row r="2882" spans="9:15" x14ac:dyDescent="0.35">
      <c r="I2882" s="35"/>
      <c r="O2882" s="35"/>
    </row>
    <row r="2883" spans="9:15" x14ac:dyDescent="0.35">
      <c r="I2883" s="35"/>
      <c r="O2883" s="35"/>
    </row>
    <row r="2884" spans="9:15" x14ac:dyDescent="0.35">
      <c r="I2884" s="35"/>
      <c r="O2884" s="35"/>
    </row>
    <row r="2885" spans="9:15" x14ac:dyDescent="0.35">
      <c r="I2885" s="35"/>
      <c r="O2885" s="35"/>
    </row>
    <row r="2886" spans="9:15" x14ac:dyDescent="0.35">
      <c r="I2886" s="35"/>
      <c r="O2886" s="35"/>
    </row>
    <row r="2887" spans="9:15" x14ac:dyDescent="0.35">
      <c r="I2887" s="35"/>
      <c r="O2887" s="35"/>
    </row>
    <row r="2888" spans="9:15" x14ac:dyDescent="0.35">
      <c r="I2888" s="35"/>
      <c r="O2888" s="35"/>
    </row>
    <row r="2889" spans="9:15" x14ac:dyDescent="0.35">
      <c r="I2889" s="35"/>
      <c r="O2889" s="35"/>
    </row>
    <row r="2890" spans="9:15" x14ac:dyDescent="0.35">
      <c r="I2890" s="35"/>
      <c r="O2890" s="35"/>
    </row>
    <row r="2891" spans="9:15" x14ac:dyDescent="0.35">
      <c r="I2891" s="35"/>
      <c r="O2891" s="35"/>
    </row>
    <row r="2892" spans="9:15" x14ac:dyDescent="0.35">
      <c r="I2892" s="35"/>
      <c r="O2892" s="35"/>
    </row>
    <row r="2893" spans="9:15" x14ac:dyDescent="0.35">
      <c r="I2893" s="35"/>
      <c r="O2893" s="35"/>
    </row>
    <row r="2894" spans="9:15" x14ac:dyDescent="0.35">
      <c r="I2894" s="35"/>
      <c r="O2894" s="35"/>
    </row>
    <row r="2895" spans="9:15" x14ac:dyDescent="0.35">
      <c r="I2895" s="35"/>
      <c r="O2895" s="35"/>
    </row>
    <row r="2896" spans="9:15" x14ac:dyDescent="0.35">
      <c r="I2896" s="35"/>
      <c r="O2896" s="35"/>
    </row>
    <row r="2897" spans="9:15" x14ac:dyDescent="0.35">
      <c r="I2897" s="35"/>
      <c r="O2897" s="35"/>
    </row>
    <row r="2898" spans="9:15" x14ac:dyDescent="0.35">
      <c r="I2898" s="35"/>
      <c r="O2898" s="35"/>
    </row>
    <row r="2899" spans="9:15" x14ac:dyDescent="0.35">
      <c r="I2899" s="35"/>
      <c r="O2899" s="35"/>
    </row>
    <row r="2900" spans="9:15" x14ac:dyDescent="0.35">
      <c r="I2900" s="35"/>
      <c r="O2900" s="35"/>
    </row>
    <row r="2901" spans="9:15" x14ac:dyDescent="0.35">
      <c r="I2901" s="35"/>
      <c r="O2901" s="35"/>
    </row>
    <row r="2902" spans="9:15" x14ac:dyDescent="0.35">
      <c r="I2902" s="35"/>
      <c r="O2902" s="35"/>
    </row>
    <row r="2903" spans="9:15" x14ac:dyDescent="0.35">
      <c r="I2903" s="35"/>
      <c r="O2903" s="35"/>
    </row>
    <row r="2904" spans="9:15" x14ac:dyDescent="0.35">
      <c r="I2904" s="35"/>
      <c r="O2904" s="35"/>
    </row>
    <row r="2905" spans="9:15" x14ac:dyDescent="0.35">
      <c r="I2905" s="35"/>
      <c r="O2905" s="35"/>
    </row>
    <row r="2906" spans="9:15" x14ac:dyDescent="0.35">
      <c r="I2906" s="35"/>
      <c r="O2906" s="35"/>
    </row>
    <row r="2907" spans="9:15" x14ac:dyDescent="0.35">
      <c r="I2907" s="35"/>
      <c r="O2907" s="35"/>
    </row>
    <row r="2908" spans="9:15" x14ac:dyDescent="0.35">
      <c r="I2908" s="35"/>
      <c r="O2908" s="35"/>
    </row>
    <row r="2909" spans="9:15" x14ac:dyDescent="0.35">
      <c r="I2909" s="35"/>
      <c r="O2909" s="35"/>
    </row>
    <row r="2910" spans="9:15" x14ac:dyDescent="0.35">
      <c r="I2910" s="35"/>
      <c r="O2910" s="35"/>
    </row>
    <row r="2911" spans="9:15" x14ac:dyDescent="0.35">
      <c r="I2911" s="35"/>
      <c r="O2911" s="35"/>
    </row>
    <row r="2912" spans="9:15" x14ac:dyDescent="0.35">
      <c r="I2912" s="35"/>
      <c r="O2912" s="35"/>
    </row>
    <row r="2913" spans="9:15" x14ac:dyDescent="0.35">
      <c r="I2913" s="35"/>
      <c r="O2913" s="35"/>
    </row>
    <row r="2914" spans="9:15" x14ac:dyDescent="0.35">
      <c r="I2914" s="35"/>
      <c r="O2914" s="35"/>
    </row>
    <row r="2915" spans="9:15" x14ac:dyDescent="0.35">
      <c r="I2915" s="35"/>
      <c r="O2915" s="35"/>
    </row>
    <row r="2916" spans="9:15" x14ac:dyDescent="0.35">
      <c r="I2916" s="35"/>
      <c r="O2916" s="35"/>
    </row>
    <row r="2917" spans="9:15" x14ac:dyDescent="0.35">
      <c r="I2917" s="35"/>
      <c r="O2917" s="35"/>
    </row>
    <row r="2918" spans="9:15" x14ac:dyDescent="0.35">
      <c r="I2918" s="35"/>
      <c r="O2918" s="35"/>
    </row>
    <row r="2919" spans="9:15" x14ac:dyDescent="0.35">
      <c r="I2919" s="35"/>
      <c r="O2919" s="35"/>
    </row>
    <row r="2920" spans="9:15" x14ac:dyDescent="0.35">
      <c r="I2920" s="35"/>
      <c r="O2920" s="35"/>
    </row>
    <row r="2921" spans="9:15" x14ac:dyDescent="0.35">
      <c r="I2921" s="35"/>
      <c r="O2921" s="35"/>
    </row>
    <row r="2922" spans="9:15" x14ac:dyDescent="0.35">
      <c r="I2922" s="35"/>
      <c r="O2922" s="35"/>
    </row>
    <row r="2923" spans="9:15" x14ac:dyDescent="0.35">
      <c r="I2923" s="35"/>
      <c r="O2923" s="35"/>
    </row>
    <row r="2924" spans="9:15" x14ac:dyDescent="0.35">
      <c r="I2924" s="35"/>
      <c r="O2924" s="35"/>
    </row>
    <row r="2925" spans="9:15" x14ac:dyDescent="0.35">
      <c r="I2925" s="35"/>
      <c r="O2925" s="35"/>
    </row>
    <row r="2926" spans="9:15" x14ac:dyDescent="0.35">
      <c r="I2926" s="35"/>
      <c r="O2926" s="35"/>
    </row>
    <row r="2927" spans="9:15" x14ac:dyDescent="0.35">
      <c r="I2927" s="35"/>
      <c r="O2927" s="35"/>
    </row>
    <row r="2928" spans="9:15" x14ac:dyDescent="0.35">
      <c r="I2928" s="35"/>
      <c r="O2928" s="35"/>
    </row>
    <row r="2929" spans="9:15" x14ac:dyDescent="0.35">
      <c r="I2929" s="35"/>
      <c r="O2929" s="35"/>
    </row>
    <row r="2930" spans="9:15" x14ac:dyDescent="0.35">
      <c r="I2930" s="35"/>
      <c r="O2930" s="35"/>
    </row>
    <row r="2931" spans="9:15" x14ac:dyDescent="0.35">
      <c r="I2931" s="35"/>
      <c r="O2931" s="35"/>
    </row>
    <row r="2932" spans="9:15" x14ac:dyDescent="0.35">
      <c r="I2932" s="35"/>
      <c r="O2932" s="35"/>
    </row>
    <row r="2933" spans="9:15" x14ac:dyDescent="0.35">
      <c r="I2933" s="35"/>
      <c r="O2933" s="35"/>
    </row>
    <row r="2934" spans="9:15" x14ac:dyDescent="0.35">
      <c r="I2934" s="35"/>
      <c r="O2934" s="35"/>
    </row>
    <row r="2935" spans="9:15" x14ac:dyDescent="0.35">
      <c r="I2935" s="35"/>
      <c r="O2935" s="35"/>
    </row>
    <row r="2936" spans="9:15" x14ac:dyDescent="0.35">
      <c r="I2936" s="35"/>
      <c r="O2936" s="35"/>
    </row>
    <row r="2937" spans="9:15" x14ac:dyDescent="0.35">
      <c r="I2937" s="35"/>
      <c r="O2937" s="35"/>
    </row>
    <row r="2938" spans="9:15" x14ac:dyDescent="0.35">
      <c r="I2938" s="35"/>
      <c r="O2938" s="35"/>
    </row>
    <row r="2939" spans="9:15" x14ac:dyDescent="0.35">
      <c r="I2939" s="35"/>
      <c r="O2939" s="35"/>
    </row>
    <row r="2940" spans="9:15" x14ac:dyDescent="0.35">
      <c r="I2940" s="35"/>
      <c r="O2940" s="35"/>
    </row>
    <row r="2941" spans="9:15" x14ac:dyDescent="0.35">
      <c r="I2941" s="35"/>
      <c r="O2941" s="35"/>
    </row>
    <row r="2942" spans="9:15" x14ac:dyDescent="0.35">
      <c r="I2942" s="35"/>
      <c r="O2942" s="35"/>
    </row>
    <row r="2943" spans="9:15" x14ac:dyDescent="0.35">
      <c r="I2943" s="35"/>
      <c r="O2943" s="35"/>
    </row>
    <row r="2944" spans="9:15" x14ac:dyDescent="0.35">
      <c r="I2944" s="35"/>
      <c r="O2944" s="35"/>
    </row>
    <row r="2945" spans="9:15" x14ac:dyDescent="0.35">
      <c r="I2945" s="35"/>
      <c r="O2945" s="35"/>
    </row>
    <row r="2946" spans="9:15" x14ac:dyDescent="0.35">
      <c r="I2946" s="35"/>
      <c r="O2946" s="35"/>
    </row>
    <row r="2947" spans="9:15" x14ac:dyDescent="0.35">
      <c r="I2947" s="35"/>
      <c r="O2947" s="35"/>
    </row>
    <row r="2948" spans="9:15" x14ac:dyDescent="0.35">
      <c r="I2948" s="35"/>
      <c r="O2948" s="35"/>
    </row>
    <row r="2949" spans="9:15" x14ac:dyDescent="0.35">
      <c r="I2949" s="35"/>
      <c r="O2949" s="35"/>
    </row>
    <row r="2950" spans="9:15" x14ac:dyDescent="0.35">
      <c r="I2950" s="35"/>
      <c r="O2950" s="35"/>
    </row>
    <row r="2951" spans="9:15" x14ac:dyDescent="0.35">
      <c r="I2951" s="35"/>
      <c r="O2951" s="35"/>
    </row>
    <row r="2952" spans="9:15" x14ac:dyDescent="0.35">
      <c r="I2952" s="35"/>
      <c r="O2952" s="35"/>
    </row>
    <row r="2953" spans="9:15" x14ac:dyDescent="0.35">
      <c r="I2953" s="35"/>
      <c r="O2953" s="35"/>
    </row>
    <row r="2954" spans="9:15" x14ac:dyDescent="0.35">
      <c r="I2954" s="35"/>
      <c r="O2954" s="35"/>
    </row>
    <row r="2955" spans="9:15" x14ac:dyDescent="0.35">
      <c r="I2955" s="35"/>
      <c r="O2955" s="35"/>
    </row>
    <row r="2956" spans="9:15" x14ac:dyDescent="0.35">
      <c r="I2956" s="35"/>
      <c r="O2956" s="35"/>
    </row>
    <row r="2957" spans="9:15" x14ac:dyDescent="0.35">
      <c r="I2957" s="35"/>
      <c r="O2957" s="35"/>
    </row>
    <row r="2958" spans="9:15" x14ac:dyDescent="0.35">
      <c r="I2958" s="35"/>
      <c r="O2958" s="35"/>
    </row>
    <row r="2959" spans="9:15" x14ac:dyDescent="0.35">
      <c r="I2959" s="35"/>
      <c r="O2959" s="35"/>
    </row>
    <row r="2960" spans="9:15" x14ac:dyDescent="0.35">
      <c r="I2960" s="35"/>
      <c r="O2960" s="35"/>
    </row>
    <row r="2961" spans="9:15" x14ac:dyDescent="0.35">
      <c r="I2961" s="35"/>
      <c r="O2961" s="35"/>
    </row>
    <row r="2962" spans="9:15" x14ac:dyDescent="0.35">
      <c r="I2962" s="35"/>
      <c r="O2962" s="35"/>
    </row>
    <row r="2963" spans="9:15" x14ac:dyDescent="0.35">
      <c r="I2963" s="35"/>
      <c r="O2963" s="35"/>
    </row>
    <row r="2964" spans="9:15" x14ac:dyDescent="0.35">
      <c r="I2964" s="35"/>
      <c r="O2964" s="35"/>
    </row>
    <row r="2965" spans="9:15" x14ac:dyDescent="0.35">
      <c r="I2965" s="35"/>
      <c r="O2965" s="35"/>
    </row>
    <row r="2966" spans="9:15" x14ac:dyDescent="0.35">
      <c r="I2966" s="35"/>
      <c r="O2966" s="35"/>
    </row>
    <row r="2967" spans="9:15" x14ac:dyDescent="0.35">
      <c r="I2967" s="35"/>
      <c r="O2967" s="35"/>
    </row>
    <row r="2968" spans="9:15" x14ac:dyDescent="0.35">
      <c r="I2968" s="35"/>
      <c r="O2968" s="35"/>
    </row>
    <row r="2969" spans="9:15" x14ac:dyDescent="0.35">
      <c r="I2969" s="35"/>
      <c r="O2969" s="35"/>
    </row>
    <row r="2970" spans="9:15" x14ac:dyDescent="0.35">
      <c r="I2970" s="35"/>
      <c r="O2970" s="35"/>
    </row>
    <row r="2971" spans="9:15" x14ac:dyDescent="0.35">
      <c r="I2971" s="35"/>
      <c r="O2971" s="35"/>
    </row>
    <row r="2972" spans="9:15" x14ac:dyDescent="0.35">
      <c r="I2972" s="35"/>
      <c r="O2972" s="35"/>
    </row>
    <row r="2973" spans="9:15" x14ac:dyDescent="0.35">
      <c r="I2973" s="35"/>
      <c r="O2973" s="35"/>
    </row>
    <row r="2974" spans="9:15" x14ac:dyDescent="0.35">
      <c r="I2974" s="35"/>
      <c r="O2974" s="35"/>
    </row>
    <row r="2975" spans="9:15" x14ac:dyDescent="0.35">
      <c r="I2975" s="35"/>
      <c r="O2975" s="35"/>
    </row>
    <row r="2976" spans="9:15" x14ac:dyDescent="0.35">
      <c r="I2976" s="35"/>
      <c r="O2976" s="35"/>
    </row>
    <row r="2977" spans="9:15" x14ac:dyDescent="0.35">
      <c r="I2977" s="35"/>
      <c r="O2977" s="35"/>
    </row>
    <row r="2978" spans="9:15" x14ac:dyDescent="0.35">
      <c r="I2978" s="35"/>
      <c r="O2978" s="35"/>
    </row>
    <row r="2979" spans="9:15" x14ac:dyDescent="0.35">
      <c r="I2979" s="35"/>
      <c r="O2979" s="35"/>
    </row>
    <row r="2980" spans="9:15" x14ac:dyDescent="0.35">
      <c r="I2980" s="35"/>
      <c r="O2980" s="35"/>
    </row>
    <row r="2981" spans="9:15" x14ac:dyDescent="0.35">
      <c r="I2981" s="35"/>
      <c r="O2981" s="35"/>
    </row>
    <row r="2982" spans="9:15" x14ac:dyDescent="0.35">
      <c r="I2982" s="35"/>
      <c r="O2982" s="35"/>
    </row>
    <row r="2983" spans="9:15" x14ac:dyDescent="0.35">
      <c r="I2983" s="35"/>
      <c r="O2983" s="35"/>
    </row>
    <row r="2984" spans="9:15" x14ac:dyDescent="0.35">
      <c r="I2984" s="35"/>
      <c r="O2984" s="35"/>
    </row>
    <row r="2985" spans="9:15" x14ac:dyDescent="0.35">
      <c r="I2985" s="35"/>
      <c r="O2985" s="35"/>
    </row>
    <row r="2986" spans="9:15" x14ac:dyDescent="0.35">
      <c r="I2986" s="35"/>
      <c r="O2986" s="35"/>
    </row>
    <row r="2987" spans="9:15" x14ac:dyDescent="0.35">
      <c r="I2987" s="35"/>
      <c r="O2987" s="35"/>
    </row>
    <row r="2988" spans="9:15" x14ac:dyDescent="0.35">
      <c r="I2988" s="35"/>
      <c r="O2988" s="35"/>
    </row>
    <row r="2989" spans="9:15" x14ac:dyDescent="0.35">
      <c r="I2989" s="35"/>
      <c r="O2989" s="35"/>
    </row>
    <row r="2990" spans="9:15" x14ac:dyDescent="0.35">
      <c r="I2990" s="35"/>
      <c r="O2990" s="35"/>
    </row>
    <row r="2991" spans="9:15" x14ac:dyDescent="0.35">
      <c r="I2991" s="35"/>
      <c r="O2991" s="35"/>
    </row>
    <row r="2992" spans="9:15" x14ac:dyDescent="0.35">
      <c r="I2992" s="35"/>
      <c r="O2992" s="35"/>
    </row>
    <row r="2993" spans="9:15" x14ac:dyDescent="0.35">
      <c r="I2993" s="35"/>
      <c r="O2993" s="35"/>
    </row>
    <row r="2994" spans="9:15" x14ac:dyDescent="0.35">
      <c r="I2994" s="35"/>
      <c r="O2994" s="35"/>
    </row>
    <row r="2995" spans="9:15" x14ac:dyDescent="0.35">
      <c r="I2995" s="35"/>
      <c r="O2995" s="35"/>
    </row>
    <row r="2996" spans="9:15" x14ac:dyDescent="0.35">
      <c r="I2996" s="35"/>
      <c r="O2996" s="35"/>
    </row>
    <row r="2997" spans="9:15" x14ac:dyDescent="0.35">
      <c r="I2997" s="35"/>
      <c r="O2997" s="35"/>
    </row>
    <row r="2998" spans="9:15" x14ac:dyDescent="0.35">
      <c r="I2998" s="35"/>
      <c r="O2998" s="35"/>
    </row>
    <row r="2999" spans="9:15" x14ac:dyDescent="0.35">
      <c r="I2999" s="35"/>
      <c r="O2999" s="35"/>
    </row>
    <row r="3000" spans="9:15" x14ac:dyDescent="0.35">
      <c r="I3000" s="35"/>
      <c r="O3000" s="35"/>
    </row>
    <row r="3001" spans="9:15" x14ac:dyDescent="0.35">
      <c r="I3001" s="35"/>
      <c r="O3001" s="35"/>
    </row>
    <row r="3002" spans="9:15" x14ac:dyDescent="0.35">
      <c r="I3002" s="35"/>
      <c r="O3002" s="35"/>
    </row>
    <row r="3003" spans="9:15" x14ac:dyDescent="0.35">
      <c r="I3003" s="35"/>
      <c r="O3003" s="35"/>
    </row>
    <row r="3004" spans="9:15" x14ac:dyDescent="0.35">
      <c r="I3004" s="35"/>
      <c r="O3004" s="35"/>
    </row>
    <row r="3005" spans="9:15" x14ac:dyDescent="0.35">
      <c r="I3005" s="35"/>
      <c r="O3005" s="35"/>
    </row>
    <row r="3006" spans="9:15" x14ac:dyDescent="0.35">
      <c r="I3006" s="35"/>
      <c r="O3006" s="35"/>
    </row>
    <row r="3007" spans="9:15" x14ac:dyDescent="0.35">
      <c r="I3007" s="35"/>
      <c r="O3007" s="35"/>
    </row>
    <row r="3008" spans="9:15" x14ac:dyDescent="0.35">
      <c r="I3008" s="35"/>
      <c r="O3008" s="35"/>
    </row>
    <row r="3009" spans="9:15" x14ac:dyDescent="0.35">
      <c r="I3009" s="35"/>
      <c r="O3009" s="35"/>
    </row>
    <row r="3010" spans="9:15" x14ac:dyDescent="0.35">
      <c r="I3010" s="35"/>
      <c r="O3010" s="35"/>
    </row>
    <row r="3011" spans="9:15" x14ac:dyDescent="0.35">
      <c r="I3011" s="35"/>
      <c r="O3011" s="35"/>
    </row>
    <row r="3012" spans="9:15" x14ac:dyDescent="0.35">
      <c r="I3012" s="35"/>
      <c r="O3012" s="35"/>
    </row>
    <row r="3013" spans="9:15" x14ac:dyDescent="0.35">
      <c r="I3013" s="35"/>
      <c r="O3013" s="35"/>
    </row>
    <row r="3014" spans="9:15" x14ac:dyDescent="0.35">
      <c r="I3014" s="35"/>
      <c r="O3014" s="35"/>
    </row>
    <row r="3015" spans="9:15" x14ac:dyDescent="0.35">
      <c r="I3015" s="35"/>
      <c r="O3015" s="35"/>
    </row>
    <row r="3016" spans="9:15" x14ac:dyDescent="0.35">
      <c r="I3016" s="35"/>
      <c r="O3016" s="35"/>
    </row>
    <row r="3017" spans="9:15" x14ac:dyDescent="0.35">
      <c r="I3017" s="35"/>
      <c r="O3017" s="35"/>
    </row>
    <row r="3018" spans="9:15" x14ac:dyDescent="0.35">
      <c r="I3018" s="35"/>
      <c r="O3018" s="35"/>
    </row>
    <row r="3019" spans="9:15" x14ac:dyDescent="0.35">
      <c r="I3019" s="35"/>
      <c r="O3019" s="35"/>
    </row>
    <row r="3020" spans="9:15" x14ac:dyDescent="0.35">
      <c r="I3020" s="35"/>
      <c r="O3020" s="35"/>
    </row>
    <row r="3021" spans="9:15" x14ac:dyDescent="0.35">
      <c r="I3021" s="35"/>
      <c r="O3021" s="35"/>
    </row>
    <row r="3022" spans="9:15" x14ac:dyDescent="0.35">
      <c r="I3022" s="35"/>
      <c r="O3022" s="35"/>
    </row>
    <row r="3023" spans="9:15" x14ac:dyDescent="0.35">
      <c r="I3023" s="35"/>
      <c r="O3023" s="35"/>
    </row>
    <row r="3024" spans="9:15" x14ac:dyDescent="0.35">
      <c r="I3024" s="35"/>
      <c r="O3024" s="35"/>
    </row>
    <row r="3025" spans="9:15" x14ac:dyDescent="0.35">
      <c r="I3025" s="35"/>
      <c r="O3025" s="35"/>
    </row>
    <row r="3026" spans="9:15" x14ac:dyDescent="0.35">
      <c r="I3026" s="35"/>
      <c r="O3026" s="35"/>
    </row>
    <row r="3027" spans="9:15" x14ac:dyDescent="0.35">
      <c r="I3027" s="35"/>
      <c r="O3027" s="35"/>
    </row>
    <row r="3028" spans="9:15" x14ac:dyDescent="0.35">
      <c r="I3028" s="35"/>
      <c r="O3028" s="35"/>
    </row>
    <row r="3029" spans="9:15" x14ac:dyDescent="0.35">
      <c r="I3029" s="35"/>
      <c r="O3029" s="35"/>
    </row>
    <row r="3030" spans="9:15" x14ac:dyDescent="0.35">
      <c r="I3030" s="35"/>
      <c r="O3030" s="35"/>
    </row>
    <row r="3031" spans="9:15" x14ac:dyDescent="0.35">
      <c r="I3031" s="35"/>
      <c r="O3031" s="35"/>
    </row>
    <row r="3032" spans="9:15" x14ac:dyDescent="0.35">
      <c r="I3032" s="35"/>
      <c r="O3032" s="35"/>
    </row>
    <row r="3033" spans="9:15" x14ac:dyDescent="0.35">
      <c r="I3033" s="35"/>
      <c r="O3033" s="35"/>
    </row>
    <row r="3034" spans="9:15" x14ac:dyDescent="0.35">
      <c r="I3034" s="35"/>
      <c r="O3034" s="35"/>
    </row>
    <row r="3035" spans="9:15" x14ac:dyDescent="0.35">
      <c r="I3035" s="35"/>
      <c r="O3035" s="35"/>
    </row>
    <row r="3036" spans="9:15" x14ac:dyDescent="0.35">
      <c r="I3036" s="35"/>
      <c r="O3036" s="35"/>
    </row>
    <row r="3037" spans="9:15" x14ac:dyDescent="0.35">
      <c r="I3037" s="35"/>
      <c r="O3037" s="35"/>
    </row>
    <row r="3038" spans="9:15" x14ac:dyDescent="0.35">
      <c r="I3038" s="35"/>
      <c r="O3038" s="35"/>
    </row>
    <row r="3039" spans="9:15" x14ac:dyDescent="0.35">
      <c r="I3039" s="35"/>
      <c r="O3039" s="35"/>
    </row>
    <row r="3040" spans="9:15" x14ac:dyDescent="0.35">
      <c r="I3040" s="35"/>
      <c r="O3040" s="35"/>
    </row>
    <row r="3041" spans="9:15" x14ac:dyDescent="0.35">
      <c r="I3041" s="35"/>
      <c r="O3041" s="35"/>
    </row>
    <row r="3042" spans="9:15" x14ac:dyDescent="0.35">
      <c r="I3042" s="35"/>
      <c r="O3042" s="35"/>
    </row>
    <row r="3043" spans="9:15" x14ac:dyDescent="0.35">
      <c r="I3043" s="35"/>
      <c r="O3043" s="35"/>
    </row>
    <row r="3044" spans="9:15" x14ac:dyDescent="0.35">
      <c r="I3044" s="35"/>
      <c r="O3044" s="35"/>
    </row>
    <row r="3045" spans="9:15" x14ac:dyDescent="0.35">
      <c r="I3045" s="35"/>
      <c r="O3045" s="35"/>
    </row>
    <row r="3046" spans="9:15" x14ac:dyDescent="0.35">
      <c r="I3046" s="35"/>
      <c r="O3046" s="35"/>
    </row>
    <row r="3047" spans="9:15" x14ac:dyDescent="0.35">
      <c r="I3047" s="35"/>
      <c r="O3047" s="35"/>
    </row>
    <row r="3048" spans="9:15" x14ac:dyDescent="0.35">
      <c r="I3048" s="35"/>
      <c r="O3048" s="35"/>
    </row>
    <row r="3049" spans="9:15" x14ac:dyDescent="0.35">
      <c r="I3049" s="35"/>
      <c r="O3049" s="35"/>
    </row>
    <row r="3050" spans="9:15" x14ac:dyDescent="0.35">
      <c r="I3050" s="35"/>
      <c r="O3050" s="35"/>
    </row>
    <row r="3051" spans="9:15" x14ac:dyDescent="0.35">
      <c r="I3051" s="35"/>
      <c r="O3051" s="35"/>
    </row>
    <row r="3052" spans="9:15" x14ac:dyDescent="0.35">
      <c r="I3052" s="35"/>
      <c r="O3052" s="35"/>
    </row>
    <row r="3053" spans="9:15" x14ac:dyDescent="0.35">
      <c r="I3053" s="35"/>
      <c r="O3053" s="35"/>
    </row>
    <row r="3054" spans="9:15" x14ac:dyDescent="0.35">
      <c r="I3054" s="35"/>
      <c r="O3054" s="35"/>
    </row>
    <row r="3055" spans="9:15" x14ac:dyDescent="0.35">
      <c r="I3055" s="35"/>
      <c r="O3055" s="35"/>
    </row>
    <row r="3056" spans="9:15" x14ac:dyDescent="0.35">
      <c r="I3056" s="35"/>
      <c r="O3056" s="35"/>
    </row>
    <row r="3057" spans="9:15" x14ac:dyDescent="0.35">
      <c r="I3057" s="35"/>
      <c r="O3057" s="35"/>
    </row>
    <row r="3058" spans="9:15" x14ac:dyDescent="0.35">
      <c r="I3058" s="35"/>
      <c r="O3058" s="35"/>
    </row>
    <row r="3059" spans="9:15" x14ac:dyDescent="0.35">
      <c r="I3059" s="35"/>
      <c r="O3059" s="35"/>
    </row>
    <row r="3060" spans="9:15" x14ac:dyDescent="0.35">
      <c r="I3060" s="35"/>
      <c r="O3060" s="35"/>
    </row>
    <row r="3061" spans="9:15" x14ac:dyDescent="0.35">
      <c r="I3061" s="35"/>
      <c r="O3061" s="35"/>
    </row>
    <row r="3062" spans="9:15" x14ac:dyDescent="0.35">
      <c r="I3062" s="35"/>
      <c r="O3062" s="35"/>
    </row>
    <row r="3063" spans="9:15" x14ac:dyDescent="0.35">
      <c r="I3063" s="35"/>
      <c r="O3063" s="35"/>
    </row>
    <row r="3064" spans="9:15" x14ac:dyDescent="0.35">
      <c r="I3064" s="35"/>
      <c r="O3064" s="35"/>
    </row>
    <row r="3065" spans="9:15" x14ac:dyDescent="0.35">
      <c r="I3065" s="35"/>
      <c r="O3065" s="35"/>
    </row>
    <row r="3066" spans="9:15" x14ac:dyDescent="0.35">
      <c r="I3066" s="35"/>
      <c r="O3066" s="35"/>
    </row>
    <row r="3067" spans="9:15" x14ac:dyDescent="0.35">
      <c r="I3067" s="35"/>
      <c r="O3067" s="35"/>
    </row>
    <row r="3068" spans="9:15" x14ac:dyDescent="0.35">
      <c r="I3068" s="35"/>
      <c r="O3068" s="35"/>
    </row>
    <row r="3069" spans="9:15" x14ac:dyDescent="0.35">
      <c r="I3069" s="35"/>
      <c r="O3069" s="35"/>
    </row>
    <row r="3070" spans="9:15" x14ac:dyDescent="0.35">
      <c r="I3070" s="35"/>
      <c r="O3070" s="35"/>
    </row>
    <row r="3071" spans="9:15" x14ac:dyDescent="0.35">
      <c r="I3071" s="35"/>
      <c r="O3071" s="35"/>
    </row>
    <row r="3072" spans="9:15" x14ac:dyDescent="0.35">
      <c r="I3072" s="35"/>
      <c r="O3072" s="35"/>
    </row>
    <row r="3073" spans="9:15" x14ac:dyDescent="0.35">
      <c r="I3073" s="35"/>
      <c r="O3073" s="35"/>
    </row>
    <row r="3074" spans="9:15" x14ac:dyDescent="0.35">
      <c r="I3074" s="35"/>
      <c r="O3074" s="35"/>
    </row>
    <row r="3075" spans="9:15" x14ac:dyDescent="0.35">
      <c r="I3075" s="35"/>
      <c r="O3075" s="35"/>
    </row>
    <row r="3076" spans="9:15" x14ac:dyDescent="0.35">
      <c r="I3076" s="35"/>
      <c r="O3076" s="35"/>
    </row>
    <row r="3077" spans="9:15" x14ac:dyDescent="0.35">
      <c r="I3077" s="35"/>
      <c r="O3077" s="35"/>
    </row>
    <row r="3078" spans="9:15" x14ac:dyDescent="0.35">
      <c r="I3078" s="35"/>
      <c r="O3078" s="35"/>
    </row>
    <row r="3079" spans="9:15" x14ac:dyDescent="0.35">
      <c r="I3079" s="35"/>
      <c r="O3079" s="35"/>
    </row>
    <row r="3080" spans="9:15" x14ac:dyDescent="0.35">
      <c r="I3080" s="35"/>
      <c r="O3080" s="35"/>
    </row>
    <row r="3081" spans="9:15" x14ac:dyDescent="0.35">
      <c r="I3081" s="35"/>
      <c r="O3081" s="35"/>
    </row>
    <row r="3082" spans="9:15" x14ac:dyDescent="0.35">
      <c r="I3082" s="35"/>
      <c r="O3082" s="35"/>
    </row>
    <row r="3083" spans="9:15" x14ac:dyDescent="0.35">
      <c r="I3083" s="35"/>
      <c r="O3083" s="35"/>
    </row>
    <row r="3084" spans="9:15" x14ac:dyDescent="0.35">
      <c r="I3084" s="35"/>
      <c r="O3084" s="35"/>
    </row>
    <row r="3085" spans="9:15" x14ac:dyDescent="0.35">
      <c r="I3085" s="35"/>
      <c r="O3085" s="35"/>
    </row>
    <row r="3086" spans="9:15" x14ac:dyDescent="0.35">
      <c r="I3086" s="35"/>
      <c r="O3086" s="35"/>
    </row>
    <row r="3087" spans="9:15" x14ac:dyDescent="0.35">
      <c r="I3087" s="35"/>
      <c r="O3087" s="35"/>
    </row>
    <row r="3088" spans="9:15" x14ac:dyDescent="0.35">
      <c r="I3088" s="35"/>
      <c r="O3088" s="35"/>
    </row>
    <row r="3089" spans="9:15" x14ac:dyDescent="0.35">
      <c r="I3089" s="35"/>
      <c r="O3089" s="35"/>
    </row>
    <row r="3090" spans="9:15" x14ac:dyDescent="0.35">
      <c r="I3090" s="35"/>
      <c r="O3090" s="35"/>
    </row>
    <row r="3091" spans="9:15" x14ac:dyDescent="0.35">
      <c r="I3091" s="35"/>
      <c r="O3091" s="35"/>
    </row>
    <row r="3092" spans="9:15" x14ac:dyDescent="0.35">
      <c r="I3092" s="35"/>
      <c r="O3092" s="35"/>
    </row>
    <row r="3093" spans="9:15" x14ac:dyDescent="0.35">
      <c r="I3093" s="35"/>
      <c r="O3093" s="35"/>
    </row>
    <row r="3094" spans="9:15" x14ac:dyDescent="0.35">
      <c r="I3094" s="35"/>
      <c r="O3094" s="35"/>
    </row>
    <row r="3095" spans="9:15" x14ac:dyDescent="0.35">
      <c r="I3095" s="35"/>
      <c r="O3095" s="35"/>
    </row>
    <row r="3096" spans="9:15" x14ac:dyDescent="0.35">
      <c r="I3096" s="35"/>
      <c r="O3096" s="35"/>
    </row>
    <row r="3097" spans="9:15" x14ac:dyDescent="0.35">
      <c r="I3097" s="35"/>
      <c r="O3097" s="35"/>
    </row>
    <row r="3098" spans="9:15" x14ac:dyDescent="0.35">
      <c r="I3098" s="35"/>
      <c r="O3098" s="35"/>
    </row>
    <row r="3099" spans="9:15" x14ac:dyDescent="0.35">
      <c r="I3099" s="35"/>
      <c r="O3099" s="35"/>
    </row>
    <row r="3100" spans="9:15" x14ac:dyDescent="0.35">
      <c r="I3100" s="35"/>
      <c r="O3100" s="35"/>
    </row>
    <row r="3101" spans="9:15" x14ac:dyDescent="0.35">
      <c r="I3101" s="35"/>
      <c r="O3101" s="35"/>
    </row>
    <row r="3102" spans="9:15" x14ac:dyDescent="0.35">
      <c r="I3102" s="35"/>
      <c r="O3102" s="35"/>
    </row>
    <row r="3103" spans="9:15" x14ac:dyDescent="0.35">
      <c r="I3103" s="35"/>
      <c r="O3103" s="35"/>
    </row>
    <row r="3104" spans="9:15" x14ac:dyDescent="0.35">
      <c r="I3104" s="35"/>
      <c r="O3104" s="35"/>
    </row>
    <row r="3105" spans="9:15" x14ac:dyDescent="0.35">
      <c r="I3105" s="35"/>
      <c r="O3105" s="35"/>
    </row>
    <row r="3106" spans="9:15" x14ac:dyDescent="0.35">
      <c r="I3106" s="35"/>
      <c r="O3106" s="35"/>
    </row>
    <row r="3107" spans="9:15" x14ac:dyDescent="0.35">
      <c r="I3107" s="35"/>
      <c r="O3107" s="35"/>
    </row>
    <row r="3108" spans="9:15" x14ac:dyDescent="0.35">
      <c r="I3108" s="35"/>
      <c r="O3108" s="35"/>
    </row>
    <row r="3109" spans="9:15" x14ac:dyDescent="0.35">
      <c r="I3109" s="35"/>
      <c r="O3109" s="35"/>
    </row>
    <row r="3110" spans="9:15" x14ac:dyDescent="0.35">
      <c r="I3110" s="35"/>
      <c r="O3110" s="35"/>
    </row>
    <row r="3111" spans="9:15" x14ac:dyDescent="0.35">
      <c r="I3111" s="35"/>
      <c r="O3111" s="35"/>
    </row>
    <row r="3112" spans="9:15" x14ac:dyDescent="0.35">
      <c r="I3112" s="35"/>
      <c r="O3112" s="35"/>
    </row>
    <row r="3113" spans="9:15" x14ac:dyDescent="0.35">
      <c r="I3113" s="35"/>
      <c r="O3113" s="35"/>
    </row>
    <row r="3114" spans="9:15" x14ac:dyDescent="0.35">
      <c r="I3114" s="35"/>
      <c r="O3114" s="35"/>
    </row>
    <row r="3115" spans="9:15" x14ac:dyDescent="0.35">
      <c r="I3115" s="35"/>
      <c r="O3115" s="35"/>
    </row>
    <row r="3116" spans="9:15" x14ac:dyDescent="0.35">
      <c r="I3116" s="35"/>
      <c r="O3116" s="35"/>
    </row>
    <row r="3117" spans="9:15" x14ac:dyDescent="0.35">
      <c r="I3117" s="35"/>
      <c r="O3117" s="35"/>
    </row>
    <row r="3118" spans="9:15" x14ac:dyDescent="0.35">
      <c r="I3118" s="35"/>
      <c r="O3118" s="35"/>
    </row>
    <row r="3119" spans="9:15" x14ac:dyDescent="0.35">
      <c r="I3119" s="35"/>
      <c r="O3119" s="35"/>
    </row>
    <row r="3120" spans="9:15" x14ac:dyDescent="0.35">
      <c r="I3120" s="35"/>
      <c r="O3120" s="35"/>
    </row>
    <row r="3121" spans="9:15" x14ac:dyDescent="0.35">
      <c r="I3121" s="35"/>
      <c r="O3121" s="35"/>
    </row>
    <row r="3122" spans="9:15" x14ac:dyDescent="0.35">
      <c r="I3122" s="35"/>
      <c r="O3122" s="35"/>
    </row>
    <row r="3123" spans="9:15" x14ac:dyDescent="0.35">
      <c r="I3123" s="35"/>
      <c r="O3123" s="35"/>
    </row>
    <row r="3124" spans="9:15" x14ac:dyDescent="0.35">
      <c r="I3124" s="35"/>
      <c r="O3124" s="35"/>
    </row>
    <row r="3125" spans="9:15" x14ac:dyDescent="0.35">
      <c r="I3125" s="35"/>
      <c r="O3125" s="35"/>
    </row>
    <row r="3126" spans="9:15" x14ac:dyDescent="0.35">
      <c r="I3126" s="35"/>
      <c r="O3126" s="35"/>
    </row>
    <row r="3127" spans="9:15" x14ac:dyDescent="0.35">
      <c r="I3127" s="35"/>
      <c r="O3127" s="35"/>
    </row>
    <row r="3128" spans="9:15" x14ac:dyDescent="0.35">
      <c r="I3128" s="35"/>
      <c r="O3128" s="35"/>
    </row>
    <row r="3129" spans="9:15" x14ac:dyDescent="0.35">
      <c r="I3129" s="35"/>
      <c r="O3129" s="35"/>
    </row>
    <row r="3130" spans="9:15" x14ac:dyDescent="0.35">
      <c r="I3130" s="35"/>
      <c r="O3130" s="35"/>
    </row>
    <row r="3131" spans="9:15" x14ac:dyDescent="0.35">
      <c r="I3131" s="35"/>
      <c r="O3131" s="35"/>
    </row>
    <row r="3132" spans="9:15" x14ac:dyDescent="0.35">
      <c r="I3132" s="35"/>
      <c r="O3132" s="35"/>
    </row>
    <row r="3133" spans="9:15" x14ac:dyDescent="0.35">
      <c r="I3133" s="35"/>
      <c r="O3133" s="35"/>
    </row>
    <row r="3134" spans="9:15" x14ac:dyDescent="0.35">
      <c r="I3134" s="35"/>
      <c r="O3134" s="35"/>
    </row>
    <row r="3135" spans="9:15" x14ac:dyDescent="0.35">
      <c r="I3135" s="35"/>
      <c r="O3135" s="35"/>
    </row>
    <row r="3136" spans="9:15" x14ac:dyDescent="0.35">
      <c r="I3136" s="35"/>
      <c r="O3136" s="35"/>
    </row>
    <row r="3137" spans="9:15" x14ac:dyDescent="0.35">
      <c r="I3137" s="35"/>
      <c r="O3137" s="35"/>
    </row>
    <row r="3138" spans="9:15" x14ac:dyDescent="0.35">
      <c r="I3138" s="35"/>
      <c r="O3138" s="35"/>
    </row>
    <row r="3139" spans="9:15" x14ac:dyDescent="0.35">
      <c r="I3139" s="35"/>
      <c r="O3139" s="35"/>
    </row>
    <row r="3140" spans="9:15" x14ac:dyDescent="0.35">
      <c r="I3140" s="35"/>
      <c r="O3140" s="35"/>
    </row>
    <row r="3141" spans="9:15" x14ac:dyDescent="0.35">
      <c r="I3141" s="35"/>
      <c r="O3141" s="35"/>
    </row>
    <row r="3142" spans="9:15" x14ac:dyDescent="0.35">
      <c r="I3142" s="35"/>
      <c r="O3142" s="35"/>
    </row>
    <row r="3143" spans="9:15" x14ac:dyDescent="0.35">
      <c r="I3143" s="35"/>
      <c r="O3143" s="35"/>
    </row>
    <row r="3144" spans="9:15" x14ac:dyDescent="0.35">
      <c r="I3144" s="35"/>
      <c r="O3144" s="35"/>
    </row>
    <row r="3145" spans="9:15" x14ac:dyDescent="0.35">
      <c r="I3145" s="35"/>
      <c r="O3145" s="35"/>
    </row>
    <row r="3146" spans="9:15" x14ac:dyDescent="0.35">
      <c r="I3146" s="35"/>
      <c r="O3146" s="35"/>
    </row>
    <row r="3147" spans="9:15" x14ac:dyDescent="0.35">
      <c r="I3147" s="35"/>
      <c r="O3147" s="35"/>
    </row>
    <row r="3148" spans="9:15" x14ac:dyDescent="0.35">
      <c r="I3148" s="35"/>
      <c r="O3148" s="35"/>
    </row>
    <row r="3149" spans="9:15" x14ac:dyDescent="0.35">
      <c r="I3149" s="35"/>
      <c r="O3149" s="35"/>
    </row>
    <row r="3150" spans="9:15" x14ac:dyDescent="0.35">
      <c r="I3150" s="35"/>
      <c r="O3150" s="35"/>
    </row>
    <row r="3151" spans="9:15" x14ac:dyDescent="0.35">
      <c r="I3151" s="35"/>
      <c r="O3151" s="35"/>
    </row>
    <row r="3152" spans="9:15" x14ac:dyDescent="0.35">
      <c r="I3152" s="35"/>
      <c r="O3152" s="35"/>
    </row>
    <row r="3153" spans="9:15" x14ac:dyDescent="0.35">
      <c r="I3153" s="35"/>
      <c r="O3153" s="35"/>
    </row>
    <row r="3154" spans="9:15" x14ac:dyDescent="0.35">
      <c r="I3154" s="35"/>
      <c r="O3154" s="35"/>
    </row>
    <row r="3155" spans="9:15" x14ac:dyDescent="0.35">
      <c r="I3155" s="35"/>
      <c r="O3155" s="35"/>
    </row>
    <row r="3156" spans="9:15" x14ac:dyDescent="0.35">
      <c r="I3156" s="35"/>
      <c r="O3156" s="35"/>
    </row>
    <row r="3157" spans="9:15" x14ac:dyDescent="0.35">
      <c r="I3157" s="35"/>
      <c r="O3157" s="35"/>
    </row>
    <row r="3158" spans="9:15" x14ac:dyDescent="0.35">
      <c r="I3158" s="35"/>
      <c r="O3158" s="35"/>
    </row>
    <row r="3159" spans="9:15" x14ac:dyDescent="0.35">
      <c r="I3159" s="35"/>
      <c r="O3159" s="35"/>
    </row>
    <row r="3160" spans="9:15" x14ac:dyDescent="0.35">
      <c r="I3160" s="35"/>
      <c r="O3160" s="35"/>
    </row>
    <row r="3161" spans="9:15" x14ac:dyDescent="0.35">
      <c r="I3161" s="35"/>
      <c r="O3161" s="35"/>
    </row>
    <row r="3162" spans="9:15" x14ac:dyDescent="0.35">
      <c r="I3162" s="35"/>
      <c r="O3162" s="35"/>
    </row>
    <row r="3163" spans="9:15" x14ac:dyDescent="0.35">
      <c r="I3163" s="35"/>
      <c r="O3163" s="35"/>
    </row>
    <row r="3164" spans="9:15" x14ac:dyDescent="0.35">
      <c r="I3164" s="35"/>
      <c r="O3164" s="35"/>
    </row>
    <row r="3165" spans="9:15" x14ac:dyDescent="0.35">
      <c r="I3165" s="35"/>
      <c r="O3165" s="35"/>
    </row>
    <row r="3166" spans="9:15" x14ac:dyDescent="0.35">
      <c r="I3166" s="35"/>
      <c r="O3166" s="35"/>
    </row>
    <row r="3167" spans="9:15" x14ac:dyDescent="0.35">
      <c r="I3167" s="35"/>
      <c r="O3167" s="35"/>
    </row>
    <row r="3168" spans="9:15" x14ac:dyDescent="0.35">
      <c r="I3168" s="35"/>
      <c r="O3168" s="35"/>
    </row>
    <row r="3169" spans="9:15" x14ac:dyDescent="0.35">
      <c r="I3169" s="35"/>
      <c r="O3169" s="35"/>
    </row>
    <row r="3170" spans="9:15" x14ac:dyDescent="0.35">
      <c r="I3170" s="35"/>
      <c r="O3170" s="35"/>
    </row>
    <row r="3171" spans="9:15" x14ac:dyDescent="0.35">
      <c r="I3171" s="35"/>
      <c r="O3171" s="35"/>
    </row>
    <row r="3172" spans="9:15" x14ac:dyDescent="0.35">
      <c r="I3172" s="35"/>
      <c r="O3172" s="35"/>
    </row>
    <row r="3173" spans="9:15" x14ac:dyDescent="0.35">
      <c r="I3173" s="35"/>
      <c r="O3173" s="35"/>
    </row>
    <row r="3174" spans="9:15" x14ac:dyDescent="0.35">
      <c r="I3174" s="35"/>
      <c r="O3174" s="35"/>
    </row>
    <row r="3175" spans="9:15" x14ac:dyDescent="0.35">
      <c r="I3175" s="35"/>
      <c r="O3175" s="35"/>
    </row>
    <row r="3176" spans="9:15" x14ac:dyDescent="0.35">
      <c r="I3176" s="35"/>
      <c r="O3176" s="35"/>
    </row>
    <row r="3177" spans="9:15" x14ac:dyDescent="0.35">
      <c r="I3177" s="35"/>
      <c r="O3177" s="35"/>
    </row>
    <row r="3178" spans="9:15" x14ac:dyDescent="0.35">
      <c r="I3178" s="35"/>
      <c r="O3178" s="35"/>
    </row>
    <row r="3179" spans="9:15" x14ac:dyDescent="0.35">
      <c r="I3179" s="35"/>
      <c r="O3179" s="35"/>
    </row>
    <row r="3180" spans="9:15" x14ac:dyDescent="0.35">
      <c r="I3180" s="35"/>
      <c r="O3180" s="35"/>
    </row>
    <row r="3181" spans="9:15" x14ac:dyDescent="0.35">
      <c r="I3181" s="35"/>
      <c r="O3181" s="35"/>
    </row>
    <row r="3182" spans="9:15" x14ac:dyDescent="0.35">
      <c r="I3182" s="35"/>
      <c r="O3182" s="35"/>
    </row>
    <row r="3183" spans="9:15" x14ac:dyDescent="0.35">
      <c r="I3183" s="35"/>
      <c r="O3183" s="35"/>
    </row>
    <row r="3184" spans="9:15" x14ac:dyDescent="0.35">
      <c r="I3184" s="35"/>
      <c r="O3184" s="35"/>
    </row>
    <row r="3185" spans="9:15" x14ac:dyDescent="0.35">
      <c r="I3185" s="35"/>
      <c r="O3185" s="35"/>
    </row>
    <row r="3186" spans="9:15" x14ac:dyDescent="0.35">
      <c r="I3186" s="35"/>
      <c r="O3186" s="35"/>
    </row>
    <row r="3187" spans="9:15" x14ac:dyDescent="0.35">
      <c r="I3187" s="35"/>
      <c r="O3187" s="35"/>
    </row>
    <row r="3188" spans="9:15" x14ac:dyDescent="0.35">
      <c r="I3188" s="35"/>
      <c r="O3188" s="35"/>
    </row>
    <row r="3189" spans="9:15" x14ac:dyDescent="0.35">
      <c r="I3189" s="35"/>
      <c r="O3189" s="35"/>
    </row>
    <row r="3190" spans="9:15" x14ac:dyDescent="0.35">
      <c r="I3190" s="35"/>
      <c r="O3190" s="35"/>
    </row>
    <row r="3191" spans="9:15" x14ac:dyDescent="0.35">
      <c r="I3191" s="35"/>
      <c r="O3191" s="35"/>
    </row>
    <row r="3192" spans="9:15" x14ac:dyDescent="0.35">
      <c r="I3192" s="35"/>
      <c r="O3192" s="35"/>
    </row>
    <row r="3193" spans="9:15" x14ac:dyDescent="0.35">
      <c r="I3193" s="35"/>
      <c r="O3193" s="35"/>
    </row>
    <row r="3194" spans="9:15" x14ac:dyDescent="0.35">
      <c r="I3194" s="35"/>
      <c r="O3194" s="35"/>
    </row>
    <row r="3195" spans="9:15" x14ac:dyDescent="0.35">
      <c r="I3195" s="35"/>
      <c r="O3195" s="35"/>
    </row>
    <row r="3196" spans="9:15" x14ac:dyDescent="0.35">
      <c r="I3196" s="35"/>
      <c r="O3196" s="35"/>
    </row>
    <row r="3197" spans="9:15" x14ac:dyDescent="0.35">
      <c r="I3197" s="35"/>
      <c r="O3197" s="35"/>
    </row>
    <row r="3198" spans="9:15" x14ac:dyDescent="0.35">
      <c r="I3198" s="35"/>
      <c r="O3198" s="35"/>
    </row>
    <row r="3199" spans="9:15" x14ac:dyDescent="0.35">
      <c r="I3199" s="35"/>
      <c r="O3199" s="35"/>
    </row>
    <row r="3200" spans="9:15" x14ac:dyDescent="0.35">
      <c r="I3200" s="35"/>
      <c r="O3200" s="35"/>
    </row>
    <row r="3201" spans="9:15" x14ac:dyDescent="0.35">
      <c r="I3201" s="35"/>
      <c r="O3201" s="35"/>
    </row>
    <row r="3202" spans="9:15" x14ac:dyDescent="0.35">
      <c r="I3202" s="35"/>
      <c r="O3202" s="35"/>
    </row>
    <row r="3203" spans="9:15" x14ac:dyDescent="0.35">
      <c r="I3203" s="35"/>
      <c r="O3203" s="35"/>
    </row>
    <row r="3204" spans="9:15" x14ac:dyDescent="0.35">
      <c r="I3204" s="35"/>
      <c r="O3204" s="35"/>
    </row>
    <row r="3205" spans="9:15" x14ac:dyDescent="0.35">
      <c r="I3205" s="35"/>
      <c r="O3205" s="35"/>
    </row>
    <row r="3206" spans="9:15" x14ac:dyDescent="0.35">
      <c r="I3206" s="35"/>
      <c r="O3206" s="35"/>
    </row>
    <row r="3207" spans="9:15" x14ac:dyDescent="0.35">
      <c r="I3207" s="35"/>
      <c r="O3207" s="35"/>
    </row>
    <row r="3208" spans="9:15" x14ac:dyDescent="0.35">
      <c r="I3208" s="35"/>
      <c r="O3208" s="35"/>
    </row>
    <row r="3209" spans="9:15" x14ac:dyDescent="0.35">
      <c r="I3209" s="35"/>
      <c r="O3209" s="35"/>
    </row>
    <row r="3210" spans="9:15" x14ac:dyDescent="0.35">
      <c r="I3210" s="35"/>
      <c r="O3210" s="35"/>
    </row>
    <row r="3211" spans="9:15" x14ac:dyDescent="0.35">
      <c r="I3211" s="35"/>
      <c r="O3211" s="35"/>
    </row>
    <row r="3212" spans="9:15" x14ac:dyDescent="0.35">
      <c r="I3212" s="35"/>
      <c r="O3212" s="35"/>
    </row>
    <row r="3213" spans="9:15" x14ac:dyDescent="0.35">
      <c r="I3213" s="35"/>
      <c r="O3213" s="35"/>
    </row>
    <row r="3214" spans="9:15" x14ac:dyDescent="0.35">
      <c r="I3214" s="35"/>
      <c r="O3214" s="35"/>
    </row>
    <row r="3215" spans="9:15" x14ac:dyDescent="0.35">
      <c r="I3215" s="35"/>
      <c r="O3215" s="35"/>
    </row>
    <row r="3216" spans="9:15" x14ac:dyDescent="0.35">
      <c r="I3216" s="35"/>
      <c r="O3216" s="35"/>
    </row>
    <row r="3217" spans="9:15" x14ac:dyDescent="0.35">
      <c r="I3217" s="35"/>
      <c r="O3217" s="35"/>
    </row>
    <row r="3218" spans="9:15" x14ac:dyDescent="0.35">
      <c r="I3218" s="35"/>
      <c r="O3218" s="35"/>
    </row>
    <row r="3219" spans="9:15" x14ac:dyDescent="0.35">
      <c r="I3219" s="35"/>
      <c r="O3219" s="35"/>
    </row>
    <row r="3220" spans="9:15" x14ac:dyDescent="0.35">
      <c r="I3220" s="35"/>
      <c r="O3220" s="35"/>
    </row>
    <row r="3221" spans="9:15" x14ac:dyDescent="0.35">
      <c r="I3221" s="35"/>
      <c r="O3221" s="35"/>
    </row>
    <row r="3222" spans="9:15" x14ac:dyDescent="0.35">
      <c r="I3222" s="35"/>
      <c r="O3222" s="35"/>
    </row>
    <row r="3223" spans="9:15" x14ac:dyDescent="0.35">
      <c r="I3223" s="35"/>
      <c r="O3223" s="35"/>
    </row>
    <row r="3224" spans="9:15" x14ac:dyDescent="0.35">
      <c r="I3224" s="35"/>
      <c r="O3224" s="35"/>
    </row>
    <row r="3225" spans="9:15" x14ac:dyDescent="0.35">
      <c r="I3225" s="35"/>
      <c r="O3225" s="35"/>
    </row>
    <row r="3226" spans="9:15" x14ac:dyDescent="0.35">
      <c r="I3226" s="35"/>
      <c r="O3226" s="35"/>
    </row>
    <row r="3227" spans="9:15" x14ac:dyDescent="0.35">
      <c r="I3227" s="35"/>
      <c r="O3227" s="35"/>
    </row>
    <row r="3228" spans="9:15" x14ac:dyDescent="0.35">
      <c r="I3228" s="35"/>
      <c r="O3228" s="35"/>
    </row>
    <row r="3229" spans="9:15" x14ac:dyDescent="0.35">
      <c r="I3229" s="35"/>
      <c r="O3229" s="35"/>
    </row>
    <row r="3230" spans="9:15" x14ac:dyDescent="0.35">
      <c r="I3230" s="35"/>
      <c r="O3230" s="35"/>
    </row>
    <row r="3231" spans="9:15" x14ac:dyDescent="0.35">
      <c r="I3231" s="35"/>
      <c r="O3231" s="35"/>
    </row>
    <row r="3232" spans="9:15" x14ac:dyDescent="0.35">
      <c r="I3232" s="35"/>
      <c r="O3232" s="35"/>
    </row>
    <row r="3233" spans="9:15" x14ac:dyDescent="0.35">
      <c r="I3233" s="35"/>
      <c r="O3233" s="35"/>
    </row>
    <row r="3234" spans="9:15" x14ac:dyDescent="0.35">
      <c r="I3234" s="35"/>
      <c r="O3234" s="35"/>
    </row>
    <row r="3235" spans="9:15" x14ac:dyDescent="0.35">
      <c r="I3235" s="35"/>
      <c r="O3235" s="35"/>
    </row>
    <row r="3236" spans="9:15" x14ac:dyDescent="0.35">
      <c r="I3236" s="35"/>
      <c r="O3236" s="35"/>
    </row>
    <row r="3237" spans="9:15" x14ac:dyDescent="0.35">
      <c r="I3237" s="35"/>
      <c r="O3237" s="35"/>
    </row>
    <row r="3238" spans="9:15" x14ac:dyDescent="0.35">
      <c r="I3238" s="35"/>
      <c r="O3238" s="35"/>
    </row>
    <row r="3239" spans="9:15" x14ac:dyDescent="0.35">
      <c r="I3239" s="35"/>
      <c r="O3239" s="35"/>
    </row>
    <row r="3240" spans="9:15" x14ac:dyDescent="0.35">
      <c r="I3240" s="35"/>
      <c r="O3240" s="35"/>
    </row>
    <row r="3241" spans="9:15" x14ac:dyDescent="0.35">
      <c r="I3241" s="35"/>
      <c r="O3241" s="35"/>
    </row>
    <row r="3242" spans="9:15" x14ac:dyDescent="0.35">
      <c r="I3242" s="35"/>
      <c r="O3242" s="35"/>
    </row>
    <row r="3243" spans="9:15" x14ac:dyDescent="0.35">
      <c r="I3243" s="35"/>
      <c r="O3243" s="35"/>
    </row>
    <row r="3244" spans="9:15" x14ac:dyDescent="0.35">
      <c r="I3244" s="35"/>
      <c r="O3244" s="35"/>
    </row>
    <row r="3245" spans="9:15" x14ac:dyDescent="0.35">
      <c r="I3245" s="35"/>
      <c r="O3245" s="35"/>
    </row>
    <row r="3246" spans="9:15" x14ac:dyDescent="0.35">
      <c r="I3246" s="35"/>
      <c r="O3246" s="35"/>
    </row>
    <row r="3247" spans="9:15" x14ac:dyDescent="0.35">
      <c r="I3247" s="35"/>
      <c r="O3247" s="35"/>
    </row>
    <row r="3248" spans="9:15" x14ac:dyDescent="0.35">
      <c r="I3248" s="35"/>
      <c r="O3248" s="35"/>
    </row>
    <row r="3249" spans="9:15" x14ac:dyDescent="0.35">
      <c r="I3249" s="35"/>
      <c r="O3249" s="35"/>
    </row>
    <row r="3250" spans="9:15" x14ac:dyDescent="0.35">
      <c r="I3250" s="35"/>
      <c r="O3250" s="35"/>
    </row>
    <row r="3251" spans="9:15" x14ac:dyDescent="0.35">
      <c r="I3251" s="35"/>
      <c r="O3251" s="35"/>
    </row>
    <row r="3252" spans="9:15" x14ac:dyDescent="0.35">
      <c r="I3252" s="35"/>
      <c r="O3252" s="35"/>
    </row>
    <row r="3253" spans="9:15" x14ac:dyDescent="0.35">
      <c r="I3253" s="35"/>
      <c r="O3253" s="35"/>
    </row>
    <row r="3254" spans="9:15" x14ac:dyDescent="0.35">
      <c r="I3254" s="35"/>
      <c r="O3254" s="35"/>
    </row>
    <row r="3255" spans="9:15" x14ac:dyDescent="0.35">
      <c r="I3255" s="35"/>
      <c r="O3255" s="35"/>
    </row>
    <row r="3256" spans="9:15" x14ac:dyDescent="0.35">
      <c r="I3256" s="35"/>
      <c r="O3256" s="35"/>
    </row>
    <row r="3257" spans="9:15" x14ac:dyDescent="0.35">
      <c r="I3257" s="35"/>
      <c r="O3257" s="35"/>
    </row>
    <row r="3258" spans="9:15" x14ac:dyDescent="0.35">
      <c r="I3258" s="35"/>
      <c r="O3258" s="35"/>
    </row>
    <row r="3259" spans="9:15" x14ac:dyDescent="0.35">
      <c r="I3259" s="35"/>
      <c r="O3259" s="35"/>
    </row>
    <row r="3260" spans="9:15" x14ac:dyDescent="0.35">
      <c r="I3260" s="35"/>
      <c r="O3260" s="35"/>
    </row>
    <row r="3261" spans="9:15" x14ac:dyDescent="0.35">
      <c r="I3261" s="35"/>
      <c r="O3261" s="35"/>
    </row>
    <row r="3262" spans="9:15" x14ac:dyDescent="0.35">
      <c r="I3262" s="35"/>
      <c r="O3262" s="35"/>
    </row>
    <row r="3263" spans="9:15" x14ac:dyDescent="0.35">
      <c r="I3263" s="35"/>
      <c r="O3263" s="35"/>
    </row>
    <row r="3264" spans="9:15" x14ac:dyDescent="0.35">
      <c r="I3264" s="35"/>
      <c r="O3264" s="35"/>
    </row>
    <row r="3265" spans="9:15" x14ac:dyDescent="0.35">
      <c r="I3265" s="35"/>
      <c r="O3265" s="35"/>
    </row>
    <row r="3266" spans="9:15" x14ac:dyDescent="0.35">
      <c r="I3266" s="35"/>
      <c r="O3266" s="35"/>
    </row>
    <row r="3267" spans="9:15" x14ac:dyDescent="0.35">
      <c r="I3267" s="35"/>
      <c r="O3267" s="35"/>
    </row>
    <row r="3268" spans="9:15" x14ac:dyDescent="0.35">
      <c r="I3268" s="35"/>
      <c r="O3268" s="35"/>
    </row>
    <row r="3269" spans="9:15" x14ac:dyDescent="0.35">
      <c r="I3269" s="35"/>
      <c r="O3269" s="35"/>
    </row>
    <row r="3270" spans="9:15" x14ac:dyDescent="0.35">
      <c r="I3270" s="35"/>
      <c r="O3270" s="35"/>
    </row>
    <row r="3271" spans="9:15" x14ac:dyDescent="0.35">
      <c r="I3271" s="35"/>
      <c r="O3271" s="35"/>
    </row>
    <row r="3272" spans="9:15" x14ac:dyDescent="0.35">
      <c r="I3272" s="35"/>
      <c r="O3272" s="35"/>
    </row>
    <row r="3273" spans="9:15" x14ac:dyDescent="0.35">
      <c r="I3273" s="35"/>
      <c r="O3273" s="35"/>
    </row>
    <row r="3274" spans="9:15" x14ac:dyDescent="0.35">
      <c r="I3274" s="35"/>
      <c r="O3274" s="35"/>
    </row>
    <row r="3275" spans="9:15" x14ac:dyDescent="0.35">
      <c r="I3275" s="35"/>
      <c r="O3275" s="35"/>
    </row>
    <row r="3276" spans="9:15" x14ac:dyDescent="0.35">
      <c r="I3276" s="35"/>
      <c r="O3276" s="35"/>
    </row>
    <row r="3277" spans="9:15" x14ac:dyDescent="0.35">
      <c r="I3277" s="35"/>
      <c r="O3277" s="35"/>
    </row>
    <row r="3278" spans="9:15" x14ac:dyDescent="0.35">
      <c r="I3278" s="35"/>
      <c r="O3278" s="35"/>
    </row>
    <row r="3279" spans="9:15" x14ac:dyDescent="0.35">
      <c r="I3279" s="35"/>
      <c r="O3279" s="35"/>
    </row>
    <row r="3280" spans="9:15" x14ac:dyDescent="0.35">
      <c r="I3280" s="35"/>
      <c r="O3280" s="35"/>
    </row>
    <row r="3281" spans="9:15" x14ac:dyDescent="0.35">
      <c r="I3281" s="35"/>
      <c r="O3281" s="35"/>
    </row>
    <row r="3282" spans="9:15" x14ac:dyDescent="0.35">
      <c r="I3282" s="35"/>
      <c r="O3282" s="35"/>
    </row>
    <row r="3283" spans="9:15" x14ac:dyDescent="0.35">
      <c r="I3283" s="35"/>
      <c r="O3283" s="35"/>
    </row>
    <row r="3284" spans="9:15" x14ac:dyDescent="0.35">
      <c r="I3284" s="35"/>
      <c r="O3284" s="35"/>
    </row>
    <row r="3285" spans="9:15" x14ac:dyDescent="0.35">
      <c r="I3285" s="35"/>
      <c r="O3285" s="35"/>
    </row>
    <row r="3286" spans="9:15" x14ac:dyDescent="0.35">
      <c r="I3286" s="35"/>
      <c r="O3286" s="35"/>
    </row>
    <row r="3287" spans="9:15" x14ac:dyDescent="0.35">
      <c r="I3287" s="35"/>
      <c r="O3287" s="35"/>
    </row>
    <row r="3288" spans="9:15" x14ac:dyDescent="0.35">
      <c r="I3288" s="35"/>
      <c r="O3288" s="35"/>
    </row>
    <row r="3289" spans="9:15" x14ac:dyDescent="0.35">
      <c r="I3289" s="35"/>
      <c r="O3289" s="35"/>
    </row>
    <row r="3290" spans="9:15" x14ac:dyDescent="0.35">
      <c r="I3290" s="35"/>
      <c r="O3290" s="35"/>
    </row>
    <row r="3291" spans="9:15" x14ac:dyDescent="0.35">
      <c r="I3291" s="35"/>
      <c r="O3291" s="35"/>
    </row>
    <row r="3292" spans="9:15" x14ac:dyDescent="0.35">
      <c r="I3292" s="35"/>
      <c r="O3292" s="35"/>
    </row>
    <row r="3293" spans="9:15" x14ac:dyDescent="0.35">
      <c r="I3293" s="35"/>
      <c r="O3293" s="35"/>
    </row>
    <row r="3294" spans="9:15" x14ac:dyDescent="0.35">
      <c r="I3294" s="35"/>
      <c r="O3294" s="35"/>
    </row>
    <row r="3295" spans="9:15" x14ac:dyDescent="0.35">
      <c r="I3295" s="35"/>
      <c r="O3295" s="35"/>
    </row>
    <row r="3296" spans="9:15" x14ac:dyDescent="0.35">
      <c r="I3296" s="35"/>
      <c r="O3296" s="35"/>
    </row>
    <row r="3297" spans="9:15" x14ac:dyDescent="0.35">
      <c r="I3297" s="35"/>
      <c r="O3297" s="35"/>
    </row>
    <row r="3298" spans="9:15" x14ac:dyDescent="0.35">
      <c r="I3298" s="35"/>
      <c r="O3298" s="35"/>
    </row>
    <row r="3299" spans="9:15" x14ac:dyDescent="0.35">
      <c r="I3299" s="35"/>
      <c r="O3299" s="35"/>
    </row>
    <row r="3300" spans="9:15" x14ac:dyDescent="0.35">
      <c r="I3300" s="35"/>
      <c r="O3300" s="35"/>
    </row>
    <row r="3301" spans="9:15" x14ac:dyDescent="0.35">
      <c r="I3301" s="35"/>
      <c r="O3301" s="35"/>
    </row>
    <row r="3302" spans="9:15" x14ac:dyDescent="0.35">
      <c r="I3302" s="35"/>
      <c r="O3302" s="35"/>
    </row>
    <row r="3303" spans="9:15" x14ac:dyDescent="0.35">
      <c r="I3303" s="35"/>
      <c r="O3303" s="35"/>
    </row>
    <row r="3304" spans="9:15" x14ac:dyDescent="0.35">
      <c r="I3304" s="35"/>
      <c r="O3304" s="35"/>
    </row>
    <row r="3305" spans="9:15" x14ac:dyDescent="0.35">
      <c r="I3305" s="35"/>
      <c r="O3305" s="35"/>
    </row>
    <row r="3306" spans="9:15" x14ac:dyDescent="0.35">
      <c r="I3306" s="35"/>
      <c r="O3306" s="35"/>
    </row>
    <row r="3307" spans="9:15" x14ac:dyDescent="0.35">
      <c r="I3307" s="35"/>
      <c r="O3307" s="35"/>
    </row>
    <row r="3308" spans="9:15" x14ac:dyDescent="0.35">
      <c r="I3308" s="35"/>
      <c r="O3308" s="35"/>
    </row>
    <row r="3309" spans="9:15" x14ac:dyDescent="0.35">
      <c r="I3309" s="35"/>
      <c r="O3309" s="35"/>
    </row>
    <row r="3310" spans="9:15" x14ac:dyDescent="0.35">
      <c r="I3310" s="35"/>
      <c r="O3310" s="35"/>
    </row>
    <row r="3311" spans="9:15" x14ac:dyDescent="0.35">
      <c r="I3311" s="35"/>
      <c r="O3311" s="35"/>
    </row>
    <row r="3312" spans="9:15" x14ac:dyDescent="0.35">
      <c r="I3312" s="35"/>
      <c r="O3312" s="35"/>
    </row>
    <row r="3313" spans="9:15" x14ac:dyDescent="0.35">
      <c r="I3313" s="35"/>
      <c r="O3313" s="35"/>
    </row>
    <row r="3314" spans="9:15" x14ac:dyDescent="0.35">
      <c r="I3314" s="35"/>
      <c r="O3314" s="35"/>
    </row>
    <row r="3315" spans="9:15" x14ac:dyDescent="0.35">
      <c r="I3315" s="35"/>
      <c r="O3315" s="35"/>
    </row>
    <row r="3316" spans="9:15" x14ac:dyDescent="0.35">
      <c r="I3316" s="35"/>
      <c r="O3316" s="35"/>
    </row>
    <row r="3317" spans="9:15" x14ac:dyDescent="0.35">
      <c r="I3317" s="35"/>
      <c r="O3317" s="35"/>
    </row>
    <row r="3318" spans="9:15" x14ac:dyDescent="0.35">
      <c r="I3318" s="35"/>
      <c r="O3318" s="35"/>
    </row>
    <row r="3319" spans="9:15" x14ac:dyDescent="0.35">
      <c r="I3319" s="35"/>
      <c r="O3319" s="35"/>
    </row>
    <row r="3320" spans="9:15" x14ac:dyDescent="0.35">
      <c r="I3320" s="35"/>
      <c r="O3320" s="35"/>
    </row>
    <row r="3321" spans="9:15" x14ac:dyDescent="0.35">
      <c r="I3321" s="35"/>
      <c r="O3321" s="35"/>
    </row>
    <row r="3322" spans="9:15" x14ac:dyDescent="0.35">
      <c r="I3322" s="35"/>
      <c r="O3322" s="35"/>
    </row>
    <row r="3323" spans="9:15" x14ac:dyDescent="0.35">
      <c r="I3323" s="35"/>
      <c r="O3323" s="35"/>
    </row>
    <row r="3324" spans="9:15" x14ac:dyDescent="0.35">
      <c r="I3324" s="35"/>
      <c r="O3324" s="35"/>
    </row>
    <row r="3325" spans="9:15" x14ac:dyDescent="0.35">
      <c r="I3325" s="35"/>
      <c r="O3325" s="35"/>
    </row>
    <row r="3326" spans="9:15" x14ac:dyDescent="0.35">
      <c r="I3326" s="35"/>
      <c r="O3326" s="35"/>
    </row>
    <row r="3327" spans="9:15" x14ac:dyDescent="0.35">
      <c r="I3327" s="35"/>
      <c r="O3327" s="35"/>
    </row>
    <row r="3328" spans="9:15" x14ac:dyDescent="0.35">
      <c r="I3328" s="35"/>
      <c r="O3328" s="35"/>
    </row>
    <row r="3329" spans="9:15" x14ac:dyDescent="0.35">
      <c r="I3329" s="35"/>
      <c r="O3329" s="35"/>
    </row>
    <row r="3330" spans="9:15" x14ac:dyDescent="0.35">
      <c r="I3330" s="35"/>
      <c r="O3330" s="35"/>
    </row>
    <row r="3331" spans="9:15" x14ac:dyDescent="0.35">
      <c r="I3331" s="35"/>
      <c r="O3331" s="35"/>
    </row>
    <row r="3332" spans="9:15" x14ac:dyDescent="0.35">
      <c r="I3332" s="35"/>
      <c r="O3332" s="35"/>
    </row>
    <row r="3333" spans="9:15" x14ac:dyDescent="0.35">
      <c r="I3333" s="35"/>
      <c r="O3333" s="35"/>
    </row>
    <row r="3334" spans="9:15" x14ac:dyDescent="0.35">
      <c r="I3334" s="35"/>
      <c r="O3334" s="35"/>
    </row>
    <row r="3335" spans="9:15" x14ac:dyDescent="0.35">
      <c r="I3335" s="35"/>
      <c r="O3335" s="35"/>
    </row>
    <row r="3336" spans="9:15" x14ac:dyDescent="0.35">
      <c r="I3336" s="35"/>
      <c r="O3336" s="35"/>
    </row>
    <row r="3337" spans="9:15" x14ac:dyDescent="0.35">
      <c r="I3337" s="35"/>
      <c r="O3337" s="35"/>
    </row>
    <row r="3338" spans="9:15" x14ac:dyDescent="0.35">
      <c r="I3338" s="35"/>
      <c r="O3338" s="35"/>
    </row>
    <row r="3339" spans="9:15" x14ac:dyDescent="0.35">
      <c r="I3339" s="35"/>
      <c r="O3339" s="35"/>
    </row>
    <row r="3340" spans="9:15" x14ac:dyDescent="0.35">
      <c r="I3340" s="35"/>
      <c r="O3340" s="35"/>
    </row>
    <row r="3341" spans="9:15" x14ac:dyDescent="0.35">
      <c r="I3341" s="35"/>
      <c r="O3341" s="35"/>
    </row>
    <row r="3342" spans="9:15" x14ac:dyDescent="0.35">
      <c r="I3342" s="35"/>
      <c r="O3342" s="35"/>
    </row>
    <row r="3343" spans="9:15" x14ac:dyDescent="0.35">
      <c r="I3343" s="35"/>
      <c r="O3343" s="35"/>
    </row>
    <row r="3344" spans="9:15" x14ac:dyDescent="0.35">
      <c r="I3344" s="35"/>
      <c r="O3344" s="35"/>
    </row>
    <row r="3345" spans="9:15" x14ac:dyDescent="0.35">
      <c r="I3345" s="35"/>
      <c r="O3345" s="35"/>
    </row>
    <row r="3346" spans="9:15" x14ac:dyDescent="0.35">
      <c r="I3346" s="35"/>
      <c r="O3346" s="35"/>
    </row>
    <row r="3347" spans="9:15" x14ac:dyDescent="0.35">
      <c r="I3347" s="35"/>
      <c r="O3347" s="35"/>
    </row>
    <row r="3348" spans="9:15" x14ac:dyDescent="0.35">
      <c r="I3348" s="35"/>
      <c r="O3348" s="35"/>
    </row>
    <row r="3349" spans="9:15" x14ac:dyDescent="0.35">
      <c r="I3349" s="35"/>
      <c r="O3349" s="35"/>
    </row>
    <row r="3350" spans="9:15" x14ac:dyDescent="0.35">
      <c r="I3350" s="35"/>
      <c r="O3350" s="35"/>
    </row>
    <row r="3351" spans="9:15" x14ac:dyDescent="0.35">
      <c r="I3351" s="35"/>
      <c r="O3351" s="35"/>
    </row>
    <row r="3352" spans="9:15" x14ac:dyDescent="0.35">
      <c r="I3352" s="35"/>
      <c r="O3352" s="35"/>
    </row>
    <row r="3353" spans="9:15" x14ac:dyDescent="0.35">
      <c r="I3353" s="35"/>
      <c r="O3353" s="35"/>
    </row>
    <row r="3354" spans="9:15" x14ac:dyDescent="0.35">
      <c r="I3354" s="35"/>
      <c r="O3354" s="35"/>
    </row>
    <row r="3355" spans="9:15" x14ac:dyDescent="0.35">
      <c r="I3355" s="35"/>
      <c r="O3355" s="35"/>
    </row>
    <row r="3356" spans="9:15" x14ac:dyDescent="0.35">
      <c r="I3356" s="35"/>
      <c r="O3356" s="35"/>
    </row>
    <row r="3357" spans="9:15" x14ac:dyDescent="0.35">
      <c r="I3357" s="35"/>
      <c r="O3357" s="35"/>
    </row>
    <row r="3358" spans="9:15" x14ac:dyDescent="0.35">
      <c r="I3358" s="35"/>
      <c r="O3358" s="35"/>
    </row>
    <row r="3359" spans="9:15" x14ac:dyDescent="0.35">
      <c r="I3359" s="35"/>
      <c r="O3359" s="35"/>
    </row>
    <row r="3360" spans="9:15" x14ac:dyDescent="0.35">
      <c r="I3360" s="35"/>
      <c r="O3360" s="35"/>
    </row>
    <row r="3361" spans="9:15" x14ac:dyDescent="0.35">
      <c r="I3361" s="35"/>
      <c r="O3361" s="35"/>
    </row>
    <row r="3362" spans="9:15" x14ac:dyDescent="0.35">
      <c r="I3362" s="35"/>
      <c r="O3362" s="35"/>
    </row>
    <row r="3363" spans="9:15" x14ac:dyDescent="0.35">
      <c r="I3363" s="35"/>
      <c r="O3363" s="35"/>
    </row>
    <row r="3364" spans="9:15" x14ac:dyDescent="0.35">
      <c r="I3364" s="35"/>
      <c r="O3364" s="35"/>
    </row>
    <row r="3365" spans="9:15" x14ac:dyDescent="0.35">
      <c r="I3365" s="35"/>
      <c r="O3365" s="35"/>
    </row>
    <row r="3366" spans="9:15" x14ac:dyDescent="0.35">
      <c r="I3366" s="35"/>
      <c r="O3366" s="35"/>
    </row>
    <row r="3367" spans="9:15" x14ac:dyDescent="0.35">
      <c r="I3367" s="35"/>
      <c r="O3367" s="35"/>
    </row>
    <row r="3368" spans="9:15" x14ac:dyDescent="0.35">
      <c r="I3368" s="35"/>
      <c r="O3368" s="35"/>
    </row>
    <row r="3369" spans="9:15" x14ac:dyDescent="0.35">
      <c r="I3369" s="35"/>
      <c r="O3369" s="35"/>
    </row>
    <row r="3370" spans="9:15" x14ac:dyDescent="0.35">
      <c r="I3370" s="35"/>
      <c r="O3370" s="35"/>
    </row>
    <row r="3371" spans="9:15" x14ac:dyDescent="0.35">
      <c r="I3371" s="35"/>
      <c r="O3371" s="35"/>
    </row>
    <row r="3372" spans="9:15" x14ac:dyDescent="0.35">
      <c r="I3372" s="35"/>
      <c r="O3372" s="35"/>
    </row>
    <row r="3373" spans="9:15" x14ac:dyDescent="0.35">
      <c r="I3373" s="35"/>
      <c r="O3373" s="35"/>
    </row>
    <row r="3374" spans="9:15" x14ac:dyDescent="0.35">
      <c r="I3374" s="35"/>
      <c r="O3374" s="35"/>
    </row>
    <row r="3375" spans="9:15" x14ac:dyDescent="0.35">
      <c r="I3375" s="35"/>
      <c r="O3375" s="35"/>
    </row>
    <row r="3376" spans="9:15" x14ac:dyDescent="0.35">
      <c r="I3376" s="35"/>
      <c r="O3376" s="35"/>
    </row>
    <row r="3377" spans="9:15" x14ac:dyDescent="0.35">
      <c r="I3377" s="35"/>
      <c r="O3377" s="35"/>
    </row>
    <row r="3378" spans="9:15" x14ac:dyDescent="0.35">
      <c r="I3378" s="35"/>
      <c r="O3378" s="35"/>
    </row>
    <row r="3379" spans="9:15" x14ac:dyDescent="0.35">
      <c r="I3379" s="35"/>
      <c r="O3379" s="35"/>
    </row>
    <row r="3380" spans="9:15" x14ac:dyDescent="0.35">
      <c r="I3380" s="35"/>
      <c r="O3380" s="35"/>
    </row>
    <row r="3381" spans="9:15" x14ac:dyDescent="0.35">
      <c r="I3381" s="35"/>
      <c r="O3381" s="35"/>
    </row>
    <row r="3382" spans="9:15" x14ac:dyDescent="0.35">
      <c r="I3382" s="35"/>
      <c r="O3382" s="35"/>
    </row>
    <row r="3383" spans="9:15" x14ac:dyDescent="0.35">
      <c r="I3383" s="35"/>
      <c r="O3383" s="35"/>
    </row>
    <row r="3384" spans="9:15" x14ac:dyDescent="0.35">
      <c r="I3384" s="35"/>
      <c r="O3384" s="35"/>
    </row>
    <row r="3385" spans="9:15" x14ac:dyDescent="0.35">
      <c r="I3385" s="35"/>
      <c r="O3385" s="35"/>
    </row>
    <row r="3386" spans="9:15" x14ac:dyDescent="0.35">
      <c r="I3386" s="35"/>
      <c r="O3386" s="35"/>
    </row>
    <row r="3387" spans="9:15" x14ac:dyDescent="0.35">
      <c r="I3387" s="35"/>
      <c r="O3387" s="35"/>
    </row>
    <row r="3388" spans="9:15" x14ac:dyDescent="0.35">
      <c r="I3388" s="35"/>
      <c r="O3388" s="35"/>
    </row>
    <row r="3389" spans="9:15" x14ac:dyDescent="0.35">
      <c r="I3389" s="35"/>
      <c r="O3389" s="35"/>
    </row>
    <row r="3390" spans="9:15" x14ac:dyDescent="0.35">
      <c r="I3390" s="35"/>
      <c r="O3390" s="35"/>
    </row>
    <row r="3391" spans="9:15" x14ac:dyDescent="0.35">
      <c r="I3391" s="35"/>
      <c r="O3391" s="35"/>
    </row>
    <row r="3392" spans="9:15" x14ac:dyDescent="0.35">
      <c r="I3392" s="35"/>
      <c r="O3392" s="35"/>
    </row>
    <row r="3393" spans="9:15" x14ac:dyDescent="0.35">
      <c r="I3393" s="35"/>
      <c r="O3393" s="35"/>
    </row>
    <row r="3394" spans="9:15" x14ac:dyDescent="0.35">
      <c r="I3394" s="35"/>
      <c r="O3394" s="35"/>
    </row>
    <row r="3395" spans="9:15" x14ac:dyDescent="0.35">
      <c r="I3395" s="35"/>
      <c r="O3395" s="35"/>
    </row>
    <row r="3396" spans="9:15" x14ac:dyDescent="0.35">
      <c r="I3396" s="35"/>
      <c r="O3396" s="35"/>
    </row>
    <row r="3397" spans="9:15" x14ac:dyDescent="0.35">
      <c r="I3397" s="35"/>
      <c r="O3397" s="35"/>
    </row>
    <row r="3398" spans="9:15" x14ac:dyDescent="0.35">
      <c r="I3398" s="35"/>
      <c r="O3398" s="35"/>
    </row>
    <row r="3399" spans="9:15" x14ac:dyDescent="0.35">
      <c r="I3399" s="35"/>
      <c r="O3399" s="35"/>
    </row>
    <row r="3400" spans="9:15" x14ac:dyDescent="0.35">
      <c r="I3400" s="35"/>
      <c r="O3400" s="35"/>
    </row>
    <row r="3401" spans="9:15" x14ac:dyDescent="0.35">
      <c r="I3401" s="35"/>
      <c r="O3401" s="35"/>
    </row>
    <row r="3402" spans="9:15" x14ac:dyDescent="0.35">
      <c r="I3402" s="35"/>
      <c r="O3402" s="35"/>
    </row>
    <row r="3403" spans="9:15" x14ac:dyDescent="0.35">
      <c r="I3403" s="35"/>
      <c r="O3403" s="35"/>
    </row>
    <row r="3404" spans="9:15" x14ac:dyDescent="0.35">
      <c r="I3404" s="35"/>
      <c r="O3404" s="35"/>
    </row>
    <row r="3405" spans="9:15" x14ac:dyDescent="0.35">
      <c r="I3405" s="35"/>
      <c r="O3405" s="35"/>
    </row>
    <row r="3406" spans="9:15" x14ac:dyDescent="0.35">
      <c r="I3406" s="35"/>
      <c r="O3406" s="35"/>
    </row>
    <row r="3407" spans="9:15" x14ac:dyDescent="0.35">
      <c r="I3407" s="35"/>
      <c r="O3407" s="35"/>
    </row>
    <row r="3408" spans="9:15" x14ac:dyDescent="0.35">
      <c r="I3408" s="35"/>
      <c r="O3408" s="35"/>
    </row>
    <row r="3409" spans="9:15" x14ac:dyDescent="0.35">
      <c r="I3409" s="35"/>
      <c r="O3409" s="35"/>
    </row>
    <row r="3410" spans="9:15" x14ac:dyDescent="0.35">
      <c r="I3410" s="35"/>
      <c r="O3410" s="35"/>
    </row>
    <row r="3411" spans="9:15" x14ac:dyDescent="0.35">
      <c r="I3411" s="35"/>
      <c r="O3411" s="35"/>
    </row>
    <row r="3412" spans="9:15" x14ac:dyDescent="0.35">
      <c r="I3412" s="35"/>
      <c r="O3412" s="35"/>
    </row>
    <row r="3413" spans="9:15" x14ac:dyDescent="0.35">
      <c r="I3413" s="35"/>
      <c r="O3413" s="35"/>
    </row>
    <row r="3414" spans="9:15" x14ac:dyDescent="0.35">
      <c r="I3414" s="35"/>
      <c r="O3414" s="35"/>
    </row>
    <row r="3415" spans="9:15" x14ac:dyDescent="0.35">
      <c r="I3415" s="35"/>
      <c r="O3415" s="35"/>
    </row>
    <row r="3416" spans="9:15" x14ac:dyDescent="0.35">
      <c r="I3416" s="35"/>
      <c r="O3416" s="35"/>
    </row>
    <row r="3417" spans="9:15" x14ac:dyDescent="0.35">
      <c r="I3417" s="35"/>
      <c r="O3417" s="35"/>
    </row>
    <row r="3418" spans="9:15" x14ac:dyDescent="0.35">
      <c r="I3418" s="35"/>
      <c r="O3418" s="35"/>
    </row>
    <row r="3419" spans="9:15" x14ac:dyDescent="0.35">
      <c r="I3419" s="35"/>
      <c r="O3419" s="35"/>
    </row>
    <row r="3420" spans="9:15" x14ac:dyDescent="0.35">
      <c r="I3420" s="35"/>
      <c r="O3420" s="35"/>
    </row>
    <row r="3421" spans="9:15" x14ac:dyDescent="0.35">
      <c r="I3421" s="35"/>
      <c r="O3421" s="35"/>
    </row>
    <row r="3422" spans="9:15" x14ac:dyDescent="0.35">
      <c r="I3422" s="35"/>
      <c r="O3422" s="35"/>
    </row>
    <row r="3423" spans="9:15" x14ac:dyDescent="0.35">
      <c r="I3423" s="35"/>
      <c r="O3423" s="35"/>
    </row>
    <row r="3424" spans="9:15" x14ac:dyDescent="0.35">
      <c r="I3424" s="35"/>
      <c r="O3424" s="35"/>
    </row>
    <row r="3425" spans="9:15" x14ac:dyDescent="0.35">
      <c r="I3425" s="35"/>
      <c r="O3425" s="35"/>
    </row>
    <row r="3426" spans="9:15" x14ac:dyDescent="0.35">
      <c r="I3426" s="35"/>
      <c r="O3426" s="35"/>
    </row>
    <row r="3427" spans="9:15" x14ac:dyDescent="0.35">
      <c r="I3427" s="35"/>
      <c r="O3427" s="35"/>
    </row>
    <row r="3428" spans="9:15" x14ac:dyDescent="0.35">
      <c r="I3428" s="35"/>
      <c r="O3428" s="35"/>
    </row>
    <row r="3429" spans="9:15" x14ac:dyDescent="0.35">
      <c r="I3429" s="35"/>
      <c r="O3429" s="35"/>
    </row>
    <row r="3430" spans="9:15" x14ac:dyDescent="0.35">
      <c r="I3430" s="35"/>
      <c r="O3430" s="35"/>
    </row>
    <row r="3431" spans="9:15" x14ac:dyDescent="0.35">
      <c r="I3431" s="35"/>
      <c r="O3431" s="35"/>
    </row>
    <row r="3432" spans="9:15" x14ac:dyDescent="0.35">
      <c r="I3432" s="35"/>
      <c r="O3432" s="35"/>
    </row>
    <row r="3433" spans="9:15" x14ac:dyDescent="0.35">
      <c r="I3433" s="35"/>
      <c r="O3433" s="35"/>
    </row>
    <row r="3434" spans="9:15" x14ac:dyDescent="0.35">
      <c r="I3434" s="35"/>
      <c r="O3434" s="35"/>
    </row>
    <row r="3435" spans="9:15" x14ac:dyDescent="0.35">
      <c r="I3435" s="35"/>
      <c r="O3435" s="35"/>
    </row>
    <row r="3436" spans="9:15" x14ac:dyDescent="0.35">
      <c r="I3436" s="35"/>
      <c r="O3436" s="35"/>
    </row>
    <row r="3437" spans="9:15" x14ac:dyDescent="0.35">
      <c r="I3437" s="35"/>
      <c r="O3437" s="35"/>
    </row>
    <row r="3438" spans="9:15" x14ac:dyDescent="0.35">
      <c r="I3438" s="35"/>
      <c r="O3438" s="35"/>
    </row>
    <row r="3439" spans="9:15" x14ac:dyDescent="0.35">
      <c r="I3439" s="35"/>
      <c r="O3439" s="35"/>
    </row>
    <row r="3440" spans="9:15" x14ac:dyDescent="0.35">
      <c r="I3440" s="35"/>
      <c r="O3440" s="35"/>
    </row>
    <row r="3441" spans="9:15" x14ac:dyDescent="0.35">
      <c r="I3441" s="35"/>
      <c r="O3441" s="35"/>
    </row>
    <row r="3442" spans="9:15" x14ac:dyDescent="0.35">
      <c r="I3442" s="35"/>
      <c r="O3442" s="35"/>
    </row>
    <row r="3443" spans="9:15" x14ac:dyDescent="0.35">
      <c r="I3443" s="35"/>
      <c r="O3443" s="35"/>
    </row>
    <row r="3444" spans="9:15" x14ac:dyDescent="0.35">
      <c r="I3444" s="35"/>
      <c r="O3444" s="35"/>
    </row>
    <row r="3445" spans="9:15" x14ac:dyDescent="0.35">
      <c r="I3445" s="35"/>
      <c r="O3445" s="35"/>
    </row>
    <row r="3446" spans="9:15" x14ac:dyDescent="0.35">
      <c r="I3446" s="35"/>
      <c r="O3446" s="35"/>
    </row>
    <row r="3447" spans="9:15" x14ac:dyDescent="0.35">
      <c r="I3447" s="35"/>
      <c r="O3447" s="35"/>
    </row>
    <row r="3448" spans="9:15" x14ac:dyDescent="0.35">
      <c r="I3448" s="35"/>
      <c r="O3448" s="35"/>
    </row>
    <row r="3449" spans="9:15" x14ac:dyDescent="0.35">
      <c r="I3449" s="35"/>
      <c r="O3449" s="35"/>
    </row>
    <row r="3450" spans="9:15" x14ac:dyDescent="0.35">
      <c r="I3450" s="35"/>
      <c r="O3450" s="35"/>
    </row>
    <row r="3451" spans="9:15" x14ac:dyDescent="0.35">
      <c r="I3451" s="35"/>
      <c r="O3451" s="35"/>
    </row>
    <row r="3452" spans="9:15" x14ac:dyDescent="0.35">
      <c r="I3452" s="35"/>
      <c r="O3452" s="35"/>
    </row>
    <row r="3453" spans="9:15" x14ac:dyDescent="0.35">
      <c r="I3453" s="35"/>
      <c r="O3453" s="35"/>
    </row>
    <row r="3454" spans="9:15" x14ac:dyDescent="0.35">
      <c r="I3454" s="35"/>
      <c r="O3454" s="35"/>
    </row>
    <row r="3455" spans="9:15" x14ac:dyDescent="0.35">
      <c r="I3455" s="35"/>
      <c r="O3455" s="35"/>
    </row>
    <row r="3456" spans="9:15" x14ac:dyDescent="0.35">
      <c r="I3456" s="35"/>
      <c r="O3456" s="35"/>
    </row>
    <row r="3457" spans="9:15" x14ac:dyDescent="0.35">
      <c r="I3457" s="35"/>
      <c r="O3457" s="35"/>
    </row>
    <row r="3458" spans="9:15" x14ac:dyDescent="0.35">
      <c r="I3458" s="35"/>
      <c r="O3458" s="35"/>
    </row>
    <row r="3459" spans="9:15" x14ac:dyDescent="0.35">
      <c r="I3459" s="35"/>
      <c r="O3459" s="35"/>
    </row>
    <row r="3460" spans="9:15" x14ac:dyDescent="0.35">
      <c r="I3460" s="35"/>
      <c r="O3460" s="35"/>
    </row>
    <row r="3461" spans="9:15" x14ac:dyDescent="0.35">
      <c r="I3461" s="35"/>
      <c r="O3461" s="35"/>
    </row>
    <row r="3462" spans="9:15" x14ac:dyDescent="0.35">
      <c r="I3462" s="35"/>
      <c r="O3462" s="35"/>
    </row>
    <row r="3463" spans="9:15" x14ac:dyDescent="0.35">
      <c r="I3463" s="35"/>
      <c r="O3463" s="35"/>
    </row>
    <row r="3464" spans="9:15" x14ac:dyDescent="0.35">
      <c r="I3464" s="35"/>
      <c r="O3464" s="35"/>
    </row>
    <row r="3465" spans="9:15" x14ac:dyDescent="0.35">
      <c r="I3465" s="35"/>
      <c r="O3465" s="35"/>
    </row>
    <row r="3466" spans="9:15" x14ac:dyDescent="0.35">
      <c r="I3466" s="35"/>
      <c r="O3466" s="35"/>
    </row>
    <row r="3467" spans="9:15" x14ac:dyDescent="0.35">
      <c r="I3467" s="35"/>
      <c r="O3467" s="35"/>
    </row>
    <row r="3468" spans="9:15" x14ac:dyDescent="0.35">
      <c r="I3468" s="35"/>
      <c r="O3468" s="35"/>
    </row>
    <row r="3469" spans="9:15" x14ac:dyDescent="0.35">
      <c r="I3469" s="35"/>
      <c r="O3469" s="35"/>
    </row>
    <row r="3470" spans="9:15" x14ac:dyDescent="0.35">
      <c r="I3470" s="35"/>
      <c r="O3470" s="35"/>
    </row>
    <row r="3471" spans="9:15" x14ac:dyDescent="0.35">
      <c r="I3471" s="35"/>
      <c r="O3471" s="35"/>
    </row>
    <row r="3472" spans="9:15" x14ac:dyDescent="0.35">
      <c r="I3472" s="35"/>
      <c r="O3472" s="35"/>
    </row>
    <row r="3473" spans="9:15" x14ac:dyDescent="0.35">
      <c r="I3473" s="35"/>
      <c r="O3473" s="35"/>
    </row>
    <row r="3474" spans="9:15" x14ac:dyDescent="0.35">
      <c r="I3474" s="35"/>
      <c r="O3474" s="35"/>
    </row>
    <row r="3475" spans="9:15" x14ac:dyDescent="0.35">
      <c r="I3475" s="35"/>
      <c r="O3475" s="35"/>
    </row>
    <row r="3476" spans="9:15" x14ac:dyDescent="0.35">
      <c r="I3476" s="35"/>
      <c r="O3476" s="35"/>
    </row>
    <row r="3477" spans="9:15" x14ac:dyDescent="0.35">
      <c r="I3477" s="35"/>
      <c r="O3477" s="35"/>
    </row>
    <row r="3478" spans="9:15" x14ac:dyDescent="0.35">
      <c r="I3478" s="35"/>
      <c r="O3478" s="35"/>
    </row>
    <row r="3479" spans="9:15" x14ac:dyDescent="0.35">
      <c r="I3479" s="35"/>
      <c r="O3479" s="35"/>
    </row>
    <row r="3480" spans="9:15" x14ac:dyDescent="0.35">
      <c r="I3480" s="35"/>
      <c r="O3480" s="35"/>
    </row>
    <row r="3481" spans="9:15" x14ac:dyDescent="0.35">
      <c r="I3481" s="35"/>
      <c r="O3481" s="35"/>
    </row>
    <row r="3482" spans="9:15" x14ac:dyDescent="0.35">
      <c r="I3482" s="35"/>
      <c r="O3482" s="35"/>
    </row>
    <row r="3483" spans="9:15" x14ac:dyDescent="0.35">
      <c r="I3483" s="35"/>
      <c r="O3483" s="35"/>
    </row>
    <row r="3484" spans="9:15" x14ac:dyDescent="0.35">
      <c r="I3484" s="35"/>
      <c r="O3484" s="35"/>
    </row>
    <row r="3485" spans="9:15" x14ac:dyDescent="0.35">
      <c r="I3485" s="35"/>
      <c r="O3485" s="35"/>
    </row>
    <row r="3486" spans="9:15" x14ac:dyDescent="0.35">
      <c r="I3486" s="35"/>
      <c r="O3486" s="35"/>
    </row>
    <row r="3487" spans="9:15" x14ac:dyDescent="0.35">
      <c r="I3487" s="35"/>
      <c r="O3487" s="35"/>
    </row>
    <row r="3488" spans="9:15" x14ac:dyDescent="0.35">
      <c r="I3488" s="35"/>
      <c r="O3488" s="35"/>
    </row>
    <row r="3489" spans="9:15" x14ac:dyDescent="0.35">
      <c r="I3489" s="35"/>
      <c r="O3489" s="35"/>
    </row>
    <row r="3490" spans="9:15" x14ac:dyDescent="0.35">
      <c r="I3490" s="35"/>
      <c r="O3490" s="35"/>
    </row>
    <row r="3491" spans="9:15" x14ac:dyDescent="0.35">
      <c r="I3491" s="35"/>
      <c r="O3491" s="35"/>
    </row>
    <row r="3492" spans="9:15" x14ac:dyDescent="0.35">
      <c r="I3492" s="35"/>
      <c r="O3492" s="35"/>
    </row>
    <row r="3493" spans="9:15" x14ac:dyDescent="0.35">
      <c r="I3493" s="35"/>
      <c r="O3493" s="35"/>
    </row>
    <row r="3494" spans="9:15" x14ac:dyDescent="0.35">
      <c r="I3494" s="35"/>
      <c r="O3494" s="35"/>
    </row>
    <row r="3495" spans="9:15" x14ac:dyDescent="0.35">
      <c r="I3495" s="35"/>
      <c r="O3495" s="35"/>
    </row>
    <row r="3496" spans="9:15" x14ac:dyDescent="0.35">
      <c r="I3496" s="35"/>
      <c r="O3496" s="35"/>
    </row>
    <row r="3497" spans="9:15" x14ac:dyDescent="0.35">
      <c r="I3497" s="35"/>
      <c r="O3497" s="35"/>
    </row>
    <row r="3498" spans="9:15" x14ac:dyDescent="0.35">
      <c r="I3498" s="35"/>
      <c r="O3498" s="35"/>
    </row>
    <row r="3499" spans="9:15" x14ac:dyDescent="0.35">
      <c r="I3499" s="35"/>
      <c r="O3499" s="35"/>
    </row>
    <row r="3500" spans="9:15" x14ac:dyDescent="0.35">
      <c r="I3500" s="35"/>
      <c r="O3500" s="35"/>
    </row>
    <row r="3501" spans="9:15" x14ac:dyDescent="0.35">
      <c r="I3501" s="35"/>
      <c r="O3501" s="35"/>
    </row>
    <row r="3502" spans="9:15" x14ac:dyDescent="0.35">
      <c r="I3502" s="35"/>
      <c r="O3502" s="35"/>
    </row>
    <row r="3503" spans="9:15" x14ac:dyDescent="0.35">
      <c r="I3503" s="35"/>
      <c r="O3503" s="35"/>
    </row>
    <row r="3504" spans="9:15" x14ac:dyDescent="0.35">
      <c r="I3504" s="35"/>
      <c r="O3504" s="35"/>
    </row>
    <row r="3505" spans="9:15" x14ac:dyDescent="0.35">
      <c r="I3505" s="35"/>
      <c r="O3505" s="35"/>
    </row>
    <row r="3506" spans="9:15" x14ac:dyDescent="0.35">
      <c r="I3506" s="35"/>
      <c r="O3506" s="35"/>
    </row>
    <row r="3507" spans="9:15" x14ac:dyDescent="0.35">
      <c r="I3507" s="35"/>
      <c r="O3507" s="35"/>
    </row>
    <row r="3508" spans="9:15" x14ac:dyDescent="0.35">
      <c r="I3508" s="35"/>
      <c r="O3508" s="35"/>
    </row>
    <row r="3509" spans="9:15" x14ac:dyDescent="0.35">
      <c r="I3509" s="35"/>
      <c r="O3509" s="35"/>
    </row>
    <row r="3510" spans="9:15" x14ac:dyDescent="0.35">
      <c r="I3510" s="35"/>
      <c r="O3510" s="35"/>
    </row>
    <row r="3511" spans="9:15" x14ac:dyDescent="0.35">
      <c r="I3511" s="35"/>
      <c r="O3511" s="35"/>
    </row>
    <row r="3512" spans="9:15" x14ac:dyDescent="0.35">
      <c r="I3512" s="35"/>
      <c r="O3512" s="35"/>
    </row>
    <row r="3513" spans="9:15" x14ac:dyDescent="0.35">
      <c r="I3513" s="35"/>
      <c r="O3513" s="35"/>
    </row>
    <row r="3514" spans="9:15" x14ac:dyDescent="0.35">
      <c r="I3514" s="35"/>
      <c r="O3514" s="35"/>
    </row>
    <row r="3515" spans="9:15" x14ac:dyDescent="0.35">
      <c r="I3515" s="35"/>
      <c r="O3515" s="35"/>
    </row>
    <row r="3516" spans="9:15" x14ac:dyDescent="0.35">
      <c r="I3516" s="35"/>
      <c r="O3516" s="35"/>
    </row>
    <row r="3517" spans="9:15" x14ac:dyDescent="0.35">
      <c r="I3517" s="35"/>
      <c r="O3517" s="35"/>
    </row>
    <row r="3518" spans="9:15" x14ac:dyDescent="0.35">
      <c r="I3518" s="35"/>
      <c r="O3518" s="35"/>
    </row>
    <row r="3519" spans="9:15" x14ac:dyDescent="0.35">
      <c r="I3519" s="35"/>
      <c r="O3519" s="35"/>
    </row>
    <row r="3520" spans="9:15" x14ac:dyDescent="0.35">
      <c r="I3520" s="35"/>
      <c r="O3520" s="35"/>
    </row>
    <row r="3521" spans="9:15" x14ac:dyDescent="0.35">
      <c r="I3521" s="35"/>
      <c r="O3521" s="35"/>
    </row>
    <row r="3522" spans="9:15" x14ac:dyDescent="0.35">
      <c r="I3522" s="35"/>
      <c r="O3522" s="35"/>
    </row>
    <row r="3523" spans="9:15" x14ac:dyDescent="0.35">
      <c r="I3523" s="35"/>
      <c r="O3523" s="35"/>
    </row>
    <row r="3524" spans="9:15" x14ac:dyDescent="0.35">
      <c r="I3524" s="35"/>
      <c r="O3524" s="35"/>
    </row>
    <row r="3525" spans="9:15" x14ac:dyDescent="0.35">
      <c r="I3525" s="35"/>
      <c r="O3525" s="35"/>
    </row>
    <row r="3526" spans="9:15" x14ac:dyDescent="0.35">
      <c r="I3526" s="35"/>
      <c r="O3526" s="35"/>
    </row>
    <row r="3527" spans="9:15" x14ac:dyDescent="0.35">
      <c r="I3527" s="35"/>
      <c r="O3527" s="35"/>
    </row>
    <row r="3528" spans="9:15" x14ac:dyDescent="0.35">
      <c r="I3528" s="35"/>
      <c r="O3528" s="35"/>
    </row>
    <row r="3529" spans="9:15" x14ac:dyDescent="0.35">
      <c r="I3529" s="35"/>
      <c r="O3529" s="35"/>
    </row>
    <row r="3530" spans="9:15" x14ac:dyDescent="0.35">
      <c r="I3530" s="35"/>
      <c r="O3530" s="35"/>
    </row>
    <row r="3531" spans="9:15" x14ac:dyDescent="0.35">
      <c r="I3531" s="35"/>
      <c r="O3531" s="35"/>
    </row>
    <row r="3532" spans="9:15" x14ac:dyDescent="0.35">
      <c r="I3532" s="35"/>
      <c r="O3532" s="35"/>
    </row>
    <row r="3533" spans="9:15" x14ac:dyDescent="0.35">
      <c r="I3533" s="35"/>
      <c r="O3533" s="35"/>
    </row>
    <row r="3534" spans="9:15" x14ac:dyDescent="0.35">
      <c r="I3534" s="35"/>
      <c r="O3534" s="35"/>
    </row>
    <row r="3535" spans="9:15" x14ac:dyDescent="0.35">
      <c r="I3535" s="35"/>
      <c r="O3535" s="35"/>
    </row>
    <row r="3536" spans="9:15" x14ac:dyDescent="0.35">
      <c r="I3536" s="35"/>
      <c r="O3536" s="35"/>
    </row>
    <row r="3537" spans="9:15" x14ac:dyDescent="0.35">
      <c r="I3537" s="35"/>
      <c r="O3537" s="35"/>
    </row>
    <row r="3538" spans="9:15" x14ac:dyDescent="0.35">
      <c r="I3538" s="35"/>
      <c r="O3538" s="35"/>
    </row>
    <row r="3539" spans="9:15" x14ac:dyDescent="0.35">
      <c r="I3539" s="35"/>
      <c r="O3539" s="35"/>
    </row>
    <row r="3540" spans="9:15" x14ac:dyDescent="0.35">
      <c r="I3540" s="35"/>
      <c r="O3540" s="35"/>
    </row>
    <row r="3541" spans="9:15" x14ac:dyDescent="0.35">
      <c r="I3541" s="35"/>
      <c r="O3541" s="35"/>
    </row>
    <row r="3542" spans="9:15" x14ac:dyDescent="0.35">
      <c r="I3542" s="35"/>
      <c r="O3542" s="35"/>
    </row>
    <row r="3543" spans="9:15" x14ac:dyDescent="0.35">
      <c r="I3543" s="35"/>
      <c r="O3543" s="35"/>
    </row>
    <row r="3544" spans="9:15" x14ac:dyDescent="0.35">
      <c r="I3544" s="35"/>
      <c r="O3544" s="35"/>
    </row>
    <row r="3545" spans="9:15" x14ac:dyDescent="0.35">
      <c r="I3545" s="35"/>
      <c r="O3545" s="35"/>
    </row>
    <row r="3546" spans="9:15" x14ac:dyDescent="0.35">
      <c r="I3546" s="35"/>
      <c r="O3546" s="35"/>
    </row>
    <row r="3547" spans="9:15" x14ac:dyDescent="0.35">
      <c r="I3547" s="35"/>
      <c r="O3547" s="35"/>
    </row>
    <row r="3548" spans="9:15" x14ac:dyDescent="0.35">
      <c r="I3548" s="35"/>
      <c r="O3548" s="35"/>
    </row>
    <row r="3549" spans="9:15" x14ac:dyDescent="0.35">
      <c r="I3549" s="35"/>
      <c r="O3549" s="35"/>
    </row>
    <row r="3550" spans="9:15" x14ac:dyDescent="0.35">
      <c r="I3550" s="35"/>
      <c r="O3550" s="35"/>
    </row>
    <row r="3551" spans="9:15" x14ac:dyDescent="0.35">
      <c r="I3551" s="35"/>
      <c r="O3551" s="35"/>
    </row>
    <row r="3552" spans="9:15" x14ac:dyDescent="0.35">
      <c r="I3552" s="35"/>
      <c r="O3552" s="35"/>
    </row>
    <row r="3553" spans="9:15" x14ac:dyDescent="0.35">
      <c r="I3553" s="35"/>
      <c r="O3553" s="35"/>
    </row>
    <row r="3554" spans="9:15" x14ac:dyDescent="0.35">
      <c r="I3554" s="35"/>
      <c r="O3554" s="35"/>
    </row>
    <row r="3555" spans="9:15" x14ac:dyDescent="0.35">
      <c r="I3555" s="35"/>
      <c r="O3555" s="35"/>
    </row>
    <row r="3556" spans="9:15" x14ac:dyDescent="0.35">
      <c r="I3556" s="35"/>
      <c r="O3556" s="35"/>
    </row>
    <row r="3557" spans="9:15" x14ac:dyDescent="0.35">
      <c r="I3557" s="35"/>
      <c r="O3557" s="35"/>
    </row>
    <row r="3558" spans="9:15" x14ac:dyDescent="0.35">
      <c r="I3558" s="35"/>
      <c r="O3558" s="35"/>
    </row>
    <row r="3559" spans="9:15" x14ac:dyDescent="0.35">
      <c r="I3559" s="35"/>
      <c r="O3559" s="35"/>
    </row>
    <row r="3560" spans="9:15" x14ac:dyDescent="0.35">
      <c r="I3560" s="35"/>
      <c r="O3560" s="35"/>
    </row>
    <row r="3561" spans="9:15" x14ac:dyDescent="0.35">
      <c r="I3561" s="35"/>
      <c r="O3561" s="35"/>
    </row>
    <row r="3562" spans="9:15" x14ac:dyDescent="0.35">
      <c r="I3562" s="35"/>
      <c r="O3562" s="35"/>
    </row>
    <row r="3563" spans="9:15" x14ac:dyDescent="0.35">
      <c r="I3563" s="35"/>
      <c r="O3563" s="35"/>
    </row>
    <row r="3564" spans="9:15" x14ac:dyDescent="0.35">
      <c r="I3564" s="35"/>
      <c r="O3564" s="35"/>
    </row>
    <row r="3565" spans="9:15" x14ac:dyDescent="0.35">
      <c r="I3565" s="35"/>
      <c r="O3565" s="35"/>
    </row>
    <row r="3566" spans="9:15" x14ac:dyDescent="0.35">
      <c r="I3566" s="35"/>
      <c r="O3566" s="35"/>
    </row>
    <row r="3567" spans="9:15" x14ac:dyDescent="0.35">
      <c r="I3567" s="35"/>
      <c r="O3567" s="35"/>
    </row>
    <row r="3568" spans="9:15" x14ac:dyDescent="0.35">
      <c r="I3568" s="35"/>
      <c r="O3568" s="35"/>
    </row>
    <row r="3569" spans="9:15" x14ac:dyDescent="0.35">
      <c r="I3569" s="35"/>
      <c r="O3569" s="35"/>
    </row>
    <row r="3570" spans="9:15" x14ac:dyDescent="0.35">
      <c r="I3570" s="35"/>
      <c r="O3570" s="35"/>
    </row>
    <row r="3571" spans="9:15" x14ac:dyDescent="0.35">
      <c r="I3571" s="35"/>
      <c r="O3571" s="35"/>
    </row>
    <row r="3572" spans="9:15" x14ac:dyDescent="0.35">
      <c r="I3572" s="35"/>
      <c r="O3572" s="35"/>
    </row>
    <row r="3573" spans="9:15" x14ac:dyDescent="0.35">
      <c r="I3573" s="35"/>
      <c r="O3573" s="35"/>
    </row>
    <row r="3574" spans="9:15" x14ac:dyDescent="0.35">
      <c r="I3574" s="35"/>
      <c r="O3574" s="35"/>
    </row>
    <row r="3575" spans="9:15" x14ac:dyDescent="0.35">
      <c r="I3575" s="35"/>
      <c r="O3575" s="35"/>
    </row>
    <row r="3576" spans="9:15" x14ac:dyDescent="0.35">
      <c r="I3576" s="35"/>
      <c r="O3576" s="35"/>
    </row>
    <row r="3577" spans="9:15" x14ac:dyDescent="0.35">
      <c r="I3577" s="35"/>
      <c r="O3577" s="35"/>
    </row>
    <row r="3578" spans="9:15" x14ac:dyDescent="0.35">
      <c r="I3578" s="35"/>
      <c r="O3578" s="35"/>
    </row>
    <row r="3579" spans="9:15" x14ac:dyDescent="0.35">
      <c r="I3579" s="35"/>
      <c r="O3579" s="35"/>
    </row>
    <row r="3580" spans="9:15" x14ac:dyDescent="0.35">
      <c r="I3580" s="35"/>
      <c r="O3580" s="35"/>
    </row>
    <row r="3581" spans="9:15" x14ac:dyDescent="0.35">
      <c r="I3581" s="35"/>
      <c r="O3581" s="35"/>
    </row>
    <row r="3582" spans="9:15" x14ac:dyDescent="0.35">
      <c r="I3582" s="35"/>
      <c r="O3582" s="35"/>
    </row>
    <row r="3583" spans="9:15" x14ac:dyDescent="0.35">
      <c r="I3583" s="35"/>
      <c r="O3583" s="35"/>
    </row>
    <row r="3584" spans="9:15" x14ac:dyDescent="0.35">
      <c r="I3584" s="35"/>
      <c r="O3584" s="35"/>
    </row>
    <row r="3585" spans="9:15" x14ac:dyDescent="0.35">
      <c r="I3585" s="35"/>
      <c r="O3585" s="35"/>
    </row>
    <row r="3586" spans="9:15" x14ac:dyDescent="0.35">
      <c r="I3586" s="35"/>
      <c r="O3586" s="35"/>
    </row>
    <row r="3587" spans="9:15" x14ac:dyDescent="0.35">
      <c r="I3587" s="35"/>
      <c r="O3587" s="35"/>
    </row>
    <row r="3588" spans="9:15" x14ac:dyDescent="0.35">
      <c r="I3588" s="35"/>
      <c r="O3588" s="35"/>
    </row>
    <row r="3589" spans="9:15" x14ac:dyDescent="0.35">
      <c r="I3589" s="35"/>
      <c r="O3589" s="35"/>
    </row>
    <row r="3590" spans="9:15" x14ac:dyDescent="0.35">
      <c r="I3590" s="35"/>
      <c r="O3590" s="35"/>
    </row>
    <row r="3591" spans="9:15" x14ac:dyDescent="0.35">
      <c r="I3591" s="35"/>
      <c r="O3591" s="35"/>
    </row>
    <row r="3592" spans="9:15" x14ac:dyDescent="0.35">
      <c r="I3592" s="35"/>
      <c r="O3592" s="35"/>
    </row>
    <row r="3593" spans="9:15" x14ac:dyDescent="0.35">
      <c r="I3593" s="35"/>
      <c r="O3593" s="35"/>
    </row>
    <row r="3594" spans="9:15" x14ac:dyDescent="0.35">
      <c r="I3594" s="35"/>
      <c r="O3594" s="35"/>
    </row>
    <row r="3595" spans="9:15" x14ac:dyDescent="0.35">
      <c r="I3595" s="35"/>
      <c r="O3595" s="35"/>
    </row>
    <row r="3596" spans="9:15" x14ac:dyDescent="0.35">
      <c r="I3596" s="35"/>
      <c r="O3596" s="35"/>
    </row>
    <row r="3597" spans="9:15" x14ac:dyDescent="0.35">
      <c r="I3597" s="35"/>
      <c r="O3597" s="35"/>
    </row>
    <row r="3598" spans="9:15" x14ac:dyDescent="0.35">
      <c r="I3598" s="35"/>
      <c r="O3598" s="35"/>
    </row>
    <row r="3599" spans="9:15" x14ac:dyDescent="0.35">
      <c r="I3599" s="35"/>
      <c r="O3599" s="35"/>
    </row>
    <row r="3600" spans="9:15" x14ac:dyDescent="0.35">
      <c r="I3600" s="35"/>
      <c r="O3600" s="35"/>
    </row>
    <row r="3601" spans="9:15" x14ac:dyDescent="0.35">
      <c r="I3601" s="35"/>
      <c r="O3601" s="35"/>
    </row>
    <row r="3602" spans="9:15" x14ac:dyDescent="0.35">
      <c r="I3602" s="35"/>
      <c r="O3602" s="35"/>
    </row>
    <row r="3603" spans="9:15" x14ac:dyDescent="0.35">
      <c r="I3603" s="35"/>
      <c r="O3603" s="35"/>
    </row>
    <row r="3604" spans="9:15" x14ac:dyDescent="0.35">
      <c r="I3604" s="35"/>
      <c r="O3604" s="35"/>
    </row>
    <row r="3605" spans="9:15" x14ac:dyDescent="0.35">
      <c r="I3605" s="35"/>
      <c r="O3605" s="35"/>
    </row>
    <row r="3606" spans="9:15" x14ac:dyDescent="0.35">
      <c r="I3606" s="35"/>
      <c r="O3606" s="35"/>
    </row>
    <row r="3607" spans="9:15" x14ac:dyDescent="0.35">
      <c r="I3607" s="35"/>
      <c r="O3607" s="35"/>
    </row>
    <row r="3608" spans="9:15" x14ac:dyDescent="0.35">
      <c r="I3608" s="35"/>
      <c r="O3608" s="35"/>
    </row>
    <row r="3609" spans="9:15" x14ac:dyDescent="0.35">
      <c r="I3609" s="35"/>
      <c r="O3609" s="35"/>
    </row>
    <row r="3610" spans="9:15" x14ac:dyDescent="0.35">
      <c r="I3610" s="35"/>
      <c r="O3610" s="35"/>
    </row>
    <row r="3611" spans="9:15" x14ac:dyDescent="0.35">
      <c r="I3611" s="35"/>
      <c r="O3611" s="35"/>
    </row>
    <row r="3612" spans="9:15" x14ac:dyDescent="0.35">
      <c r="I3612" s="35"/>
      <c r="O3612" s="35"/>
    </row>
    <row r="3613" spans="9:15" x14ac:dyDescent="0.35">
      <c r="I3613" s="35"/>
      <c r="O3613" s="35"/>
    </row>
    <row r="3614" spans="9:15" x14ac:dyDescent="0.35">
      <c r="I3614" s="35"/>
      <c r="O3614" s="35"/>
    </row>
    <row r="3615" spans="9:15" x14ac:dyDescent="0.35">
      <c r="I3615" s="35"/>
      <c r="O3615" s="35"/>
    </row>
    <row r="3616" spans="9:15" x14ac:dyDescent="0.35">
      <c r="I3616" s="35"/>
      <c r="O3616" s="35"/>
    </row>
    <row r="3617" spans="9:15" x14ac:dyDescent="0.35">
      <c r="I3617" s="35"/>
      <c r="O3617" s="35"/>
    </row>
    <row r="3618" spans="9:15" x14ac:dyDescent="0.35">
      <c r="I3618" s="35"/>
      <c r="O3618" s="35"/>
    </row>
    <row r="3619" spans="9:15" x14ac:dyDescent="0.35">
      <c r="I3619" s="35"/>
      <c r="O3619" s="35"/>
    </row>
    <row r="3620" spans="9:15" x14ac:dyDescent="0.35">
      <c r="I3620" s="35"/>
      <c r="O3620" s="35"/>
    </row>
    <row r="3621" spans="9:15" x14ac:dyDescent="0.35">
      <c r="I3621" s="35"/>
      <c r="O3621" s="35"/>
    </row>
    <row r="3622" spans="9:15" x14ac:dyDescent="0.35">
      <c r="I3622" s="35"/>
      <c r="O3622" s="35"/>
    </row>
    <row r="3623" spans="9:15" x14ac:dyDescent="0.35">
      <c r="I3623" s="35"/>
      <c r="O3623" s="35"/>
    </row>
    <row r="3624" spans="9:15" x14ac:dyDescent="0.35">
      <c r="I3624" s="35"/>
      <c r="O3624" s="35"/>
    </row>
    <row r="3625" spans="9:15" x14ac:dyDescent="0.35">
      <c r="I3625" s="35"/>
      <c r="O3625" s="35"/>
    </row>
    <row r="3626" spans="9:15" x14ac:dyDescent="0.35">
      <c r="I3626" s="35"/>
      <c r="O3626" s="35"/>
    </row>
    <row r="3627" spans="9:15" x14ac:dyDescent="0.35">
      <c r="I3627" s="35"/>
      <c r="O3627" s="35"/>
    </row>
    <row r="3628" spans="9:15" x14ac:dyDescent="0.35">
      <c r="I3628" s="35"/>
      <c r="O3628" s="35"/>
    </row>
    <row r="3629" spans="9:15" x14ac:dyDescent="0.35">
      <c r="I3629" s="35"/>
      <c r="O3629" s="35"/>
    </row>
    <row r="3630" spans="9:15" x14ac:dyDescent="0.35">
      <c r="I3630" s="35"/>
      <c r="O3630" s="35"/>
    </row>
    <row r="3631" spans="9:15" x14ac:dyDescent="0.35">
      <c r="I3631" s="35"/>
      <c r="O3631" s="35"/>
    </row>
    <row r="3632" spans="9:15" x14ac:dyDescent="0.35">
      <c r="I3632" s="35"/>
      <c r="O3632" s="35"/>
    </row>
    <row r="3633" spans="9:15" x14ac:dyDescent="0.35">
      <c r="I3633" s="35"/>
      <c r="O3633" s="35"/>
    </row>
    <row r="3634" spans="9:15" x14ac:dyDescent="0.35">
      <c r="I3634" s="35"/>
      <c r="O3634" s="35"/>
    </row>
    <row r="3635" spans="9:15" x14ac:dyDescent="0.35">
      <c r="I3635" s="35"/>
      <c r="O3635" s="35"/>
    </row>
    <row r="3636" spans="9:15" x14ac:dyDescent="0.35">
      <c r="I3636" s="35"/>
      <c r="O3636" s="35"/>
    </row>
    <row r="3637" spans="9:15" x14ac:dyDescent="0.35">
      <c r="I3637" s="35"/>
      <c r="O3637" s="35"/>
    </row>
    <row r="3638" spans="9:15" x14ac:dyDescent="0.35">
      <c r="I3638" s="35"/>
      <c r="O3638" s="35"/>
    </row>
    <row r="3639" spans="9:15" x14ac:dyDescent="0.35">
      <c r="I3639" s="35"/>
      <c r="O3639" s="35"/>
    </row>
    <row r="3640" spans="9:15" x14ac:dyDescent="0.35">
      <c r="I3640" s="35"/>
      <c r="O3640" s="35"/>
    </row>
    <row r="3641" spans="9:15" x14ac:dyDescent="0.35">
      <c r="I3641" s="35"/>
      <c r="O3641" s="35"/>
    </row>
    <row r="3642" spans="9:15" x14ac:dyDescent="0.35">
      <c r="I3642" s="35"/>
      <c r="O3642" s="35"/>
    </row>
    <row r="3643" spans="9:15" x14ac:dyDescent="0.35">
      <c r="I3643" s="35"/>
      <c r="O3643" s="35"/>
    </row>
    <row r="3644" spans="9:15" x14ac:dyDescent="0.35">
      <c r="I3644" s="35"/>
      <c r="O3644" s="35"/>
    </row>
    <row r="3645" spans="9:15" x14ac:dyDescent="0.35">
      <c r="I3645" s="35"/>
      <c r="O3645" s="35"/>
    </row>
    <row r="3646" spans="9:15" x14ac:dyDescent="0.35">
      <c r="I3646" s="35"/>
      <c r="O3646" s="35"/>
    </row>
    <row r="3647" spans="9:15" x14ac:dyDescent="0.35">
      <c r="I3647" s="35"/>
      <c r="O3647" s="35"/>
    </row>
    <row r="3648" spans="9:15" x14ac:dyDescent="0.35">
      <c r="I3648" s="35"/>
      <c r="O3648" s="35"/>
    </row>
    <row r="3649" spans="9:15" x14ac:dyDescent="0.35">
      <c r="I3649" s="35"/>
      <c r="O3649" s="35"/>
    </row>
    <row r="3650" spans="9:15" x14ac:dyDescent="0.35">
      <c r="I3650" s="35"/>
      <c r="O3650" s="35"/>
    </row>
    <row r="3651" spans="9:15" x14ac:dyDescent="0.35">
      <c r="I3651" s="35"/>
      <c r="O3651" s="35"/>
    </row>
    <row r="3652" spans="9:15" x14ac:dyDescent="0.35">
      <c r="I3652" s="35"/>
      <c r="O3652" s="35"/>
    </row>
    <row r="3653" spans="9:15" x14ac:dyDescent="0.35">
      <c r="I3653" s="35"/>
      <c r="O3653" s="35"/>
    </row>
    <row r="3654" spans="9:15" x14ac:dyDescent="0.35">
      <c r="I3654" s="35"/>
      <c r="O3654" s="35"/>
    </row>
    <row r="3655" spans="9:15" x14ac:dyDescent="0.35">
      <c r="I3655" s="35"/>
      <c r="O3655" s="35"/>
    </row>
    <row r="3656" spans="9:15" x14ac:dyDescent="0.35">
      <c r="I3656" s="35"/>
      <c r="O3656" s="35"/>
    </row>
    <row r="3657" spans="9:15" x14ac:dyDescent="0.35">
      <c r="I3657" s="35"/>
      <c r="O3657" s="35"/>
    </row>
    <row r="3658" spans="9:15" x14ac:dyDescent="0.35">
      <c r="I3658" s="35"/>
      <c r="O3658" s="35"/>
    </row>
    <row r="3659" spans="9:15" x14ac:dyDescent="0.35">
      <c r="I3659" s="35"/>
      <c r="O3659" s="35"/>
    </row>
    <row r="3660" spans="9:15" x14ac:dyDescent="0.35">
      <c r="I3660" s="35"/>
      <c r="O3660" s="35"/>
    </row>
    <row r="3661" spans="9:15" x14ac:dyDescent="0.35">
      <c r="I3661" s="35"/>
      <c r="O3661" s="35"/>
    </row>
    <row r="3662" spans="9:15" x14ac:dyDescent="0.35">
      <c r="I3662" s="35"/>
      <c r="O3662" s="35"/>
    </row>
    <row r="3663" spans="9:15" x14ac:dyDescent="0.35">
      <c r="I3663" s="35"/>
      <c r="O3663" s="35"/>
    </row>
    <row r="3664" spans="9:15" x14ac:dyDescent="0.35">
      <c r="I3664" s="35"/>
      <c r="O3664" s="35"/>
    </row>
    <row r="3665" spans="9:15" x14ac:dyDescent="0.35">
      <c r="I3665" s="35"/>
      <c r="O3665" s="35"/>
    </row>
    <row r="3666" spans="9:15" x14ac:dyDescent="0.35">
      <c r="I3666" s="35"/>
      <c r="O3666" s="35"/>
    </row>
    <row r="3667" spans="9:15" x14ac:dyDescent="0.35">
      <c r="I3667" s="35"/>
      <c r="O3667" s="35"/>
    </row>
    <row r="3668" spans="9:15" x14ac:dyDescent="0.35">
      <c r="I3668" s="35"/>
      <c r="O3668" s="35"/>
    </row>
    <row r="3669" spans="9:15" x14ac:dyDescent="0.35">
      <c r="I3669" s="35"/>
      <c r="O3669" s="35"/>
    </row>
    <row r="3670" spans="9:15" x14ac:dyDescent="0.35">
      <c r="I3670" s="35"/>
      <c r="O3670" s="35"/>
    </row>
    <row r="3671" spans="9:15" x14ac:dyDescent="0.35">
      <c r="I3671" s="35"/>
      <c r="O3671" s="35"/>
    </row>
    <row r="3672" spans="9:15" x14ac:dyDescent="0.35">
      <c r="I3672" s="35"/>
      <c r="O3672" s="35"/>
    </row>
    <row r="3673" spans="9:15" x14ac:dyDescent="0.35">
      <c r="I3673" s="35"/>
      <c r="O3673" s="35"/>
    </row>
    <row r="3674" spans="9:15" x14ac:dyDescent="0.35">
      <c r="I3674" s="35"/>
      <c r="O3674" s="35"/>
    </row>
    <row r="3675" spans="9:15" x14ac:dyDescent="0.35">
      <c r="I3675" s="35"/>
      <c r="O3675" s="35"/>
    </row>
    <row r="3676" spans="9:15" x14ac:dyDescent="0.35">
      <c r="I3676" s="35"/>
      <c r="O3676" s="35"/>
    </row>
    <row r="3677" spans="9:15" x14ac:dyDescent="0.35">
      <c r="I3677" s="35"/>
      <c r="O3677" s="35"/>
    </row>
    <row r="3678" spans="9:15" x14ac:dyDescent="0.35">
      <c r="I3678" s="35"/>
      <c r="O3678" s="35"/>
    </row>
    <row r="3679" spans="9:15" x14ac:dyDescent="0.35">
      <c r="I3679" s="35"/>
      <c r="O3679" s="35"/>
    </row>
    <row r="3680" spans="9:15" x14ac:dyDescent="0.35">
      <c r="I3680" s="35"/>
      <c r="O3680" s="35"/>
    </row>
    <row r="3681" spans="9:15" x14ac:dyDescent="0.35">
      <c r="I3681" s="35"/>
      <c r="O3681" s="35"/>
    </row>
    <row r="3682" spans="9:15" x14ac:dyDescent="0.35">
      <c r="I3682" s="35"/>
      <c r="O3682" s="35"/>
    </row>
    <row r="3683" spans="9:15" x14ac:dyDescent="0.35">
      <c r="I3683" s="35"/>
      <c r="O3683" s="35"/>
    </row>
    <row r="3684" spans="9:15" x14ac:dyDescent="0.35">
      <c r="I3684" s="35"/>
      <c r="O3684" s="35"/>
    </row>
    <row r="3685" spans="9:15" x14ac:dyDescent="0.35">
      <c r="I3685" s="35"/>
      <c r="O3685" s="35"/>
    </row>
    <row r="3686" spans="9:15" x14ac:dyDescent="0.35">
      <c r="I3686" s="35"/>
      <c r="O3686" s="35"/>
    </row>
    <row r="3687" spans="9:15" x14ac:dyDescent="0.35">
      <c r="I3687" s="35"/>
      <c r="O3687" s="35"/>
    </row>
    <row r="3688" spans="9:15" x14ac:dyDescent="0.35">
      <c r="I3688" s="35"/>
      <c r="O3688" s="35"/>
    </row>
    <row r="3689" spans="9:15" x14ac:dyDescent="0.35">
      <c r="I3689" s="35"/>
      <c r="O3689" s="35"/>
    </row>
    <row r="3690" spans="9:15" x14ac:dyDescent="0.35">
      <c r="I3690" s="35"/>
      <c r="O3690" s="35"/>
    </row>
    <row r="3691" spans="9:15" x14ac:dyDescent="0.35">
      <c r="I3691" s="35"/>
      <c r="O3691" s="35"/>
    </row>
    <row r="3692" spans="9:15" x14ac:dyDescent="0.35">
      <c r="I3692" s="35"/>
      <c r="O3692" s="35"/>
    </row>
    <row r="3693" spans="9:15" x14ac:dyDescent="0.35">
      <c r="I3693" s="35"/>
      <c r="O3693" s="35"/>
    </row>
    <row r="3694" spans="9:15" x14ac:dyDescent="0.35">
      <c r="I3694" s="35"/>
      <c r="O3694" s="35"/>
    </row>
    <row r="3695" spans="9:15" x14ac:dyDescent="0.35">
      <c r="I3695" s="35"/>
      <c r="O3695" s="35"/>
    </row>
    <row r="3696" spans="9:15" x14ac:dyDescent="0.35">
      <c r="I3696" s="35"/>
      <c r="O3696" s="35"/>
    </row>
    <row r="3697" spans="9:15" x14ac:dyDescent="0.35">
      <c r="I3697" s="35"/>
      <c r="O3697" s="35"/>
    </row>
    <row r="3698" spans="9:15" x14ac:dyDescent="0.35">
      <c r="I3698" s="35"/>
      <c r="O3698" s="35"/>
    </row>
    <row r="3699" spans="9:15" x14ac:dyDescent="0.35">
      <c r="I3699" s="35"/>
      <c r="O3699" s="35"/>
    </row>
    <row r="3700" spans="9:15" x14ac:dyDescent="0.35">
      <c r="I3700" s="35"/>
      <c r="O3700" s="35"/>
    </row>
    <row r="3701" spans="9:15" x14ac:dyDescent="0.35">
      <c r="I3701" s="35"/>
      <c r="O3701" s="35"/>
    </row>
    <row r="3702" spans="9:15" x14ac:dyDescent="0.35">
      <c r="I3702" s="35"/>
      <c r="O3702" s="35"/>
    </row>
    <row r="3703" spans="9:15" x14ac:dyDescent="0.35">
      <c r="I3703" s="35"/>
      <c r="O3703" s="35"/>
    </row>
    <row r="3704" spans="9:15" x14ac:dyDescent="0.35">
      <c r="I3704" s="35"/>
      <c r="O3704" s="35"/>
    </row>
    <row r="3705" spans="9:15" x14ac:dyDescent="0.35">
      <c r="I3705" s="35"/>
      <c r="O3705" s="35"/>
    </row>
    <row r="3706" spans="9:15" x14ac:dyDescent="0.35">
      <c r="I3706" s="35"/>
      <c r="O3706" s="35"/>
    </row>
    <row r="3707" spans="9:15" x14ac:dyDescent="0.35">
      <c r="I3707" s="35"/>
      <c r="O3707" s="35"/>
    </row>
    <row r="3708" spans="9:15" x14ac:dyDescent="0.35">
      <c r="I3708" s="35"/>
      <c r="O3708" s="35"/>
    </row>
    <row r="3709" spans="9:15" x14ac:dyDescent="0.35">
      <c r="I3709" s="35"/>
      <c r="O3709" s="35"/>
    </row>
    <row r="3710" spans="9:15" x14ac:dyDescent="0.35">
      <c r="I3710" s="35"/>
      <c r="O3710" s="35"/>
    </row>
    <row r="3711" spans="9:15" x14ac:dyDescent="0.35">
      <c r="I3711" s="35"/>
      <c r="O3711" s="35"/>
    </row>
    <row r="3712" spans="9:15" x14ac:dyDescent="0.35">
      <c r="I3712" s="35"/>
      <c r="O3712" s="35"/>
    </row>
    <row r="3713" spans="9:15" x14ac:dyDescent="0.35">
      <c r="I3713" s="35"/>
      <c r="O3713" s="35"/>
    </row>
    <row r="3714" spans="9:15" x14ac:dyDescent="0.35">
      <c r="I3714" s="35"/>
      <c r="O3714" s="35"/>
    </row>
    <row r="3715" spans="9:15" x14ac:dyDescent="0.35">
      <c r="I3715" s="35"/>
      <c r="O3715" s="35"/>
    </row>
    <row r="3716" spans="9:15" x14ac:dyDescent="0.35">
      <c r="I3716" s="35"/>
      <c r="O3716" s="35"/>
    </row>
    <row r="3717" spans="9:15" x14ac:dyDescent="0.35">
      <c r="I3717" s="35"/>
      <c r="O3717" s="35"/>
    </row>
    <row r="3718" spans="9:15" x14ac:dyDescent="0.35">
      <c r="I3718" s="35"/>
      <c r="O3718" s="35"/>
    </row>
    <row r="3719" spans="9:15" x14ac:dyDescent="0.35">
      <c r="I3719" s="35"/>
      <c r="O3719" s="35"/>
    </row>
    <row r="3720" spans="9:15" x14ac:dyDescent="0.35">
      <c r="I3720" s="35"/>
      <c r="O3720" s="35"/>
    </row>
    <row r="3721" spans="9:15" x14ac:dyDescent="0.35">
      <c r="I3721" s="35"/>
      <c r="O3721" s="35"/>
    </row>
    <row r="3722" spans="9:15" x14ac:dyDescent="0.35">
      <c r="I3722" s="35"/>
      <c r="O3722" s="35"/>
    </row>
    <row r="3723" spans="9:15" x14ac:dyDescent="0.35">
      <c r="I3723" s="35"/>
      <c r="O3723" s="35"/>
    </row>
    <row r="3724" spans="9:15" x14ac:dyDescent="0.35">
      <c r="I3724" s="35"/>
      <c r="O3724" s="35"/>
    </row>
    <row r="3725" spans="9:15" x14ac:dyDescent="0.35">
      <c r="I3725" s="35"/>
      <c r="O3725" s="35"/>
    </row>
    <row r="3726" spans="9:15" x14ac:dyDescent="0.35">
      <c r="I3726" s="35"/>
      <c r="O3726" s="35"/>
    </row>
    <row r="3727" spans="9:15" x14ac:dyDescent="0.35">
      <c r="I3727" s="35"/>
      <c r="O3727" s="35"/>
    </row>
    <row r="3728" spans="9:15" x14ac:dyDescent="0.35">
      <c r="I3728" s="35"/>
      <c r="O3728" s="35"/>
    </row>
    <row r="3729" spans="9:15" x14ac:dyDescent="0.35">
      <c r="I3729" s="35"/>
      <c r="O3729" s="35"/>
    </row>
    <row r="3730" spans="9:15" x14ac:dyDescent="0.35">
      <c r="I3730" s="35"/>
      <c r="O3730" s="35"/>
    </row>
    <row r="3731" spans="9:15" x14ac:dyDescent="0.35">
      <c r="I3731" s="35"/>
      <c r="O3731" s="35"/>
    </row>
    <row r="3732" spans="9:15" x14ac:dyDescent="0.35">
      <c r="I3732" s="35"/>
      <c r="O3732" s="35"/>
    </row>
    <row r="3733" spans="9:15" x14ac:dyDescent="0.35">
      <c r="I3733" s="35"/>
      <c r="O3733" s="35"/>
    </row>
    <row r="3734" spans="9:15" x14ac:dyDescent="0.35">
      <c r="I3734" s="35"/>
      <c r="O3734" s="35"/>
    </row>
    <row r="3735" spans="9:15" x14ac:dyDescent="0.35">
      <c r="I3735" s="35"/>
      <c r="O3735" s="35"/>
    </row>
    <row r="3736" spans="9:15" x14ac:dyDescent="0.35">
      <c r="I3736" s="35"/>
      <c r="O3736" s="35"/>
    </row>
    <row r="3737" spans="9:15" x14ac:dyDescent="0.35">
      <c r="I3737" s="35"/>
      <c r="O3737" s="35"/>
    </row>
    <row r="3738" spans="9:15" x14ac:dyDescent="0.35">
      <c r="I3738" s="35"/>
      <c r="O3738" s="35"/>
    </row>
    <row r="3739" spans="9:15" x14ac:dyDescent="0.35">
      <c r="I3739" s="35"/>
      <c r="O3739" s="35"/>
    </row>
    <row r="3740" spans="9:15" x14ac:dyDescent="0.35">
      <c r="I3740" s="35"/>
      <c r="O3740" s="35"/>
    </row>
    <row r="3741" spans="9:15" x14ac:dyDescent="0.35">
      <c r="I3741" s="35"/>
      <c r="O3741" s="35"/>
    </row>
    <row r="3742" spans="9:15" x14ac:dyDescent="0.35">
      <c r="I3742" s="35"/>
      <c r="O3742" s="35"/>
    </row>
    <row r="3743" spans="9:15" x14ac:dyDescent="0.35">
      <c r="I3743" s="35"/>
      <c r="O3743" s="35"/>
    </row>
    <row r="3744" spans="9:15" x14ac:dyDescent="0.35">
      <c r="I3744" s="35"/>
      <c r="O3744" s="35"/>
    </row>
    <row r="3745" spans="9:15" x14ac:dyDescent="0.35">
      <c r="I3745" s="35"/>
      <c r="O3745" s="35"/>
    </row>
    <row r="3746" spans="9:15" x14ac:dyDescent="0.35">
      <c r="I3746" s="35"/>
      <c r="O3746" s="35"/>
    </row>
    <row r="3747" spans="9:15" x14ac:dyDescent="0.35">
      <c r="I3747" s="35"/>
      <c r="O3747" s="35"/>
    </row>
    <row r="3748" spans="9:15" x14ac:dyDescent="0.35">
      <c r="I3748" s="35"/>
      <c r="O3748" s="35"/>
    </row>
    <row r="3749" spans="9:15" x14ac:dyDescent="0.35">
      <c r="I3749" s="35"/>
      <c r="O3749" s="35"/>
    </row>
    <row r="3750" spans="9:15" x14ac:dyDescent="0.35">
      <c r="I3750" s="35"/>
      <c r="O3750" s="35"/>
    </row>
    <row r="3751" spans="9:15" x14ac:dyDescent="0.35">
      <c r="I3751" s="35"/>
      <c r="O3751" s="35"/>
    </row>
    <row r="3752" spans="9:15" x14ac:dyDescent="0.35">
      <c r="I3752" s="35"/>
      <c r="O3752" s="35"/>
    </row>
    <row r="3753" spans="9:15" x14ac:dyDescent="0.35">
      <c r="I3753" s="35"/>
      <c r="O3753" s="35"/>
    </row>
    <row r="3754" spans="9:15" x14ac:dyDescent="0.35">
      <c r="I3754" s="35"/>
      <c r="O3754" s="35"/>
    </row>
    <row r="3755" spans="9:15" x14ac:dyDescent="0.35">
      <c r="I3755" s="35"/>
      <c r="O3755" s="35"/>
    </row>
    <row r="3756" spans="9:15" x14ac:dyDescent="0.35">
      <c r="I3756" s="35"/>
      <c r="O3756" s="35"/>
    </row>
    <row r="3757" spans="9:15" x14ac:dyDescent="0.35">
      <c r="I3757" s="35"/>
      <c r="O3757" s="35"/>
    </row>
    <row r="3758" spans="9:15" x14ac:dyDescent="0.35">
      <c r="I3758" s="35"/>
      <c r="O3758" s="35"/>
    </row>
    <row r="3759" spans="9:15" x14ac:dyDescent="0.35">
      <c r="I3759" s="35"/>
      <c r="O3759" s="35"/>
    </row>
    <row r="3760" spans="9:15" x14ac:dyDescent="0.35">
      <c r="I3760" s="35"/>
      <c r="O3760" s="35"/>
    </row>
    <row r="3761" spans="9:15" x14ac:dyDescent="0.35">
      <c r="I3761" s="35"/>
      <c r="O3761" s="35"/>
    </row>
    <row r="3762" spans="9:15" x14ac:dyDescent="0.35">
      <c r="I3762" s="35"/>
      <c r="O3762" s="35"/>
    </row>
    <row r="3763" spans="9:15" x14ac:dyDescent="0.35">
      <c r="I3763" s="35"/>
      <c r="O3763" s="35"/>
    </row>
    <row r="3764" spans="9:15" x14ac:dyDescent="0.35">
      <c r="I3764" s="35"/>
      <c r="O3764" s="35"/>
    </row>
    <row r="3765" spans="9:15" x14ac:dyDescent="0.35">
      <c r="I3765" s="35"/>
      <c r="O3765" s="35"/>
    </row>
    <row r="3766" spans="9:15" x14ac:dyDescent="0.35">
      <c r="I3766" s="35"/>
      <c r="O3766" s="35"/>
    </row>
    <row r="3767" spans="9:15" x14ac:dyDescent="0.35">
      <c r="I3767" s="35"/>
      <c r="O3767" s="35"/>
    </row>
    <row r="3768" spans="9:15" x14ac:dyDescent="0.35">
      <c r="I3768" s="35"/>
      <c r="O3768" s="35"/>
    </row>
    <row r="3769" spans="9:15" x14ac:dyDescent="0.35">
      <c r="I3769" s="35"/>
      <c r="O3769" s="35"/>
    </row>
    <row r="3770" spans="9:15" x14ac:dyDescent="0.35">
      <c r="I3770" s="35"/>
      <c r="O3770" s="35"/>
    </row>
    <row r="3771" spans="9:15" x14ac:dyDescent="0.35">
      <c r="I3771" s="35"/>
      <c r="O3771" s="35"/>
    </row>
    <row r="3772" spans="9:15" x14ac:dyDescent="0.35">
      <c r="I3772" s="35"/>
      <c r="O3772" s="35"/>
    </row>
    <row r="3773" spans="9:15" x14ac:dyDescent="0.35">
      <c r="I3773" s="35"/>
      <c r="O3773" s="35"/>
    </row>
    <row r="3774" spans="9:15" x14ac:dyDescent="0.35">
      <c r="I3774" s="35"/>
      <c r="O3774" s="35"/>
    </row>
    <row r="3775" spans="9:15" x14ac:dyDescent="0.35">
      <c r="I3775" s="35"/>
      <c r="O3775" s="35"/>
    </row>
    <row r="3776" spans="9:15" x14ac:dyDescent="0.35">
      <c r="I3776" s="35"/>
      <c r="O3776" s="35"/>
    </row>
    <row r="3777" spans="9:15" x14ac:dyDescent="0.35">
      <c r="I3777" s="35"/>
      <c r="O3777" s="35"/>
    </row>
    <row r="3778" spans="9:15" x14ac:dyDescent="0.35">
      <c r="I3778" s="35"/>
      <c r="O3778" s="35"/>
    </row>
    <row r="3779" spans="9:15" x14ac:dyDescent="0.35">
      <c r="I3779" s="35"/>
      <c r="O3779" s="35"/>
    </row>
    <row r="3780" spans="9:15" x14ac:dyDescent="0.35">
      <c r="I3780" s="35"/>
      <c r="O3780" s="35"/>
    </row>
    <row r="3781" spans="9:15" x14ac:dyDescent="0.35">
      <c r="I3781" s="35"/>
      <c r="O3781" s="35"/>
    </row>
    <row r="3782" spans="9:15" x14ac:dyDescent="0.35">
      <c r="I3782" s="35"/>
      <c r="O3782" s="35"/>
    </row>
    <row r="3783" spans="9:15" x14ac:dyDescent="0.35">
      <c r="I3783" s="35"/>
      <c r="O3783" s="35"/>
    </row>
    <row r="3784" spans="9:15" x14ac:dyDescent="0.35">
      <c r="I3784" s="35"/>
      <c r="O3784" s="35"/>
    </row>
    <row r="3785" spans="9:15" x14ac:dyDescent="0.35">
      <c r="I3785" s="35"/>
      <c r="O3785" s="35"/>
    </row>
    <row r="3786" spans="9:15" x14ac:dyDescent="0.35">
      <c r="I3786" s="35"/>
      <c r="O3786" s="35"/>
    </row>
    <row r="3787" spans="9:15" x14ac:dyDescent="0.35">
      <c r="I3787" s="35"/>
      <c r="O3787" s="35"/>
    </row>
    <row r="3788" spans="9:15" x14ac:dyDescent="0.35">
      <c r="I3788" s="35"/>
      <c r="O3788" s="35"/>
    </row>
    <row r="3789" spans="9:15" x14ac:dyDescent="0.35">
      <c r="I3789" s="35"/>
      <c r="O3789" s="35"/>
    </row>
    <row r="3790" spans="9:15" x14ac:dyDescent="0.35">
      <c r="I3790" s="35"/>
      <c r="O3790" s="35"/>
    </row>
    <row r="3791" spans="9:15" x14ac:dyDescent="0.35">
      <c r="I3791" s="35"/>
      <c r="O3791" s="35"/>
    </row>
    <row r="3792" spans="9:15" x14ac:dyDescent="0.35">
      <c r="I3792" s="35"/>
      <c r="O3792" s="35"/>
    </row>
    <row r="3793" spans="9:15" x14ac:dyDescent="0.35">
      <c r="I3793" s="35"/>
      <c r="O3793" s="35"/>
    </row>
    <row r="3794" spans="9:15" x14ac:dyDescent="0.35">
      <c r="I3794" s="35"/>
      <c r="O3794" s="35"/>
    </row>
    <row r="3795" spans="9:15" x14ac:dyDescent="0.35">
      <c r="I3795" s="35"/>
      <c r="O3795" s="35"/>
    </row>
    <row r="3796" spans="9:15" x14ac:dyDescent="0.35">
      <c r="I3796" s="35"/>
      <c r="O3796" s="35"/>
    </row>
    <row r="3797" spans="9:15" x14ac:dyDescent="0.35">
      <c r="I3797" s="35"/>
      <c r="O3797" s="35"/>
    </row>
    <row r="3798" spans="9:15" x14ac:dyDescent="0.35">
      <c r="I3798" s="35"/>
      <c r="O3798" s="35"/>
    </row>
    <row r="3799" spans="9:15" x14ac:dyDescent="0.35">
      <c r="I3799" s="35"/>
      <c r="O3799" s="35"/>
    </row>
    <row r="3800" spans="9:15" x14ac:dyDescent="0.35">
      <c r="I3800" s="35"/>
      <c r="O3800" s="35"/>
    </row>
    <row r="3801" spans="9:15" x14ac:dyDescent="0.35">
      <c r="I3801" s="35"/>
      <c r="O3801" s="35"/>
    </row>
    <row r="3802" spans="9:15" x14ac:dyDescent="0.35">
      <c r="I3802" s="35"/>
      <c r="O3802" s="35"/>
    </row>
    <row r="3803" spans="9:15" x14ac:dyDescent="0.35">
      <c r="I3803" s="35"/>
      <c r="O3803" s="35"/>
    </row>
    <row r="3804" spans="9:15" x14ac:dyDescent="0.35">
      <c r="I3804" s="35"/>
      <c r="O3804" s="35"/>
    </row>
    <row r="3805" spans="9:15" x14ac:dyDescent="0.35">
      <c r="I3805" s="35"/>
      <c r="O3805" s="35"/>
    </row>
    <row r="3806" spans="9:15" x14ac:dyDescent="0.35">
      <c r="I3806" s="35"/>
      <c r="O3806" s="35"/>
    </row>
    <row r="3807" spans="9:15" x14ac:dyDescent="0.35">
      <c r="I3807" s="35"/>
      <c r="O3807" s="35"/>
    </row>
    <row r="3808" spans="9:15" x14ac:dyDescent="0.35">
      <c r="I3808" s="35"/>
      <c r="O3808" s="35"/>
    </row>
    <row r="3809" spans="9:15" x14ac:dyDescent="0.35">
      <c r="I3809" s="35"/>
      <c r="O3809" s="35"/>
    </row>
    <row r="3810" spans="9:15" x14ac:dyDescent="0.35">
      <c r="I3810" s="35"/>
      <c r="O3810" s="35"/>
    </row>
    <row r="3811" spans="9:15" x14ac:dyDescent="0.35">
      <c r="I3811" s="35"/>
      <c r="O3811" s="35"/>
    </row>
    <row r="3812" spans="9:15" x14ac:dyDescent="0.35">
      <c r="I3812" s="35"/>
      <c r="O3812" s="35"/>
    </row>
    <row r="3813" spans="9:15" x14ac:dyDescent="0.35">
      <c r="I3813" s="35"/>
      <c r="O3813" s="35"/>
    </row>
    <row r="3814" spans="9:15" x14ac:dyDescent="0.35">
      <c r="I3814" s="35"/>
      <c r="O3814" s="35"/>
    </row>
    <row r="3815" spans="9:15" x14ac:dyDescent="0.35">
      <c r="I3815" s="35"/>
      <c r="O3815" s="35"/>
    </row>
    <row r="3816" spans="9:15" x14ac:dyDescent="0.35">
      <c r="I3816" s="35"/>
      <c r="O3816" s="35"/>
    </row>
    <row r="3817" spans="9:15" x14ac:dyDescent="0.35">
      <c r="I3817" s="35"/>
      <c r="O3817" s="35"/>
    </row>
    <row r="3818" spans="9:15" x14ac:dyDescent="0.35">
      <c r="I3818" s="35"/>
      <c r="O3818" s="35"/>
    </row>
    <row r="3819" spans="9:15" x14ac:dyDescent="0.35">
      <c r="I3819" s="35"/>
      <c r="O3819" s="35"/>
    </row>
    <row r="3820" spans="9:15" x14ac:dyDescent="0.35">
      <c r="I3820" s="35"/>
      <c r="O3820" s="35"/>
    </row>
    <row r="3821" spans="9:15" x14ac:dyDescent="0.35">
      <c r="I3821" s="35"/>
      <c r="O3821" s="35"/>
    </row>
    <row r="3822" spans="9:15" x14ac:dyDescent="0.35">
      <c r="I3822" s="35"/>
      <c r="O3822" s="35"/>
    </row>
    <row r="3823" spans="9:15" x14ac:dyDescent="0.35">
      <c r="I3823" s="35"/>
      <c r="O3823" s="35"/>
    </row>
    <row r="3824" spans="9:15" x14ac:dyDescent="0.35">
      <c r="I3824" s="35"/>
      <c r="O3824" s="35"/>
    </row>
    <row r="3825" spans="9:15" x14ac:dyDescent="0.35">
      <c r="I3825" s="35"/>
      <c r="O3825" s="35"/>
    </row>
    <row r="3826" spans="9:15" x14ac:dyDescent="0.35">
      <c r="I3826" s="35"/>
      <c r="O3826" s="35"/>
    </row>
    <row r="3827" spans="9:15" x14ac:dyDescent="0.35">
      <c r="I3827" s="35"/>
      <c r="O3827" s="35"/>
    </row>
    <row r="3828" spans="9:15" x14ac:dyDescent="0.35">
      <c r="I3828" s="35"/>
      <c r="O3828" s="35"/>
    </row>
    <row r="3829" spans="9:15" x14ac:dyDescent="0.35">
      <c r="I3829" s="35"/>
      <c r="O3829" s="35"/>
    </row>
    <row r="3830" spans="9:15" x14ac:dyDescent="0.35">
      <c r="I3830" s="35"/>
      <c r="O3830" s="35"/>
    </row>
    <row r="3831" spans="9:15" x14ac:dyDescent="0.35">
      <c r="I3831" s="35"/>
      <c r="O3831" s="35"/>
    </row>
    <row r="3832" spans="9:15" x14ac:dyDescent="0.35">
      <c r="I3832" s="35"/>
      <c r="O3832" s="35"/>
    </row>
    <row r="3833" spans="9:15" x14ac:dyDescent="0.35">
      <c r="I3833" s="35"/>
      <c r="O3833" s="35"/>
    </row>
    <row r="3834" spans="9:15" x14ac:dyDescent="0.35">
      <c r="I3834" s="35"/>
      <c r="O3834" s="35"/>
    </row>
    <row r="3835" spans="9:15" x14ac:dyDescent="0.35">
      <c r="I3835" s="35"/>
      <c r="O3835" s="35"/>
    </row>
    <row r="3836" spans="9:15" x14ac:dyDescent="0.35">
      <c r="I3836" s="35"/>
      <c r="O3836" s="35"/>
    </row>
    <row r="3837" spans="9:15" x14ac:dyDescent="0.35">
      <c r="I3837" s="35"/>
      <c r="O3837" s="35"/>
    </row>
    <row r="3838" spans="9:15" x14ac:dyDescent="0.35">
      <c r="I3838" s="35"/>
      <c r="O3838" s="35"/>
    </row>
    <row r="3839" spans="9:15" x14ac:dyDescent="0.35">
      <c r="I3839" s="35"/>
      <c r="O3839" s="35"/>
    </row>
    <row r="3840" spans="9:15" x14ac:dyDescent="0.35">
      <c r="I3840" s="35"/>
      <c r="O3840" s="35"/>
    </row>
    <row r="3841" spans="9:15" x14ac:dyDescent="0.35">
      <c r="I3841" s="35"/>
      <c r="O3841" s="35"/>
    </row>
    <row r="3842" spans="9:15" x14ac:dyDescent="0.35">
      <c r="I3842" s="35"/>
      <c r="O3842" s="35"/>
    </row>
    <row r="3843" spans="9:15" x14ac:dyDescent="0.35">
      <c r="I3843" s="35"/>
      <c r="O3843" s="35"/>
    </row>
    <row r="3844" spans="9:15" x14ac:dyDescent="0.35">
      <c r="I3844" s="35"/>
      <c r="O3844" s="35"/>
    </row>
    <row r="3845" spans="9:15" x14ac:dyDescent="0.35">
      <c r="I3845" s="35"/>
      <c r="O3845" s="35"/>
    </row>
    <row r="3846" spans="9:15" x14ac:dyDescent="0.35">
      <c r="I3846" s="35"/>
      <c r="O3846" s="35"/>
    </row>
    <row r="3847" spans="9:15" x14ac:dyDescent="0.35">
      <c r="I3847" s="35"/>
      <c r="O3847" s="35"/>
    </row>
    <row r="3848" spans="9:15" x14ac:dyDescent="0.35">
      <c r="I3848" s="35"/>
      <c r="O3848" s="35"/>
    </row>
    <row r="3849" spans="9:15" x14ac:dyDescent="0.35">
      <c r="I3849" s="35"/>
      <c r="O3849" s="35"/>
    </row>
    <row r="3850" spans="9:15" x14ac:dyDescent="0.35">
      <c r="I3850" s="35"/>
      <c r="O3850" s="35"/>
    </row>
    <row r="3851" spans="9:15" x14ac:dyDescent="0.35">
      <c r="I3851" s="35"/>
      <c r="O3851" s="35"/>
    </row>
    <row r="3852" spans="9:15" x14ac:dyDescent="0.35">
      <c r="I3852" s="35"/>
      <c r="O3852" s="35"/>
    </row>
    <row r="3853" spans="9:15" x14ac:dyDescent="0.35">
      <c r="I3853" s="35"/>
      <c r="O3853" s="35"/>
    </row>
    <row r="3854" spans="9:15" x14ac:dyDescent="0.35">
      <c r="I3854" s="35"/>
      <c r="O3854" s="35"/>
    </row>
    <row r="3855" spans="9:15" x14ac:dyDescent="0.35">
      <c r="I3855" s="35"/>
      <c r="O3855" s="35"/>
    </row>
    <row r="3856" spans="9:15" x14ac:dyDescent="0.35">
      <c r="I3856" s="35"/>
      <c r="O3856" s="35"/>
    </row>
    <row r="3857" spans="9:15" x14ac:dyDescent="0.35">
      <c r="I3857" s="35"/>
      <c r="O3857" s="35"/>
    </row>
    <row r="3858" spans="9:15" x14ac:dyDescent="0.35">
      <c r="I3858" s="35"/>
      <c r="O3858" s="35"/>
    </row>
    <row r="3859" spans="9:15" x14ac:dyDescent="0.35">
      <c r="I3859" s="35"/>
      <c r="O3859" s="35"/>
    </row>
    <row r="3860" spans="9:15" x14ac:dyDescent="0.35">
      <c r="I3860" s="35"/>
      <c r="O3860" s="35"/>
    </row>
    <row r="3861" spans="9:15" x14ac:dyDescent="0.35">
      <c r="I3861" s="35"/>
      <c r="O3861" s="35"/>
    </row>
    <row r="3862" spans="9:15" x14ac:dyDescent="0.35">
      <c r="I3862" s="35"/>
      <c r="O3862" s="35"/>
    </row>
    <row r="3863" spans="9:15" x14ac:dyDescent="0.35">
      <c r="I3863" s="35"/>
      <c r="O3863" s="35"/>
    </row>
    <row r="3864" spans="9:15" x14ac:dyDescent="0.35">
      <c r="I3864" s="35"/>
      <c r="O3864" s="35"/>
    </row>
    <row r="3865" spans="9:15" x14ac:dyDescent="0.35">
      <c r="I3865" s="35"/>
      <c r="O3865" s="35"/>
    </row>
    <row r="3866" spans="9:15" x14ac:dyDescent="0.35">
      <c r="I3866" s="35"/>
      <c r="O3866" s="35"/>
    </row>
    <row r="3867" spans="9:15" x14ac:dyDescent="0.35">
      <c r="I3867" s="35"/>
      <c r="O3867" s="35"/>
    </row>
    <row r="3868" spans="9:15" x14ac:dyDescent="0.35">
      <c r="I3868" s="35"/>
      <c r="O3868" s="35"/>
    </row>
    <row r="3869" spans="9:15" x14ac:dyDescent="0.35">
      <c r="I3869" s="35"/>
      <c r="O3869" s="35"/>
    </row>
    <row r="3870" spans="9:15" x14ac:dyDescent="0.35">
      <c r="I3870" s="35"/>
      <c r="O3870" s="35"/>
    </row>
    <row r="3871" spans="9:15" x14ac:dyDescent="0.35">
      <c r="I3871" s="35"/>
      <c r="O3871" s="35"/>
    </row>
    <row r="3872" spans="9:15" x14ac:dyDescent="0.35">
      <c r="I3872" s="35"/>
      <c r="O3872" s="35"/>
    </row>
    <row r="3873" spans="9:15" x14ac:dyDescent="0.35">
      <c r="I3873" s="35"/>
      <c r="O3873" s="35"/>
    </row>
    <row r="3874" spans="9:15" x14ac:dyDescent="0.35">
      <c r="I3874" s="35"/>
      <c r="O3874" s="35"/>
    </row>
    <row r="3875" spans="9:15" x14ac:dyDescent="0.35">
      <c r="I3875" s="35"/>
      <c r="O3875" s="35"/>
    </row>
    <row r="3876" spans="9:15" x14ac:dyDescent="0.35">
      <c r="I3876" s="35"/>
      <c r="O3876" s="35"/>
    </row>
    <row r="3877" spans="9:15" x14ac:dyDescent="0.35">
      <c r="I3877" s="35"/>
      <c r="O3877" s="35"/>
    </row>
    <row r="3878" spans="9:15" x14ac:dyDescent="0.35">
      <c r="I3878" s="35"/>
      <c r="O3878" s="35"/>
    </row>
    <row r="3879" spans="9:15" x14ac:dyDescent="0.35">
      <c r="I3879" s="35"/>
      <c r="O3879" s="35"/>
    </row>
    <row r="3880" spans="9:15" x14ac:dyDescent="0.35">
      <c r="I3880" s="35"/>
      <c r="O3880" s="35"/>
    </row>
    <row r="3881" spans="9:15" x14ac:dyDescent="0.35">
      <c r="I3881" s="35"/>
      <c r="O3881" s="35"/>
    </row>
    <row r="3882" spans="9:15" x14ac:dyDescent="0.35">
      <c r="I3882" s="35"/>
      <c r="O3882" s="35"/>
    </row>
    <row r="3883" spans="9:15" x14ac:dyDescent="0.35">
      <c r="I3883" s="35"/>
      <c r="O3883" s="35"/>
    </row>
    <row r="3884" spans="9:15" x14ac:dyDescent="0.35">
      <c r="I3884" s="35"/>
      <c r="O3884" s="35"/>
    </row>
    <row r="3885" spans="9:15" x14ac:dyDescent="0.35">
      <c r="I3885" s="35"/>
      <c r="O3885" s="35"/>
    </row>
    <row r="3886" spans="9:15" x14ac:dyDescent="0.35">
      <c r="I3886" s="35"/>
      <c r="O3886" s="35"/>
    </row>
    <row r="3887" spans="9:15" x14ac:dyDescent="0.35">
      <c r="I3887" s="35"/>
      <c r="O3887" s="35"/>
    </row>
    <row r="3888" spans="9:15" x14ac:dyDescent="0.35">
      <c r="I3888" s="35"/>
      <c r="O3888" s="35"/>
    </row>
    <row r="3889" spans="9:15" x14ac:dyDescent="0.35">
      <c r="I3889" s="35"/>
      <c r="O3889" s="35"/>
    </row>
    <row r="3890" spans="9:15" x14ac:dyDescent="0.35">
      <c r="I3890" s="35"/>
      <c r="O3890" s="35"/>
    </row>
    <row r="3891" spans="9:15" x14ac:dyDescent="0.35">
      <c r="I3891" s="35"/>
      <c r="O3891" s="35"/>
    </row>
    <row r="3892" spans="9:15" x14ac:dyDescent="0.35">
      <c r="I3892" s="35"/>
      <c r="O3892" s="35"/>
    </row>
    <row r="3893" spans="9:15" x14ac:dyDescent="0.35">
      <c r="I3893" s="35"/>
      <c r="O3893" s="35"/>
    </row>
    <row r="3894" spans="9:15" x14ac:dyDescent="0.35">
      <c r="I3894" s="35"/>
      <c r="O3894" s="35"/>
    </row>
    <row r="3895" spans="9:15" x14ac:dyDescent="0.35">
      <c r="I3895" s="35"/>
      <c r="O3895" s="35"/>
    </row>
    <row r="3896" spans="9:15" x14ac:dyDescent="0.35">
      <c r="I3896" s="35"/>
      <c r="O3896" s="35"/>
    </row>
    <row r="3897" spans="9:15" x14ac:dyDescent="0.35">
      <c r="I3897" s="35"/>
      <c r="O3897" s="35"/>
    </row>
    <row r="3898" spans="9:15" x14ac:dyDescent="0.35">
      <c r="I3898" s="35"/>
      <c r="O3898" s="35"/>
    </row>
    <row r="3899" spans="9:15" x14ac:dyDescent="0.35">
      <c r="I3899" s="35"/>
      <c r="O3899" s="35"/>
    </row>
    <row r="3900" spans="9:15" x14ac:dyDescent="0.35">
      <c r="I3900" s="35"/>
      <c r="O3900" s="35"/>
    </row>
    <row r="3901" spans="9:15" x14ac:dyDescent="0.35">
      <c r="I3901" s="35"/>
      <c r="O3901" s="35"/>
    </row>
    <row r="3902" spans="9:15" x14ac:dyDescent="0.35">
      <c r="I3902" s="35"/>
      <c r="O3902" s="35"/>
    </row>
    <row r="3903" spans="9:15" x14ac:dyDescent="0.35">
      <c r="I3903" s="35"/>
      <c r="O3903" s="35"/>
    </row>
    <row r="3904" spans="9:15" x14ac:dyDescent="0.35">
      <c r="I3904" s="35"/>
      <c r="O3904" s="35"/>
    </row>
    <row r="3905" spans="9:15" x14ac:dyDescent="0.35">
      <c r="I3905" s="35"/>
      <c r="O3905" s="35"/>
    </row>
    <row r="3906" spans="9:15" x14ac:dyDescent="0.35">
      <c r="I3906" s="35"/>
      <c r="O3906" s="35"/>
    </row>
    <row r="3907" spans="9:15" x14ac:dyDescent="0.35">
      <c r="I3907" s="35"/>
      <c r="O3907" s="35"/>
    </row>
    <row r="3908" spans="9:15" x14ac:dyDescent="0.35">
      <c r="I3908" s="35"/>
      <c r="O3908" s="35"/>
    </row>
    <row r="3909" spans="9:15" x14ac:dyDescent="0.35">
      <c r="I3909" s="35"/>
      <c r="O3909" s="35"/>
    </row>
    <row r="3910" spans="9:15" x14ac:dyDescent="0.35">
      <c r="I3910" s="35"/>
      <c r="O3910" s="35"/>
    </row>
    <row r="3911" spans="9:15" x14ac:dyDescent="0.35">
      <c r="I3911" s="35"/>
      <c r="O3911" s="35"/>
    </row>
    <row r="3912" spans="9:15" x14ac:dyDescent="0.35">
      <c r="I3912" s="35"/>
      <c r="O3912" s="35"/>
    </row>
    <row r="3913" spans="9:15" x14ac:dyDescent="0.35">
      <c r="I3913" s="35"/>
      <c r="O3913" s="35"/>
    </row>
    <row r="3914" spans="9:15" x14ac:dyDescent="0.35">
      <c r="I3914" s="35"/>
      <c r="O3914" s="35"/>
    </row>
    <row r="3915" spans="9:15" x14ac:dyDescent="0.35">
      <c r="I3915" s="35"/>
      <c r="O3915" s="35"/>
    </row>
    <row r="3916" spans="9:15" x14ac:dyDescent="0.35">
      <c r="I3916" s="35"/>
      <c r="O3916" s="35"/>
    </row>
    <row r="3917" spans="9:15" x14ac:dyDescent="0.35">
      <c r="I3917" s="35"/>
      <c r="O3917" s="35"/>
    </row>
    <row r="3918" spans="9:15" x14ac:dyDescent="0.35">
      <c r="I3918" s="35"/>
      <c r="O3918" s="35"/>
    </row>
    <row r="3919" spans="9:15" x14ac:dyDescent="0.35">
      <c r="I3919" s="35"/>
      <c r="O3919" s="35"/>
    </row>
    <row r="3920" spans="9:15" x14ac:dyDescent="0.35">
      <c r="I3920" s="35"/>
      <c r="O3920" s="35"/>
    </row>
    <row r="3921" spans="9:15" x14ac:dyDescent="0.35">
      <c r="I3921" s="35"/>
      <c r="O3921" s="35"/>
    </row>
    <row r="3922" spans="9:15" x14ac:dyDescent="0.35">
      <c r="I3922" s="35"/>
      <c r="O3922" s="35"/>
    </row>
    <row r="3923" spans="9:15" x14ac:dyDescent="0.35">
      <c r="I3923" s="35"/>
      <c r="O3923" s="35"/>
    </row>
    <row r="3924" spans="9:15" x14ac:dyDescent="0.35">
      <c r="I3924" s="35"/>
      <c r="O3924" s="35"/>
    </row>
    <row r="3925" spans="9:15" x14ac:dyDescent="0.35">
      <c r="I3925" s="35"/>
      <c r="O3925" s="35"/>
    </row>
    <row r="3926" spans="9:15" x14ac:dyDescent="0.35">
      <c r="I3926" s="35"/>
      <c r="O3926" s="35"/>
    </row>
    <row r="3927" spans="9:15" x14ac:dyDescent="0.35">
      <c r="I3927" s="35"/>
      <c r="O3927" s="35"/>
    </row>
    <row r="3928" spans="9:15" x14ac:dyDescent="0.35">
      <c r="I3928" s="35"/>
      <c r="O3928" s="35"/>
    </row>
    <row r="3929" spans="9:15" x14ac:dyDescent="0.35">
      <c r="I3929" s="35"/>
      <c r="O3929" s="35"/>
    </row>
    <row r="3930" spans="9:15" x14ac:dyDescent="0.35">
      <c r="I3930" s="35"/>
      <c r="O3930" s="35"/>
    </row>
    <row r="3931" spans="9:15" x14ac:dyDescent="0.35">
      <c r="I3931" s="35"/>
      <c r="O3931" s="35"/>
    </row>
    <row r="3932" spans="9:15" x14ac:dyDescent="0.35">
      <c r="I3932" s="35"/>
      <c r="O3932" s="35"/>
    </row>
    <row r="3933" spans="9:15" x14ac:dyDescent="0.35">
      <c r="I3933" s="35"/>
      <c r="O3933" s="35"/>
    </row>
    <row r="3934" spans="9:15" x14ac:dyDescent="0.35">
      <c r="I3934" s="35"/>
      <c r="O3934" s="35"/>
    </row>
    <row r="3935" spans="9:15" x14ac:dyDescent="0.35">
      <c r="I3935" s="35"/>
      <c r="O3935" s="35"/>
    </row>
    <row r="3936" spans="9:15" x14ac:dyDescent="0.35">
      <c r="I3936" s="35"/>
      <c r="O3936" s="35"/>
    </row>
    <row r="3937" spans="9:15" x14ac:dyDescent="0.35">
      <c r="I3937" s="35"/>
      <c r="O3937" s="35"/>
    </row>
    <row r="3938" spans="9:15" x14ac:dyDescent="0.35">
      <c r="I3938" s="35"/>
      <c r="O3938" s="35"/>
    </row>
    <row r="3939" spans="9:15" x14ac:dyDescent="0.35">
      <c r="I3939" s="35"/>
      <c r="O3939" s="35"/>
    </row>
    <row r="3940" spans="9:15" x14ac:dyDescent="0.35">
      <c r="I3940" s="35"/>
      <c r="O3940" s="35"/>
    </row>
    <row r="3941" spans="9:15" x14ac:dyDescent="0.35">
      <c r="I3941" s="35"/>
      <c r="O3941" s="35"/>
    </row>
    <row r="3942" spans="9:15" x14ac:dyDescent="0.35">
      <c r="I3942" s="35"/>
      <c r="O3942" s="35"/>
    </row>
    <row r="3943" spans="9:15" x14ac:dyDescent="0.35">
      <c r="I3943" s="35"/>
      <c r="O3943" s="35"/>
    </row>
    <row r="3944" spans="9:15" x14ac:dyDescent="0.35">
      <c r="I3944" s="35"/>
      <c r="O3944" s="35"/>
    </row>
    <row r="3945" spans="9:15" x14ac:dyDescent="0.35">
      <c r="I3945" s="35"/>
      <c r="O3945" s="35"/>
    </row>
    <row r="3946" spans="9:15" x14ac:dyDescent="0.35">
      <c r="I3946" s="35"/>
      <c r="O3946" s="35"/>
    </row>
    <row r="3947" spans="9:15" x14ac:dyDescent="0.35">
      <c r="I3947" s="35"/>
      <c r="O3947" s="35"/>
    </row>
    <row r="3948" spans="9:15" x14ac:dyDescent="0.35">
      <c r="I3948" s="35"/>
      <c r="O3948" s="35"/>
    </row>
    <row r="3949" spans="9:15" x14ac:dyDescent="0.35">
      <c r="I3949" s="35"/>
      <c r="O3949" s="35"/>
    </row>
    <row r="3950" spans="9:15" x14ac:dyDescent="0.35">
      <c r="I3950" s="35"/>
      <c r="O3950" s="35"/>
    </row>
    <row r="3951" spans="9:15" x14ac:dyDescent="0.35">
      <c r="I3951" s="35"/>
      <c r="O3951" s="35"/>
    </row>
    <row r="3952" spans="9:15" x14ac:dyDescent="0.35">
      <c r="I3952" s="35"/>
      <c r="O3952" s="35"/>
    </row>
    <row r="3953" spans="9:15" x14ac:dyDescent="0.35">
      <c r="I3953" s="35"/>
      <c r="O3953" s="35"/>
    </row>
    <row r="3954" spans="9:15" x14ac:dyDescent="0.35">
      <c r="I3954" s="35"/>
      <c r="O3954" s="35"/>
    </row>
    <row r="3955" spans="9:15" x14ac:dyDescent="0.35">
      <c r="I3955" s="35"/>
      <c r="O3955" s="35"/>
    </row>
    <row r="3956" spans="9:15" x14ac:dyDescent="0.35">
      <c r="I3956" s="35"/>
      <c r="O3956" s="35"/>
    </row>
    <row r="3957" spans="9:15" x14ac:dyDescent="0.35">
      <c r="I3957" s="35"/>
      <c r="O3957" s="35"/>
    </row>
    <row r="3958" spans="9:15" x14ac:dyDescent="0.35">
      <c r="I3958" s="35"/>
      <c r="O3958" s="35"/>
    </row>
    <row r="3959" spans="9:15" x14ac:dyDescent="0.35">
      <c r="I3959" s="35"/>
      <c r="O3959" s="35"/>
    </row>
    <row r="3960" spans="9:15" x14ac:dyDescent="0.35">
      <c r="I3960" s="35"/>
      <c r="O3960" s="35"/>
    </row>
    <row r="3961" spans="9:15" x14ac:dyDescent="0.35">
      <c r="I3961" s="35"/>
      <c r="O3961" s="35"/>
    </row>
    <row r="3962" spans="9:15" x14ac:dyDescent="0.35">
      <c r="I3962" s="35"/>
      <c r="O3962" s="35"/>
    </row>
    <row r="3963" spans="9:15" x14ac:dyDescent="0.35">
      <c r="I3963" s="35"/>
      <c r="O3963" s="35"/>
    </row>
    <row r="3964" spans="9:15" x14ac:dyDescent="0.35">
      <c r="I3964" s="35"/>
      <c r="O3964" s="35"/>
    </row>
    <row r="3965" spans="9:15" x14ac:dyDescent="0.35">
      <c r="I3965" s="35"/>
      <c r="O3965" s="35"/>
    </row>
    <row r="3966" spans="9:15" x14ac:dyDescent="0.35">
      <c r="I3966" s="35"/>
      <c r="O3966" s="35"/>
    </row>
    <row r="3967" spans="9:15" x14ac:dyDescent="0.35">
      <c r="I3967" s="35"/>
      <c r="O3967" s="35"/>
    </row>
    <row r="3968" spans="9:15" x14ac:dyDescent="0.35">
      <c r="I3968" s="35"/>
      <c r="O3968" s="35"/>
    </row>
    <row r="3969" spans="9:15" x14ac:dyDescent="0.35">
      <c r="I3969" s="35"/>
      <c r="O3969" s="35"/>
    </row>
    <row r="3970" spans="9:15" x14ac:dyDescent="0.35">
      <c r="I3970" s="35"/>
      <c r="O3970" s="35"/>
    </row>
    <row r="3971" spans="9:15" x14ac:dyDescent="0.35">
      <c r="I3971" s="35"/>
      <c r="O3971" s="35"/>
    </row>
    <row r="3972" spans="9:15" x14ac:dyDescent="0.35">
      <c r="I3972" s="35"/>
      <c r="O3972" s="35"/>
    </row>
    <row r="3973" spans="9:15" x14ac:dyDescent="0.35">
      <c r="I3973" s="35"/>
      <c r="O3973" s="35"/>
    </row>
    <row r="3974" spans="9:15" x14ac:dyDescent="0.35">
      <c r="I3974" s="35"/>
      <c r="O3974" s="35"/>
    </row>
    <row r="3975" spans="9:15" x14ac:dyDescent="0.35">
      <c r="I3975" s="35"/>
      <c r="O3975" s="35"/>
    </row>
    <row r="3976" spans="9:15" x14ac:dyDescent="0.35">
      <c r="I3976" s="35"/>
      <c r="O3976" s="35"/>
    </row>
    <row r="3977" spans="9:15" x14ac:dyDescent="0.35">
      <c r="I3977" s="35"/>
      <c r="O3977" s="35"/>
    </row>
    <row r="3978" spans="9:15" x14ac:dyDescent="0.35">
      <c r="I3978" s="35"/>
      <c r="O3978" s="35"/>
    </row>
    <row r="3979" spans="9:15" x14ac:dyDescent="0.35">
      <c r="I3979" s="35"/>
      <c r="O3979" s="35"/>
    </row>
    <row r="3980" spans="9:15" x14ac:dyDescent="0.35">
      <c r="I3980" s="35"/>
      <c r="O3980" s="35"/>
    </row>
    <row r="3981" spans="9:15" x14ac:dyDescent="0.35">
      <c r="I3981" s="35"/>
      <c r="O3981" s="35"/>
    </row>
    <row r="3982" spans="9:15" x14ac:dyDescent="0.35">
      <c r="I3982" s="35"/>
      <c r="O3982" s="35"/>
    </row>
    <row r="3983" spans="9:15" x14ac:dyDescent="0.35">
      <c r="I3983" s="35"/>
      <c r="O3983" s="35"/>
    </row>
    <row r="3984" spans="9:15" x14ac:dyDescent="0.35">
      <c r="I3984" s="35"/>
      <c r="O3984" s="35"/>
    </row>
    <row r="3985" spans="9:15" x14ac:dyDescent="0.35">
      <c r="I3985" s="35"/>
      <c r="O3985" s="35"/>
    </row>
    <row r="3986" spans="9:15" x14ac:dyDescent="0.35">
      <c r="I3986" s="35"/>
      <c r="O3986" s="35"/>
    </row>
    <row r="3987" spans="9:15" x14ac:dyDescent="0.35">
      <c r="I3987" s="35"/>
      <c r="O3987" s="35"/>
    </row>
    <row r="3988" spans="9:15" x14ac:dyDescent="0.35">
      <c r="I3988" s="35"/>
      <c r="O3988" s="35"/>
    </row>
    <row r="3989" spans="9:15" x14ac:dyDescent="0.35">
      <c r="I3989" s="35"/>
      <c r="O3989" s="35"/>
    </row>
    <row r="3990" spans="9:15" x14ac:dyDescent="0.35">
      <c r="I3990" s="35"/>
      <c r="O3990" s="35"/>
    </row>
    <row r="3991" spans="9:15" x14ac:dyDescent="0.35">
      <c r="I3991" s="35"/>
      <c r="O3991" s="35"/>
    </row>
    <row r="3992" spans="9:15" x14ac:dyDescent="0.35">
      <c r="I3992" s="35"/>
      <c r="O3992" s="35"/>
    </row>
    <row r="3993" spans="9:15" x14ac:dyDescent="0.35">
      <c r="I3993" s="35"/>
      <c r="O3993" s="35"/>
    </row>
    <row r="3994" spans="9:15" x14ac:dyDescent="0.35">
      <c r="I3994" s="35"/>
      <c r="O3994" s="35"/>
    </row>
    <row r="3995" spans="9:15" x14ac:dyDescent="0.35">
      <c r="I3995" s="35"/>
      <c r="O3995" s="35"/>
    </row>
    <row r="3996" spans="9:15" x14ac:dyDescent="0.35">
      <c r="I3996" s="35"/>
      <c r="O3996" s="35"/>
    </row>
    <row r="3997" spans="9:15" x14ac:dyDescent="0.35">
      <c r="I3997" s="35"/>
      <c r="O3997" s="35"/>
    </row>
    <row r="3998" spans="9:15" x14ac:dyDescent="0.35">
      <c r="I3998" s="35"/>
      <c r="O3998" s="35"/>
    </row>
    <row r="3999" spans="9:15" x14ac:dyDescent="0.35">
      <c r="I3999" s="35"/>
      <c r="O3999" s="35"/>
    </row>
    <row r="4000" spans="9:15" x14ac:dyDescent="0.35">
      <c r="I4000" s="35"/>
      <c r="O4000" s="35"/>
    </row>
    <row r="4001" spans="9:15" x14ac:dyDescent="0.35">
      <c r="I4001" s="35"/>
      <c r="O4001" s="35"/>
    </row>
    <row r="4002" spans="9:15" x14ac:dyDescent="0.35">
      <c r="I4002" s="35"/>
      <c r="O4002" s="35"/>
    </row>
    <row r="4003" spans="9:15" x14ac:dyDescent="0.35">
      <c r="I4003" s="35"/>
      <c r="O4003" s="35"/>
    </row>
    <row r="4004" spans="9:15" x14ac:dyDescent="0.35">
      <c r="I4004" s="35"/>
      <c r="O4004" s="35"/>
    </row>
    <row r="4005" spans="9:15" x14ac:dyDescent="0.35">
      <c r="I4005" s="35"/>
      <c r="O4005" s="35"/>
    </row>
    <row r="4006" spans="9:15" x14ac:dyDescent="0.35">
      <c r="I4006" s="35"/>
      <c r="O4006" s="35"/>
    </row>
    <row r="4007" spans="9:15" x14ac:dyDescent="0.35">
      <c r="I4007" s="35"/>
      <c r="O4007" s="35"/>
    </row>
    <row r="4008" spans="9:15" x14ac:dyDescent="0.35">
      <c r="I4008" s="35"/>
      <c r="O4008" s="35"/>
    </row>
    <row r="4009" spans="9:15" x14ac:dyDescent="0.35">
      <c r="I4009" s="35"/>
      <c r="O4009" s="35"/>
    </row>
    <row r="4010" spans="9:15" x14ac:dyDescent="0.35">
      <c r="I4010" s="35"/>
      <c r="O4010" s="35"/>
    </row>
    <row r="4011" spans="9:15" x14ac:dyDescent="0.35">
      <c r="I4011" s="35"/>
      <c r="O4011" s="35"/>
    </row>
    <row r="4012" spans="9:15" x14ac:dyDescent="0.35">
      <c r="I4012" s="35"/>
      <c r="O4012" s="35"/>
    </row>
    <row r="4013" spans="9:15" x14ac:dyDescent="0.35">
      <c r="I4013" s="35"/>
      <c r="O4013" s="35"/>
    </row>
    <row r="4014" spans="9:15" x14ac:dyDescent="0.35">
      <c r="I4014" s="35"/>
      <c r="O4014" s="35"/>
    </row>
    <row r="4015" spans="9:15" x14ac:dyDescent="0.35">
      <c r="I4015" s="35"/>
      <c r="O4015" s="35"/>
    </row>
    <row r="4016" spans="9:15" x14ac:dyDescent="0.35">
      <c r="I4016" s="35"/>
      <c r="O4016" s="35"/>
    </row>
    <row r="4017" spans="9:15" x14ac:dyDescent="0.35">
      <c r="I4017" s="35"/>
      <c r="O4017" s="35"/>
    </row>
    <row r="4018" spans="9:15" x14ac:dyDescent="0.35">
      <c r="I4018" s="35"/>
      <c r="O4018" s="35"/>
    </row>
    <row r="4019" spans="9:15" x14ac:dyDescent="0.35">
      <c r="I4019" s="35"/>
      <c r="O4019" s="35"/>
    </row>
    <row r="4020" spans="9:15" x14ac:dyDescent="0.35">
      <c r="I4020" s="35"/>
      <c r="O4020" s="35"/>
    </row>
    <row r="4021" spans="9:15" x14ac:dyDescent="0.35">
      <c r="I4021" s="35"/>
      <c r="O4021" s="35"/>
    </row>
    <row r="4022" spans="9:15" x14ac:dyDescent="0.35">
      <c r="I4022" s="35"/>
      <c r="O4022" s="35"/>
    </row>
    <row r="4023" spans="9:15" x14ac:dyDescent="0.35">
      <c r="I4023" s="35"/>
      <c r="O4023" s="35"/>
    </row>
    <row r="4024" spans="9:15" x14ac:dyDescent="0.35">
      <c r="I4024" s="35"/>
      <c r="O4024" s="35"/>
    </row>
    <row r="4025" spans="9:15" x14ac:dyDescent="0.35">
      <c r="I4025" s="35"/>
      <c r="O4025" s="35"/>
    </row>
    <row r="4026" spans="9:15" x14ac:dyDescent="0.35">
      <c r="I4026" s="35"/>
      <c r="O4026" s="35"/>
    </row>
    <row r="4027" spans="9:15" x14ac:dyDescent="0.35">
      <c r="I4027" s="35"/>
      <c r="O4027" s="35"/>
    </row>
    <row r="4028" spans="9:15" x14ac:dyDescent="0.35">
      <c r="I4028" s="35"/>
      <c r="O4028" s="35"/>
    </row>
    <row r="4029" spans="9:15" x14ac:dyDescent="0.35">
      <c r="I4029" s="35"/>
      <c r="O4029" s="35"/>
    </row>
    <row r="4030" spans="9:15" x14ac:dyDescent="0.35">
      <c r="I4030" s="35"/>
      <c r="O4030" s="35"/>
    </row>
    <row r="4031" spans="9:15" x14ac:dyDescent="0.35">
      <c r="I4031" s="35"/>
      <c r="O4031" s="35"/>
    </row>
    <row r="4032" spans="9:15" x14ac:dyDescent="0.35">
      <c r="I4032" s="35"/>
      <c r="O4032" s="35"/>
    </row>
    <row r="4033" spans="9:15" x14ac:dyDescent="0.35">
      <c r="I4033" s="35"/>
      <c r="O4033" s="35"/>
    </row>
    <row r="4034" spans="9:15" x14ac:dyDescent="0.35">
      <c r="I4034" s="35"/>
      <c r="O4034" s="35"/>
    </row>
    <row r="4035" spans="9:15" x14ac:dyDescent="0.35">
      <c r="I4035" s="35"/>
      <c r="O4035" s="35"/>
    </row>
    <row r="4036" spans="9:15" x14ac:dyDescent="0.35">
      <c r="I4036" s="35"/>
      <c r="O4036" s="35"/>
    </row>
    <row r="4037" spans="9:15" x14ac:dyDescent="0.35">
      <c r="I4037" s="35"/>
      <c r="O4037" s="35"/>
    </row>
    <row r="4038" spans="9:15" x14ac:dyDescent="0.35">
      <c r="I4038" s="35"/>
      <c r="O4038" s="35"/>
    </row>
    <row r="4039" spans="9:15" x14ac:dyDescent="0.35">
      <c r="I4039" s="35"/>
      <c r="O4039" s="35"/>
    </row>
    <row r="4040" spans="9:15" x14ac:dyDescent="0.35">
      <c r="I4040" s="35"/>
      <c r="O4040" s="35"/>
    </row>
    <row r="4041" spans="9:15" x14ac:dyDescent="0.35">
      <c r="I4041" s="35"/>
      <c r="O4041" s="35"/>
    </row>
    <row r="4042" spans="9:15" x14ac:dyDescent="0.35">
      <c r="I4042" s="35"/>
      <c r="O4042" s="35"/>
    </row>
    <row r="4043" spans="9:15" x14ac:dyDescent="0.35">
      <c r="I4043" s="35"/>
      <c r="O4043" s="35"/>
    </row>
    <row r="4044" spans="9:15" x14ac:dyDescent="0.35">
      <c r="I4044" s="35"/>
      <c r="O4044" s="35"/>
    </row>
    <row r="4045" spans="9:15" x14ac:dyDescent="0.35">
      <c r="I4045" s="35"/>
      <c r="O4045" s="35"/>
    </row>
    <row r="4046" spans="9:15" x14ac:dyDescent="0.35">
      <c r="I4046" s="35"/>
      <c r="O4046" s="35"/>
    </row>
    <row r="4047" spans="9:15" x14ac:dyDescent="0.35">
      <c r="I4047" s="35"/>
      <c r="O4047" s="35"/>
    </row>
    <row r="4048" spans="9:15" x14ac:dyDescent="0.35">
      <c r="I4048" s="35"/>
      <c r="O4048" s="35"/>
    </row>
    <row r="4049" spans="9:15" x14ac:dyDescent="0.35">
      <c r="I4049" s="35"/>
      <c r="O4049" s="35"/>
    </row>
    <row r="4050" spans="9:15" x14ac:dyDescent="0.35">
      <c r="I4050" s="35"/>
      <c r="O4050" s="35"/>
    </row>
    <row r="4051" spans="9:15" x14ac:dyDescent="0.35">
      <c r="I4051" s="35"/>
      <c r="O4051" s="35"/>
    </row>
    <row r="4052" spans="9:15" x14ac:dyDescent="0.35">
      <c r="I4052" s="35"/>
      <c r="O4052" s="35"/>
    </row>
    <row r="4053" spans="9:15" x14ac:dyDescent="0.35">
      <c r="I4053" s="35"/>
      <c r="O4053" s="35"/>
    </row>
    <row r="4054" spans="9:15" x14ac:dyDescent="0.35">
      <c r="I4054" s="35"/>
      <c r="O4054" s="35"/>
    </row>
    <row r="4055" spans="9:15" x14ac:dyDescent="0.35">
      <c r="I4055" s="35"/>
      <c r="O4055" s="35"/>
    </row>
    <row r="4056" spans="9:15" x14ac:dyDescent="0.35">
      <c r="I4056" s="35"/>
      <c r="O4056" s="35"/>
    </row>
    <row r="4057" spans="9:15" x14ac:dyDescent="0.35">
      <c r="I4057" s="35"/>
      <c r="O4057" s="35"/>
    </row>
    <row r="4058" spans="9:15" x14ac:dyDescent="0.35">
      <c r="I4058" s="35"/>
      <c r="O4058" s="35"/>
    </row>
    <row r="4059" spans="9:15" x14ac:dyDescent="0.35">
      <c r="I4059" s="35"/>
      <c r="O4059" s="35"/>
    </row>
    <row r="4060" spans="9:15" x14ac:dyDescent="0.35">
      <c r="I4060" s="35"/>
      <c r="O4060" s="35"/>
    </row>
    <row r="4061" spans="9:15" x14ac:dyDescent="0.35">
      <c r="I4061" s="35"/>
      <c r="O4061" s="35"/>
    </row>
    <row r="4062" spans="9:15" x14ac:dyDescent="0.35">
      <c r="I4062" s="35"/>
      <c r="O4062" s="35"/>
    </row>
    <row r="4063" spans="9:15" x14ac:dyDescent="0.35">
      <c r="I4063" s="35"/>
      <c r="O4063" s="35"/>
    </row>
    <row r="4064" spans="9:15" x14ac:dyDescent="0.35">
      <c r="I4064" s="35"/>
      <c r="O4064" s="35"/>
    </row>
    <row r="4065" spans="9:15" x14ac:dyDescent="0.35">
      <c r="I4065" s="35"/>
      <c r="O4065" s="35"/>
    </row>
    <row r="4066" spans="9:15" x14ac:dyDescent="0.35">
      <c r="I4066" s="35"/>
      <c r="O4066" s="35"/>
    </row>
    <row r="4067" spans="9:15" x14ac:dyDescent="0.35">
      <c r="I4067" s="35"/>
      <c r="O4067" s="35"/>
    </row>
    <row r="4068" spans="9:15" x14ac:dyDescent="0.35">
      <c r="I4068" s="35"/>
      <c r="O4068" s="35"/>
    </row>
    <row r="4069" spans="9:15" x14ac:dyDescent="0.35">
      <c r="I4069" s="35"/>
      <c r="O4069" s="35"/>
    </row>
    <row r="4070" spans="9:15" x14ac:dyDescent="0.35">
      <c r="I4070" s="35"/>
      <c r="O4070" s="35"/>
    </row>
    <row r="4071" spans="9:15" x14ac:dyDescent="0.35">
      <c r="I4071" s="35"/>
      <c r="O4071" s="35"/>
    </row>
    <row r="4072" spans="9:15" x14ac:dyDescent="0.35">
      <c r="I4072" s="35"/>
      <c r="O4072" s="35"/>
    </row>
    <row r="4073" spans="9:15" x14ac:dyDescent="0.35">
      <c r="I4073" s="35"/>
      <c r="O4073" s="35"/>
    </row>
    <row r="4074" spans="9:15" x14ac:dyDescent="0.35">
      <c r="I4074" s="35"/>
      <c r="O4074" s="35"/>
    </row>
    <row r="4075" spans="9:15" x14ac:dyDescent="0.35">
      <c r="I4075" s="35"/>
      <c r="O4075" s="35"/>
    </row>
    <row r="4076" spans="9:15" x14ac:dyDescent="0.35">
      <c r="I4076" s="35"/>
      <c r="O4076" s="35"/>
    </row>
    <row r="4077" spans="9:15" x14ac:dyDescent="0.35">
      <c r="I4077" s="35"/>
      <c r="O4077" s="35"/>
    </row>
    <row r="4078" spans="9:15" x14ac:dyDescent="0.35">
      <c r="I4078" s="35"/>
      <c r="O4078" s="35"/>
    </row>
    <row r="4079" spans="9:15" x14ac:dyDescent="0.35">
      <c r="I4079" s="35"/>
      <c r="O4079" s="35"/>
    </row>
    <row r="4080" spans="9:15" x14ac:dyDescent="0.35">
      <c r="I4080" s="35"/>
      <c r="O4080" s="35"/>
    </row>
    <row r="4081" spans="9:15" x14ac:dyDescent="0.35">
      <c r="I4081" s="35"/>
      <c r="O4081" s="35"/>
    </row>
    <row r="4082" spans="9:15" x14ac:dyDescent="0.35">
      <c r="I4082" s="35"/>
      <c r="O4082" s="35"/>
    </row>
    <row r="4083" spans="9:15" x14ac:dyDescent="0.35">
      <c r="I4083" s="35"/>
      <c r="O4083" s="35"/>
    </row>
    <row r="4084" spans="9:15" x14ac:dyDescent="0.35">
      <c r="I4084" s="35"/>
      <c r="O4084" s="35"/>
    </row>
    <row r="4085" spans="9:15" x14ac:dyDescent="0.35">
      <c r="I4085" s="35"/>
      <c r="O4085" s="35"/>
    </row>
    <row r="4086" spans="9:15" x14ac:dyDescent="0.35">
      <c r="I4086" s="35"/>
      <c r="O4086" s="35"/>
    </row>
    <row r="4087" spans="9:15" x14ac:dyDescent="0.35">
      <c r="I4087" s="35"/>
      <c r="O4087" s="35"/>
    </row>
    <row r="4088" spans="9:15" x14ac:dyDescent="0.35">
      <c r="I4088" s="35"/>
      <c r="O4088" s="35"/>
    </row>
    <row r="4089" spans="9:15" x14ac:dyDescent="0.35">
      <c r="I4089" s="35"/>
      <c r="O4089" s="35"/>
    </row>
    <row r="4090" spans="9:15" x14ac:dyDescent="0.35">
      <c r="I4090" s="35"/>
      <c r="O4090" s="35"/>
    </row>
    <row r="4091" spans="9:15" x14ac:dyDescent="0.35">
      <c r="I4091" s="35"/>
      <c r="O4091" s="35"/>
    </row>
    <row r="4092" spans="9:15" x14ac:dyDescent="0.35">
      <c r="I4092" s="35"/>
      <c r="O4092" s="35"/>
    </row>
    <row r="4093" spans="9:15" x14ac:dyDescent="0.35">
      <c r="I4093" s="35"/>
      <c r="O4093" s="35"/>
    </row>
    <row r="4094" spans="9:15" x14ac:dyDescent="0.35">
      <c r="I4094" s="35"/>
      <c r="O4094" s="35"/>
    </row>
    <row r="4095" spans="9:15" x14ac:dyDescent="0.35">
      <c r="I4095" s="35"/>
      <c r="O4095" s="35"/>
    </row>
    <row r="4096" spans="9:15" x14ac:dyDescent="0.35">
      <c r="I4096" s="35"/>
      <c r="O4096" s="35"/>
    </row>
    <row r="4097" spans="9:15" x14ac:dyDescent="0.35">
      <c r="I4097" s="35"/>
      <c r="O4097" s="35"/>
    </row>
    <row r="4098" spans="9:15" x14ac:dyDescent="0.35">
      <c r="I4098" s="35"/>
      <c r="O4098" s="35"/>
    </row>
    <row r="4099" spans="9:15" x14ac:dyDescent="0.35">
      <c r="I4099" s="35"/>
      <c r="O4099" s="35"/>
    </row>
    <row r="4100" spans="9:15" x14ac:dyDescent="0.35">
      <c r="I4100" s="35"/>
      <c r="O4100" s="35"/>
    </row>
    <row r="4101" spans="9:15" x14ac:dyDescent="0.35">
      <c r="I4101" s="35"/>
      <c r="O4101" s="35"/>
    </row>
    <row r="4102" spans="9:15" x14ac:dyDescent="0.35">
      <c r="I4102" s="35"/>
      <c r="O4102" s="35"/>
    </row>
    <row r="4103" spans="9:15" x14ac:dyDescent="0.35">
      <c r="I4103" s="35"/>
      <c r="O4103" s="35"/>
    </row>
    <row r="4104" spans="9:15" x14ac:dyDescent="0.35">
      <c r="I4104" s="35"/>
      <c r="O4104" s="35"/>
    </row>
    <row r="4105" spans="9:15" x14ac:dyDescent="0.35">
      <c r="I4105" s="35"/>
      <c r="O4105" s="35"/>
    </row>
    <row r="4106" spans="9:15" x14ac:dyDescent="0.35">
      <c r="I4106" s="35"/>
      <c r="O4106" s="35"/>
    </row>
    <row r="4107" spans="9:15" x14ac:dyDescent="0.35">
      <c r="I4107" s="35"/>
      <c r="O4107" s="35"/>
    </row>
    <row r="4108" spans="9:15" x14ac:dyDescent="0.35">
      <c r="I4108" s="35"/>
      <c r="O4108" s="35"/>
    </row>
    <row r="4109" spans="9:15" x14ac:dyDescent="0.35">
      <c r="I4109" s="35"/>
      <c r="O4109" s="35"/>
    </row>
    <row r="4110" spans="9:15" x14ac:dyDescent="0.35">
      <c r="I4110" s="35"/>
      <c r="O4110" s="35"/>
    </row>
    <row r="4111" spans="9:15" x14ac:dyDescent="0.35">
      <c r="I4111" s="35"/>
      <c r="O4111" s="35"/>
    </row>
    <row r="4112" spans="9:15" x14ac:dyDescent="0.35">
      <c r="I4112" s="35"/>
      <c r="O4112" s="35"/>
    </row>
    <row r="4113" spans="9:15" x14ac:dyDescent="0.35">
      <c r="I4113" s="35"/>
      <c r="O4113" s="35"/>
    </row>
    <row r="4114" spans="9:15" x14ac:dyDescent="0.35">
      <c r="I4114" s="35"/>
      <c r="O4114" s="35"/>
    </row>
    <row r="4115" spans="9:15" x14ac:dyDescent="0.35">
      <c r="I4115" s="35"/>
      <c r="O4115" s="35"/>
    </row>
    <row r="4116" spans="9:15" x14ac:dyDescent="0.35">
      <c r="I4116" s="35"/>
      <c r="O4116" s="35"/>
    </row>
    <row r="4117" spans="9:15" x14ac:dyDescent="0.35">
      <c r="I4117" s="35"/>
      <c r="O4117" s="35"/>
    </row>
    <row r="4118" spans="9:15" x14ac:dyDescent="0.35">
      <c r="I4118" s="35"/>
      <c r="O4118" s="35"/>
    </row>
    <row r="4119" spans="9:15" x14ac:dyDescent="0.35">
      <c r="I4119" s="35"/>
      <c r="O4119" s="35"/>
    </row>
    <row r="4120" spans="9:15" x14ac:dyDescent="0.35">
      <c r="I4120" s="35"/>
      <c r="O4120" s="35"/>
    </row>
    <row r="4121" spans="9:15" x14ac:dyDescent="0.35">
      <c r="I4121" s="35"/>
      <c r="O4121" s="35"/>
    </row>
    <row r="4122" spans="9:15" x14ac:dyDescent="0.35">
      <c r="I4122" s="35"/>
      <c r="O4122" s="35"/>
    </row>
    <row r="4123" spans="9:15" x14ac:dyDescent="0.35">
      <c r="I4123" s="35"/>
      <c r="O4123" s="35"/>
    </row>
    <row r="4124" spans="9:15" x14ac:dyDescent="0.35">
      <c r="I4124" s="35"/>
      <c r="O4124" s="35"/>
    </row>
    <row r="4125" spans="9:15" x14ac:dyDescent="0.35">
      <c r="I4125" s="35"/>
      <c r="O4125" s="35"/>
    </row>
    <row r="4126" spans="9:15" x14ac:dyDescent="0.35">
      <c r="I4126" s="35"/>
      <c r="O4126" s="35"/>
    </row>
    <row r="4127" spans="9:15" x14ac:dyDescent="0.35">
      <c r="I4127" s="35"/>
      <c r="O4127" s="35"/>
    </row>
    <row r="4128" spans="9:15" x14ac:dyDescent="0.35">
      <c r="I4128" s="35"/>
      <c r="O4128" s="35"/>
    </row>
    <row r="4129" spans="9:15" x14ac:dyDescent="0.35">
      <c r="I4129" s="35"/>
      <c r="O4129" s="35"/>
    </row>
    <row r="4130" spans="9:15" x14ac:dyDescent="0.35">
      <c r="I4130" s="35"/>
      <c r="O4130" s="35"/>
    </row>
    <row r="4131" spans="9:15" x14ac:dyDescent="0.35">
      <c r="I4131" s="35"/>
      <c r="O4131" s="35"/>
    </row>
    <row r="4132" spans="9:15" x14ac:dyDescent="0.35">
      <c r="I4132" s="35"/>
      <c r="O4132" s="35"/>
    </row>
    <row r="4133" spans="9:15" x14ac:dyDescent="0.35">
      <c r="I4133" s="35"/>
      <c r="O4133" s="35"/>
    </row>
    <row r="4134" spans="9:15" x14ac:dyDescent="0.35">
      <c r="I4134" s="35"/>
      <c r="O4134" s="35"/>
    </row>
    <row r="4135" spans="9:15" x14ac:dyDescent="0.35">
      <c r="I4135" s="35"/>
      <c r="O4135" s="35"/>
    </row>
    <row r="4136" spans="9:15" x14ac:dyDescent="0.35">
      <c r="I4136" s="35"/>
      <c r="O4136" s="35"/>
    </row>
    <row r="4137" spans="9:15" x14ac:dyDescent="0.35">
      <c r="I4137" s="35"/>
      <c r="O4137" s="35"/>
    </row>
    <row r="4138" spans="9:15" x14ac:dyDescent="0.35">
      <c r="I4138" s="35"/>
      <c r="O4138" s="35"/>
    </row>
    <row r="4139" spans="9:15" x14ac:dyDescent="0.35">
      <c r="I4139" s="35"/>
      <c r="O4139" s="35"/>
    </row>
    <row r="4140" spans="9:15" x14ac:dyDescent="0.35">
      <c r="I4140" s="35"/>
      <c r="O4140" s="35"/>
    </row>
    <row r="4141" spans="9:15" x14ac:dyDescent="0.35">
      <c r="I4141" s="35"/>
      <c r="O4141" s="35"/>
    </row>
    <row r="4142" spans="9:15" x14ac:dyDescent="0.35">
      <c r="I4142" s="35"/>
      <c r="O4142" s="35"/>
    </row>
    <row r="4143" spans="9:15" x14ac:dyDescent="0.35">
      <c r="I4143" s="35"/>
      <c r="O4143" s="35"/>
    </row>
    <row r="4144" spans="9:15" x14ac:dyDescent="0.35">
      <c r="I4144" s="35"/>
      <c r="O4144" s="35"/>
    </row>
    <row r="4145" spans="9:15" x14ac:dyDescent="0.35">
      <c r="I4145" s="35"/>
      <c r="O4145" s="35"/>
    </row>
    <row r="4146" spans="9:15" x14ac:dyDescent="0.35">
      <c r="I4146" s="35"/>
      <c r="O4146" s="35"/>
    </row>
    <row r="4147" spans="9:15" x14ac:dyDescent="0.35">
      <c r="I4147" s="35"/>
      <c r="O4147" s="35"/>
    </row>
    <row r="4148" spans="9:15" x14ac:dyDescent="0.35">
      <c r="I4148" s="35"/>
      <c r="O4148" s="35"/>
    </row>
    <row r="4149" spans="9:15" x14ac:dyDescent="0.35">
      <c r="I4149" s="35"/>
      <c r="O4149" s="35"/>
    </row>
    <row r="4150" spans="9:15" x14ac:dyDescent="0.35">
      <c r="I4150" s="35"/>
      <c r="O4150" s="35"/>
    </row>
    <row r="4151" spans="9:15" x14ac:dyDescent="0.35">
      <c r="I4151" s="35"/>
      <c r="O4151" s="35"/>
    </row>
    <row r="4152" spans="9:15" x14ac:dyDescent="0.35">
      <c r="I4152" s="35"/>
      <c r="O4152" s="35"/>
    </row>
    <row r="4153" spans="9:15" x14ac:dyDescent="0.35">
      <c r="I4153" s="35"/>
      <c r="O4153" s="35"/>
    </row>
    <row r="4154" spans="9:15" x14ac:dyDescent="0.35">
      <c r="I4154" s="35"/>
      <c r="O4154" s="35"/>
    </row>
    <row r="4155" spans="9:15" x14ac:dyDescent="0.35">
      <c r="I4155" s="35"/>
      <c r="O4155" s="35"/>
    </row>
    <row r="4156" spans="9:15" x14ac:dyDescent="0.35">
      <c r="I4156" s="35"/>
      <c r="O4156" s="35"/>
    </row>
    <row r="4157" spans="9:15" x14ac:dyDescent="0.35">
      <c r="I4157" s="35"/>
      <c r="O4157" s="35"/>
    </row>
    <row r="4158" spans="9:15" x14ac:dyDescent="0.35">
      <c r="I4158" s="35"/>
      <c r="O4158" s="35"/>
    </row>
    <row r="4159" spans="9:15" x14ac:dyDescent="0.35">
      <c r="I4159" s="35"/>
      <c r="O4159" s="35"/>
    </row>
    <row r="4160" spans="9:15" x14ac:dyDescent="0.35">
      <c r="I4160" s="35"/>
      <c r="O4160" s="35"/>
    </row>
    <row r="4161" spans="9:15" x14ac:dyDescent="0.35">
      <c r="I4161" s="35"/>
      <c r="O4161" s="35"/>
    </row>
    <row r="4162" spans="9:15" x14ac:dyDescent="0.35">
      <c r="I4162" s="35"/>
      <c r="O4162" s="35"/>
    </row>
    <row r="4163" spans="9:15" x14ac:dyDescent="0.35">
      <c r="I4163" s="35"/>
      <c r="O4163" s="35"/>
    </row>
    <row r="4164" spans="9:15" x14ac:dyDescent="0.35">
      <c r="I4164" s="35"/>
      <c r="O4164" s="35"/>
    </row>
    <row r="4165" spans="9:15" x14ac:dyDescent="0.35">
      <c r="I4165" s="35"/>
      <c r="O4165" s="35"/>
    </row>
    <row r="4166" spans="9:15" x14ac:dyDescent="0.35">
      <c r="I4166" s="35"/>
      <c r="O4166" s="35"/>
    </row>
    <row r="4167" spans="9:15" x14ac:dyDescent="0.35">
      <c r="I4167" s="35"/>
      <c r="O4167" s="35"/>
    </row>
    <row r="4168" spans="9:15" x14ac:dyDescent="0.35">
      <c r="I4168" s="35"/>
      <c r="O4168" s="35"/>
    </row>
    <row r="4169" spans="9:15" x14ac:dyDescent="0.35">
      <c r="I4169" s="35"/>
      <c r="O4169" s="35"/>
    </row>
    <row r="4170" spans="9:15" x14ac:dyDescent="0.35">
      <c r="I4170" s="35"/>
      <c r="O4170" s="35"/>
    </row>
    <row r="4171" spans="9:15" x14ac:dyDescent="0.35">
      <c r="I4171" s="35"/>
      <c r="O4171" s="35"/>
    </row>
    <row r="4172" spans="9:15" x14ac:dyDescent="0.35">
      <c r="I4172" s="35"/>
      <c r="O4172" s="35"/>
    </row>
    <row r="4173" spans="9:15" x14ac:dyDescent="0.35">
      <c r="I4173" s="35"/>
      <c r="O4173" s="35"/>
    </row>
    <row r="4174" spans="9:15" x14ac:dyDescent="0.35">
      <c r="I4174" s="35"/>
      <c r="O4174" s="35"/>
    </row>
    <row r="4175" spans="9:15" x14ac:dyDescent="0.35">
      <c r="I4175" s="35"/>
      <c r="O4175" s="35"/>
    </row>
    <row r="4176" spans="9:15" x14ac:dyDescent="0.35">
      <c r="I4176" s="35"/>
      <c r="O4176" s="35"/>
    </row>
    <row r="4177" spans="9:15" x14ac:dyDescent="0.35">
      <c r="I4177" s="35"/>
      <c r="O4177" s="35"/>
    </row>
    <row r="4178" spans="9:15" x14ac:dyDescent="0.35">
      <c r="I4178" s="35"/>
      <c r="O4178" s="35"/>
    </row>
    <row r="4179" spans="9:15" x14ac:dyDescent="0.35">
      <c r="I4179" s="35"/>
      <c r="O4179" s="35"/>
    </row>
    <row r="4180" spans="9:15" x14ac:dyDescent="0.35">
      <c r="I4180" s="35"/>
      <c r="O4180" s="35"/>
    </row>
    <row r="4181" spans="9:15" x14ac:dyDescent="0.35">
      <c r="I4181" s="35"/>
      <c r="O4181" s="35"/>
    </row>
    <row r="4182" spans="9:15" x14ac:dyDescent="0.35">
      <c r="I4182" s="35"/>
      <c r="O4182" s="35"/>
    </row>
    <row r="4183" spans="9:15" x14ac:dyDescent="0.35">
      <c r="I4183" s="35"/>
      <c r="O4183" s="35"/>
    </row>
    <row r="4184" spans="9:15" x14ac:dyDescent="0.35">
      <c r="I4184" s="35"/>
      <c r="O4184" s="35"/>
    </row>
    <row r="4185" spans="9:15" x14ac:dyDescent="0.35">
      <c r="I4185" s="35"/>
      <c r="O4185" s="35"/>
    </row>
    <row r="4186" spans="9:15" x14ac:dyDescent="0.35">
      <c r="I4186" s="35"/>
      <c r="O4186" s="35"/>
    </row>
    <row r="4187" spans="9:15" x14ac:dyDescent="0.35">
      <c r="I4187" s="35"/>
      <c r="O4187" s="35"/>
    </row>
    <row r="4188" spans="9:15" x14ac:dyDescent="0.35">
      <c r="I4188" s="35"/>
      <c r="O4188" s="35"/>
    </row>
    <row r="4189" spans="9:15" x14ac:dyDescent="0.35">
      <c r="I4189" s="35"/>
      <c r="O4189" s="35"/>
    </row>
    <row r="4190" spans="9:15" x14ac:dyDescent="0.35">
      <c r="I4190" s="35"/>
      <c r="O4190" s="35"/>
    </row>
    <row r="4191" spans="9:15" x14ac:dyDescent="0.35">
      <c r="I4191" s="35"/>
      <c r="O4191" s="35"/>
    </row>
    <row r="4192" spans="9:15" x14ac:dyDescent="0.35">
      <c r="I4192" s="35"/>
      <c r="O4192" s="35"/>
    </row>
    <row r="4193" spans="9:15" x14ac:dyDescent="0.35">
      <c r="I4193" s="35"/>
      <c r="O4193" s="35"/>
    </row>
    <row r="4194" spans="9:15" x14ac:dyDescent="0.35">
      <c r="I4194" s="35"/>
      <c r="O4194" s="35"/>
    </row>
    <row r="4195" spans="9:15" x14ac:dyDescent="0.35">
      <c r="I4195" s="35"/>
      <c r="O4195" s="35"/>
    </row>
    <row r="4196" spans="9:15" x14ac:dyDescent="0.35">
      <c r="I4196" s="35"/>
      <c r="O4196" s="35"/>
    </row>
    <row r="4197" spans="9:15" x14ac:dyDescent="0.35">
      <c r="I4197" s="35"/>
      <c r="O4197" s="35"/>
    </row>
    <row r="4198" spans="9:15" x14ac:dyDescent="0.35">
      <c r="I4198" s="35"/>
      <c r="O4198" s="35"/>
    </row>
    <row r="4199" spans="9:15" x14ac:dyDescent="0.35">
      <c r="I4199" s="35"/>
      <c r="O4199" s="35"/>
    </row>
    <row r="4200" spans="9:15" x14ac:dyDescent="0.35">
      <c r="I4200" s="35"/>
      <c r="O4200" s="35"/>
    </row>
    <row r="4201" spans="9:15" x14ac:dyDescent="0.35">
      <c r="I4201" s="35"/>
      <c r="O4201" s="35"/>
    </row>
    <row r="4202" spans="9:15" x14ac:dyDescent="0.35">
      <c r="I4202" s="35"/>
      <c r="O4202" s="35"/>
    </row>
    <row r="4203" spans="9:15" x14ac:dyDescent="0.35">
      <c r="I4203" s="35"/>
      <c r="O4203" s="35"/>
    </row>
    <row r="4204" spans="9:15" x14ac:dyDescent="0.35">
      <c r="I4204" s="35"/>
      <c r="O4204" s="35"/>
    </row>
    <row r="4205" spans="9:15" x14ac:dyDescent="0.35">
      <c r="I4205" s="35"/>
      <c r="O4205" s="35"/>
    </row>
    <row r="4206" spans="9:15" x14ac:dyDescent="0.35">
      <c r="I4206" s="35"/>
      <c r="O4206" s="35"/>
    </row>
    <row r="4207" spans="9:15" x14ac:dyDescent="0.35">
      <c r="I4207" s="35"/>
      <c r="O4207" s="35"/>
    </row>
    <row r="4208" spans="9:15" x14ac:dyDescent="0.35">
      <c r="I4208" s="35"/>
      <c r="O4208" s="35"/>
    </row>
    <row r="4209" spans="9:15" x14ac:dyDescent="0.35">
      <c r="I4209" s="35"/>
      <c r="O4209" s="35"/>
    </row>
    <row r="4210" spans="9:15" x14ac:dyDescent="0.35">
      <c r="I4210" s="35"/>
      <c r="O4210" s="35"/>
    </row>
    <row r="4211" spans="9:15" x14ac:dyDescent="0.35">
      <c r="I4211" s="35"/>
      <c r="O4211" s="35"/>
    </row>
    <row r="4212" spans="9:15" x14ac:dyDescent="0.35">
      <c r="I4212" s="35"/>
      <c r="O4212" s="35"/>
    </row>
    <row r="4213" spans="9:15" x14ac:dyDescent="0.35">
      <c r="I4213" s="35"/>
      <c r="O4213" s="35"/>
    </row>
    <row r="4214" spans="9:15" x14ac:dyDescent="0.35">
      <c r="I4214" s="35"/>
      <c r="O4214" s="35"/>
    </row>
    <row r="4215" spans="9:15" x14ac:dyDescent="0.35">
      <c r="I4215" s="35"/>
      <c r="O4215" s="35"/>
    </row>
    <row r="4216" spans="9:15" x14ac:dyDescent="0.35">
      <c r="I4216" s="35"/>
      <c r="O4216" s="35"/>
    </row>
    <row r="4217" spans="9:15" x14ac:dyDescent="0.35">
      <c r="I4217" s="35"/>
      <c r="O4217" s="35"/>
    </row>
    <row r="4218" spans="9:15" x14ac:dyDescent="0.35">
      <c r="I4218" s="35"/>
      <c r="O4218" s="35"/>
    </row>
    <row r="4219" spans="9:15" x14ac:dyDescent="0.35">
      <c r="I4219" s="35"/>
      <c r="O4219" s="35"/>
    </row>
    <row r="4220" spans="9:15" x14ac:dyDescent="0.35">
      <c r="I4220" s="35"/>
      <c r="O4220" s="35"/>
    </row>
    <row r="4221" spans="9:15" x14ac:dyDescent="0.35">
      <c r="I4221" s="35"/>
      <c r="O4221" s="35"/>
    </row>
    <row r="4222" spans="9:15" x14ac:dyDescent="0.35">
      <c r="I4222" s="35"/>
      <c r="O4222" s="35"/>
    </row>
    <row r="4223" spans="9:15" x14ac:dyDescent="0.35">
      <c r="I4223" s="35"/>
      <c r="O4223" s="35"/>
    </row>
    <row r="4224" spans="9:15" x14ac:dyDescent="0.35">
      <c r="I4224" s="35"/>
      <c r="O4224" s="35"/>
    </row>
    <row r="4225" spans="9:15" x14ac:dyDescent="0.35">
      <c r="I4225" s="35"/>
      <c r="O4225" s="35"/>
    </row>
    <row r="4226" spans="9:15" x14ac:dyDescent="0.35">
      <c r="I4226" s="35"/>
      <c r="O4226" s="35"/>
    </row>
    <row r="4227" spans="9:15" x14ac:dyDescent="0.35">
      <c r="I4227" s="35"/>
      <c r="O4227" s="35"/>
    </row>
    <row r="4228" spans="9:15" x14ac:dyDescent="0.35">
      <c r="I4228" s="35"/>
      <c r="O4228" s="35"/>
    </row>
    <row r="4229" spans="9:15" x14ac:dyDescent="0.35">
      <c r="I4229" s="35"/>
      <c r="O4229" s="35"/>
    </row>
    <row r="4230" spans="9:15" x14ac:dyDescent="0.35">
      <c r="I4230" s="35"/>
      <c r="O4230" s="35"/>
    </row>
    <row r="4231" spans="9:15" x14ac:dyDescent="0.35">
      <c r="I4231" s="35"/>
      <c r="O4231" s="35"/>
    </row>
    <row r="4232" spans="9:15" x14ac:dyDescent="0.35">
      <c r="I4232" s="35"/>
      <c r="O4232" s="35"/>
    </row>
    <row r="4233" spans="9:15" x14ac:dyDescent="0.35">
      <c r="I4233" s="35"/>
      <c r="O4233" s="35"/>
    </row>
    <row r="4234" spans="9:15" x14ac:dyDescent="0.35">
      <c r="I4234" s="35"/>
      <c r="O4234" s="35"/>
    </row>
    <row r="4235" spans="9:15" x14ac:dyDescent="0.35">
      <c r="I4235" s="35"/>
      <c r="O4235" s="35"/>
    </row>
    <row r="4236" spans="9:15" x14ac:dyDescent="0.35">
      <c r="I4236" s="35"/>
      <c r="O4236" s="35"/>
    </row>
    <row r="4237" spans="9:15" x14ac:dyDescent="0.35">
      <c r="I4237" s="35"/>
      <c r="O4237" s="35"/>
    </row>
    <row r="4238" spans="9:15" x14ac:dyDescent="0.35">
      <c r="I4238" s="35"/>
      <c r="O4238" s="35"/>
    </row>
    <row r="4239" spans="9:15" x14ac:dyDescent="0.35">
      <c r="I4239" s="35"/>
      <c r="O4239" s="35"/>
    </row>
    <row r="4240" spans="9:15" x14ac:dyDescent="0.35">
      <c r="I4240" s="35"/>
      <c r="O4240" s="35"/>
    </row>
    <row r="4241" spans="9:15" x14ac:dyDescent="0.35">
      <c r="I4241" s="35"/>
      <c r="O4241" s="35"/>
    </row>
    <row r="4242" spans="9:15" x14ac:dyDescent="0.35">
      <c r="I4242" s="35"/>
      <c r="O4242" s="35"/>
    </row>
    <row r="4243" spans="9:15" x14ac:dyDescent="0.35">
      <c r="I4243" s="35"/>
      <c r="O4243" s="35"/>
    </row>
    <row r="4244" spans="9:15" x14ac:dyDescent="0.35">
      <c r="I4244" s="35"/>
      <c r="O4244" s="35"/>
    </row>
    <row r="4245" spans="9:15" x14ac:dyDescent="0.35">
      <c r="I4245" s="35"/>
      <c r="O4245" s="35"/>
    </row>
    <row r="4246" spans="9:15" x14ac:dyDescent="0.35">
      <c r="I4246" s="35"/>
      <c r="O4246" s="35"/>
    </row>
    <row r="4247" spans="9:15" x14ac:dyDescent="0.35">
      <c r="I4247" s="35"/>
      <c r="O4247" s="35"/>
    </row>
    <row r="4248" spans="9:15" x14ac:dyDescent="0.35">
      <c r="I4248" s="35"/>
      <c r="O4248" s="35"/>
    </row>
    <row r="4249" spans="9:15" x14ac:dyDescent="0.35">
      <c r="I4249" s="35"/>
      <c r="O4249" s="35"/>
    </row>
    <row r="4250" spans="9:15" x14ac:dyDescent="0.35">
      <c r="I4250" s="35"/>
      <c r="O4250" s="35"/>
    </row>
    <row r="4251" spans="9:15" x14ac:dyDescent="0.35">
      <c r="I4251" s="35"/>
      <c r="O4251" s="35"/>
    </row>
    <row r="4252" spans="9:15" x14ac:dyDescent="0.35">
      <c r="I4252" s="35"/>
      <c r="O4252" s="35"/>
    </row>
    <row r="4253" spans="9:15" x14ac:dyDescent="0.35">
      <c r="I4253" s="35"/>
      <c r="O4253" s="35"/>
    </row>
    <row r="4254" spans="9:15" x14ac:dyDescent="0.35">
      <c r="I4254" s="35"/>
      <c r="O4254" s="35"/>
    </row>
    <row r="4255" spans="9:15" x14ac:dyDescent="0.35">
      <c r="I4255" s="35"/>
      <c r="O4255" s="35"/>
    </row>
    <row r="4256" spans="9:15" x14ac:dyDescent="0.35">
      <c r="I4256" s="35"/>
      <c r="O4256" s="35"/>
    </row>
    <row r="4257" spans="9:15" x14ac:dyDescent="0.35">
      <c r="I4257" s="35"/>
      <c r="O4257" s="35"/>
    </row>
    <row r="4258" spans="9:15" x14ac:dyDescent="0.35">
      <c r="I4258" s="35"/>
      <c r="O4258" s="35"/>
    </row>
    <row r="4259" spans="9:15" x14ac:dyDescent="0.35">
      <c r="I4259" s="35"/>
      <c r="O4259" s="35"/>
    </row>
    <row r="4260" spans="9:15" x14ac:dyDescent="0.35">
      <c r="I4260" s="35"/>
      <c r="O4260" s="35"/>
    </row>
    <row r="4261" spans="9:15" x14ac:dyDescent="0.35">
      <c r="I4261" s="35"/>
      <c r="O4261" s="35"/>
    </row>
    <row r="4262" spans="9:15" x14ac:dyDescent="0.35">
      <c r="I4262" s="35"/>
      <c r="O4262" s="35"/>
    </row>
    <row r="4263" spans="9:15" x14ac:dyDescent="0.35">
      <c r="I4263" s="35"/>
      <c r="O4263" s="35"/>
    </row>
    <row r="4264" spans="9:15" x14ac:dyDescent="0.35">
      <c r="I4264" s="35"/>
      <c r="O4264" s="35"/>
    </row>
    <row r="4265" spans="9:15" x14ac:dyDescent="0.35">
      <c r="I4265" s="35"/>
      <c r="O4265" s="35"/>
    </row>
    <row r="4266" spans="9:15" x14ac:dyDescent="0.35">
      <c r="I4266" s="35"/>
      <c r="O4266" s="35"/>
    </row>
    <row r="4267" spans="9:15" x14ac:dyDescent="0.35">
      <c r="I4267" s="35"/>
      <c r="O4267" s="35"/>
    </row>
    <row r="4268" spans="9:15" x14ac:dyDescent="0.35">
      <c r="I4268" s="35"/>
      <c r="O4268" s="35"/>
    </row>
    <row r="4269" spans="9:15" x14ac:dyDescent="0.35">
      <c r="I4269" s="35"/>
      <c r="O4269" s="35"/>
    </row>
    <row r="4270" spans="9:15" x14ac:dyDescent="0.35">
      <c r="I4270" s="35"/>
      <c r="O4270" s="35"/>
    </row>
    <row r="4271" spans="9:15" x14ac:dyDescent="0.35">
      <c r="I4271" s="35"/>
      <c r="O4271" s="35"/>
    </row>
    <row r="4272" spans="9:15" x14ac:dyDescent="0.35">
      <c r="I4272" s="35"/>
      <c r="O4272" s="35"/>
    </row>
    <row r="4273" spans="9:15" x14ac:dyDescent="0.35">
      <c r="I4273" s="35"/>
      <c r="O4273" s="35"/>
    </row>
    <row r="4274" spans="9:15" x14ac:dyDescent="0.35">
      <c r="I4274" s="35"/>
      <c r="O4274" s="35"/>
    </row>
    <row r="4275" spans="9:15" x14ac:dyDescent="0.35">
      <c r="I4275" s="35"/>
      <c r="O4275" s="35"/>
    </row>
    <row r="4276" spans="9:15" x14ac:dyDescent="0.35">
      <c r="I4276" s="35"/>
      <c r="O4276" s="35"/>
    </row>
    <row r="4277" spans="9:15" x14ac:dyDescent="0.35">
      <c r="I4277" s="35"/>
      <c r="O4277" s="35"/>
    </row>
    <row r="4278" spans="9:15" x14ac:dyDescent="0.35">
      <c r="I4278" s="35"/>
      <c r="O4278" s="35"/>
    </row>
    <row r="4279" spans="9:15" x14ac:dyDescent="0.35">
      <c r="I4279" s="35"/>
      <c r="O4279" s="35"/>
    </row>
    <row r="4280" spans="9:15" x14ac:dyDescent="0.35">
      <c r="I4280" s="35"/>
      <c r="O4280" s="35"/>
    </row>
    <row r="4281" spans="9:15" x14ac:dyDescent="0.35">
      <c r="I4281" s="35"/>
      <c r="O4281" s="35"/>
    </row>
    <row r="4282" spans="9:15" x14ac:dyDescent="0.35">
      <c r="I4282" s="35"/>
      <c r="O4282" s="35"/>
    </row>
    <row r="4283" spans="9:15" x14ac:dyDescent="0.35">
      <c r="I4283" s="35"/>
      <c r="O4283" s="35"/>
    </row>
    <row r="4284" spans="9:15" x14ac:dyDescent="0.35">
      <c r="I4284" s="35"/>
      <c r="O4284" s="35"/>
    </row>
    <row r="4285" spans="9:15" x14ac:dyDescent="0.35">
      <c r="I4285" s="35"/>
      <c r="O4285" s="35"/>
    </row>
    <row r="4286" spans="9:15" x14ac:dyDescent="0.35">
      <c r="I4286" s="35"/>
      <c r="O4286" s="35"/>
    </row>
    <row r="4287" spans="9:15" x14ac:dyDescent="0.35">
      <c r="I4287" s="35"/>
      <c r="O4287" s="35"/>
    </row>
    <row r="4288" spans="9:15" x14ac:dyDescent="0.35">
      <c r="I4288" s="35"/>
      <c r="O4288" s="35"/>
    </row>
    <row r="4289" spans="9:15" x14ac:dyDescent="0.35">
      <c r="I4289" s="35"/>
      <c r="O4289" s="35"/>
    </row>
    <row r="4290" spans="9:15" x14ac:dyDescent="0.35">
      <c r="I4290" s="35"/>
      <c r="O4290" s="35"/>
    </row>
    <row r="4291" spans="9:15" x14ac:dyDescent="0.35">
      <c r="I4291" s="35"/>
      <c r="O4291" s="35"/>
    </row>
    <row r="4292" spans="9:15" x14ac:dyDescent="0.35">
      <c r="I4292" s="35"/>
      <c r="O4292" s="35"/>
    </row>
    <row r="4293" spans="9:15" x14ac:dyDescent="0.35">
      <c r="I4293" s="35"/>
      <c r="O4293" s="35"/>
    </row>
    <row r="4294" spans="9:15" x14ac:dyDescent="0.35">
      <c r="I4294" s="35"/>
      <c r="O4294" s="35"/>
    </row>
    <row r="4295" spans="9:15" x14ac:dyDescent="0.35">
      <c r="I4295" s="35"/>
      <c r="O4295" s="35"/>
    </row>
    <row r="4296" spans="9:15" x14ac:dyDescent="0.35">
      <c r="I4296" s="35"/>
      <c r="O4296" s="35"/>
    </row>
    <row r="4297" spans="9:15" x14ac:dyDescent="0.35">
      <c r="I4297" s="35"/>
      <c r="O4297" s="35"/>
    </row>
    <row r="4298" spans="9:15" x14ac:dyDescent="0.35">
      <c r="I4298" s="35"/>
      <c r="O4298" s="35"/>
    </row>
    <row r="4299" spans="9:15" x14ac:dyDescent="0.35">
      <c r="I4299" s="35"/>
      <c r="O4299" s="35"/>
    </row>
    <row r="4300" spans="9:15" x14ac:dyDescent="0.35">
      <c r="I4300" s="35"/>
      <c r="O4300" s="35"/>
    </row>
    <row r="4301" spans="9:15" x14ac:dyDescent="0.35">
      <c r="I4301" s="35"/>
      <c r="O4301" s="35"/>
    </row>
    <row r="4302" spans="9:15" x14ac:dyDescent="0.35">
      <c r="I4302" s="35"/>
      <c r="O4302" s="35"/>
    </row>
    <row r="4303" spans="9:15" x14ac:dyDescent="0.35">
      <c r="I4303" s="35"/>
      <c r="O4303" s="35"/>
    </row>
    <row r="4304" spans="9:15" x14ac:dyDescent="0.35">
      <c r="I4304" s="35"/>
      <c r="O4304" s="35"/>
    </row>
    <row r="4305" spans="9:15" x14ac:dyDescent="0.35">
      <c r="I4305" s="35"/>
      <c r="O4305" s="35"/>
    </row>
    <row r="4306" spans="9:15" x14ac:dyDescent="0.35">
      <c r="I4306" s="35"/>
      <c r="O4306" s="35"/>
    </row>
    <row r="4307" spans="9:15" x14ac:dyDescent="0.35">
      <c r="I4307" s="35"/>
      <c r="O4307" s="35"/>
    </row>
    <row r="4308" spans="9:15" x14ac:dyDescent="0.35">
      <c r="I4308" s="35"/>
      <c r="O4308" s="35"/>
    </row>
    <row r="4309" spans="9:15" x14ac:dyDescent="0.35">
      <c r="I4309" s="35"/>
      <c r="O4309" s="35"/>
    </row>
    <row r="4310" spans="9:15" x14ac:dyDescent="0.35">
      <c r="I4310" s="35"/>
      <c r="O4310" s="35"/>
    </row>
    <row r="4311" spans="9:15" x14ac:dyDescent="0.35">
      <c r="I4311" s="35"/>
      <c r="O4311" s="35"/>
    </row>
    <row r="4312" spans="9:15" x14ac:dyDescent="0.35">
      <c r="I4312" s="35"/>
      <c r="O4312" s="35"/>
    </row>
    <row r="4313" spans="9:15" x14ac:dyDescent="0.35">
      <c r="I4313" s="35"/>
      <c r="O4313" s="35"/>
    </row>
    <row r="4314" spans="9:15" x14ac:dyDescent="0.35">
      <c r="I4314" s="35"/>
      <c r="O4314" s="35"/>
    </row>
    <row r="4315" spans="9:15" x14ac:dyDescent="0.35">
      <c r="I4315" s="35"/>
      <c r="O4315" s="35"/>
    </row>
    <row r="4316" spans="9:15" x14ac:dyDescent="0.35">
      <c r="I4316" s="35"/>
      <c r="O4316" s="35"/>
    </row>
    <row r="4317" spans="9:15" x14ac:dyDescent="0.35">
      <c r="I4317" s="35"/>
      <c r="O4317" s="35"/>
    </row>
    <row r="4318" spans="9:15" x14ac:dyDescent="0.35">
      <c r="I4318" s="35"/>
      <c r="O4318" s="35"/>
    </row>
    <row r="4319" spans="9:15" x14ac:dyDescent="0.35">
      <c r="I4319" s="35"/>
      <c r="O4319" s="35"/>
    </row>
    <row r="4320" spans="9:15" x14ac:dyDescent="0.35">
      <c r="I4320" s="35"/>
      <c r="O4320" s="35"/>
    </row>
    <row r="4321" spans="9:15" x14ac:dyDescent="0.35">
      <c r="I4321" s="35"/>
      <c r="O4321" s="35"/>
    </row>
    <row r="4322" spans="9:15" x14ac:dyDescent="0.35">
      <c r="I4322" s="35"/>
      <c r="O4322" s="35"/>
    </row>
    <row r="4323" spans="9:15" x14ac:dyDescent="0.35">
      <c r="I4323" s="35"/>
      <c r="O4323" s="35"/>
    </row>
    <row r="4324" spans="9:15" x14ac:dyDescent="0.35">
      <c r="I4324" s="35"/>
      <c r="O4324" s="35"/>
    </row>
    <row r="4325" spans="9:15" x14ac:dyDescent="0.35">
      <c r="I4325" s="35"/>
      <c r="O4325" s="35"/>
    </row>
    <row r="4326" spans="9:15" x14ac:dyDescent="0.35">
      <c r="I4326" s="35"/>
      <c r="O4326" s="35"/>
    </row>
    <row r="4327" spans="9:15" x14ac:dyDescent="0.35">
      <c r="I4327" s="35"/>
      <c r="O4327" s="35"/>
    </row>
    <row r="4328" spans="9:15" x14ac:dyDescent="0.35">
      <c r="I4328" s="35"/>
      <c r="O4328" s="35"/>
    </row>
    <row r="4329" spans="9:15" x14ac:dyDescent="0.35">
      <c r="I4329" s="35"/>
      <c r="O4329" s="35"/>
    </row>
    <row r="4330" spans="9:15" x14ac:dyDescent="0.35">
      <c r="I4330" s="35"/>
      <c r="O4330" s="35"/>
    </row>
    <row r="4331" spans="9:15" x14ac:dyDescent="0.35">
      <c r="I4331" s="35"/>
      <c r="O4331" s="35"/>
    </row>
    <row r="4332" spans="9:15" x14ac:dyDescent="0.35">
      <c r="I4332" s="35"/>
      <c r="O4332" s="35"/>
    </row>
    <row r="4333" spans="9:15" x14ac:dyDescent="0.35">
      <c r="I4333" s="35"/>
      <c r="O4333" s="35"/>
    </row>
    <row r="4334" spans="9:15" x14ac:dyDescent="0.35">
      <c r="I4334" s="35"/>
      <c r="O4334" s="35"/>
    </row>
    <row r="4335" spans="9:15" x14ac:dyDescent="0.35">
      <c r="I4335" s="35"/>
      <c r="O4335" s="35"/>
    </row>
    <row r="4336" spans="9:15" x14ac:dyDescent="0.35">
      <c r="I4336" s="35"/>
      <c r="O4336" s="35"/>
    </row>
    <row r="4337" spans="9:15" x14ac:dyDescent="0.35">
      <c r="I4337" s="35"/>
      <c r="O4337" s="35"/>
    </row>
    <row r="4338" spans="9:15" x14ac:dyDescent="0.35">
      <c r="I4338" s="35"/>
      <c r="O4338" s="35"/>
    </row>
    <row r="4339" spans="9:15" x14ac:dyDescent="0.35">
      <c r="I4339" s="35"/>
      <c r="O4339" s="35"/>
    </row>
    <row r="4340" spans="9:15" x14ac:dyDescent="0.35">
      <c r="I4340" s="35"/>
      <c r="O4340" s="35"/>
    </row>
    <row r="4341" spans="9:15" x14ac:dyDescent="0.35">
      <c r="I4341" s="35"/>
      <c r="O4341" s="35"/>
    </row>
    <row r="4342" spans="9:15" x14ac:dyDescent="0.35">
      <c r="I4342" s="35"/>
      <c r="O4342" s="35"/>
    </row>
    <row r="4343" spans="9:15" x14ac:dyDescent="0.35">
      <c r="I4343" s="35"/>
      <c r="O4343" s="35"/>
    </row>
    <row r="4344" spans="9:15" x14ac:dyDescent="0.35">
      <c r="I4344" s="35"/>
      <c r="O4344" s="35"/>
    </row>
    <row r="4345" spans="9:15" x14ac:dyDescent="0.35">
      <c r="I4345" s="35"/>
      <c r="O4345" s="35"/>
    </row>
    <row r="4346" spans="9:15" x14ac:dyDescent="0.35">
      <c r="I4346" s="35"/>
      <c r="O4346" s="35"/>
    </row>
    <row r="4347" spans="9:15" x14ac:dyDescent="0.35">
      <c r="I4347" s="35"/>
      <c r="O4347" s="35"/>
    </row>
    <row r="4348" spans="9:15" x14ac:dyDescent="0.35">
      <c r="I4348" s="35"/>
      <c r="O4348" s="35"/>
    </row>
    <row r="4349" spans="9:15" x14ac:dyDescent="0.35">
      <c r="I4349" s="35"/>
      <c r="O4349" s="35"/>
    </row>
    <row r="4350" spans="9:15" x14ac:dyDescent="0.35">
      <c r="I4350" s="35"/>
      <c r="O4350" s="35"/>
    </row>
    <row r="4351" spans="9:15" x14ac:dyDescent="0.35">
      <c r="I4351" s="35"/>
      <c r="O4351" s="35"/>
    </row>
    <row r="4352" spans="9:15" x14ac:dyDescent="0.35">
      <c r="I4352" s="35"/>
      <c r="O4352" s="35"/>
    </row>
    <row r="4353" spans="9:15" x14ac:dyDescent="0.35">
      <c r="I4353" s="35"/>
      <c r="O4353" s="35"/>
    </row>
    <row r="4354" spans="9:15" x14ac:dyDescent="0.35">
      <c r="I4354" s="35"/>
      <c r="O4354" s="35"/>
    </row>
    <row r="4355" spans="9:15" x14ac:dyDescent="0.35">
      <c r="I4355" s="35"/>
      <c r="O4355" s="35"/>
    </row>
    <row r="4356" spans="9:15" x14ac:dyDescent="0.35">
      <c r="I4356" s="35"/>
      <c r="O4356" s="35"/>
    </row>
    <row r="4357" spans="9:15" x14ac:dyDescent="0.35">
      <c r="I4357" s="35"/>
      <c r="O4357" s="35"/>
    </row>
    <row r="4358" spans="9:15" x14ac:dyDescent="0.35">
      <c r="I4358" s="35"/>
      <c r="O4358" s="35"/>
    </row>
    <row r="4359" spans="9:15" x14ac:dyDescent="0.35">
      <c r="I4359" s="35"/>
      <c r="O4359" s="35"/>
    </row>
    <row r="4360" spans="9:15" x14ac:dyDescent="0.35">
      <c r="I4360" s="35"/>
      <c r="O4360" s="35"/>
    </row>
    <row r="4361" spans="9:15" x14ac:dyDescent="0.35">
      <c r="I4361" s="35"/>
      <c r="O4361" s="35"/>
    </row>
    <row r="4362" spans="9:15" x14ac:dyDescent="0.35">
      <c r="I4362" s="35"/>
      <c r="O4362" s="35"/>
    </row>
    <row r="4363" spans="9:15" x14ac:dyDescent="0.35">
      <c r="I4363" s="35"/>
      <c r="O4363" s="35"/>
    </row>
    <row r="4364" spans="9:15" x14ac:dyDescent="0.35">
      <c r="I4364" s="35"/>
      <c r="O4364" s="35"/>
    </row>
    <row r="4365" spans="9:15" x14ac:dyDescent="0.35">
      <c r="I4365" s="35"/>
      <c r="O4365" s="35"/>
    </row>
    <row r="4366" spans="9:15" x14ac:dyDescent="0.35">
      <c r="I4366" s="35"/>
      <c r="O4366" s="35"/>
    </row>
    <row r="4367" spans="9:15" x14ac:dyDescent="0.35">
      <c r="I4367" s="35"/>
      <c r="O4367" s="35"/>
    </row>
    <row r="4368" spans="9:15" x14ac:dyDescent="0.35">
      <c r="I4368" s="35"/>
      <c r="O4368" s="35"/>
    </row>
    <row r="4369" spans="9:15" x14ac:dyDescent="0.35">
      <c r="I4369" s="35"/>
      <c r="O4369" s="35"/>
    </row>
    <row r="4370" spans="9:15" x14ac:dyDescent="0.35">
      <c r="I4370" s="35"/>
      <c r="O4370" s="35"/>
    </row>
    <row r="4371" spans="9:15" x14ac:dyDescent="0.35">
      <c r="I4371" s="35"/>
      <c r="O4371" s="35"/>
    </row>
    <row r="4372" spans="9:15" x14ac:dyDescent="0.35">
      <c r="I4372" s="35"/>
      <c r="O4372" s="35"/>
    </row>
    <row r="4373" spans="9:15" x14ac:dyDescent="0.35">
      <c r="I4373" s="35"/>
      <c r="O4373" s="35"/>
    </row>
    <row r="4374" spans="9:15" x14ac:dyDescent="0.35">
      <c r="I4374" s="35"/>
      <c r="O4374" s="35"/>
    </row>
    <row r="4375" spans="9:15" x14ac:dyDescent="0.35">
      <c r="I4375" s="35"/>
      <c r="O4375" s="35"/>
    </row>
    <row r="4376" spans="9:15" x14ac:dyDescent="0.35">
      <c r="I4376" s="35"/>
      <c r="O4376" s="35"/>
    </row>
    <row r="4377" spans="9:15" x14ac:dyDescent="0.35">
      <c r="I4377" s="35"/>
      <c r="O4377" s="35"/>
    </row>
    <row r="4378" spans="9:15" x14ac:dyDescent="0.35">
      <c r="I4378" s="35"/>
      <c r="O4378" s="35"/>
    </row>
    <row r="4379" spans="9:15" x14ac:dyDescent="0.35">
      <c r="I4379" s="35"/>
      <c r="O4379" s="35"/>
    </row>
    <row r="4380" spans="9:15" x14ac:dyDescent="0.35">
      <c r="I4380" s="35"/>
      <c r="O4380" s="35"/>
    </row>
    <row r="4381" spans="9:15" x14ac:dyDescent="0.35">
      <c r="I4381" s="35"/>
      <c r="O4381" s="35"/>
    </row>
    <row r="4382" spans="9:15" x14ac:dyDescent="0.35">
      <c r="I4382" s="35"/>
      <c r="O4382" s="35"/>
    </row>
    <row r="4383" spans="9:15" x14ac:dyDescent="0.35">
      <c r="I4383" s="35"/>
      <c r="O4383" s="35"/>
    </row>
    <row r="4384" spans="9:15" x14ac:dyDescent="0.35">
      <c r="I4384" s="35"/>
      <c r="O4384" s="35"/>
    </row>
    <row r="4385" spans="9:15" x14ac:dyDescent="0.35">
      <c r="I4385" s="35"/>
      <c r="O4385" s="35"/>
    </row>
    <row r="4386" spans="9:15" x14ac:dyDescent="0.35">
      <c r="I4386" s="35"/>
      <c r="O4386" s="35"/>
    </row>
    <row r="4387" spans="9:15" x14ac:dyDescent="0.35">
      <c r="I4387" s="35"/>
      <c r="O4387" s="35"/>
    </row>
    <row r="4388" spans="9:15" x14ac:dyDescent="0.35">
      <c r="I4388" s="35"/>
      <c r="O4388" s="35"/>
    </row>
    <row r="4389" spans="9:15" x14ac:dyDescent="0.35">
      <c r="I4389" s="35"/>
      <c r="O4389" s="35"/>
    </row>
    <row r="4390" spans="9:15" x14ac:dyDescent="0.35">
      <c r="I4390" s="35"/>
      <c r="O4390" s="35"/>
    </row>
    <row r="4391" spans="9:15" x14ac:dyDescent="0.35">
      <c r="I4391" s="35"/>
      <c r="O4391" s="35"/>
    </row>
    <row r="4392" spans="9:15" x14ac:dyDescent="0.35">
      <c r="I4392" s="35"/>
      <c r="O4392" s="35"/>
    </row>
    <row r="4393" spans="9:15" x14ac:dyDescent="0.35">
      <c r="I4393" s="35"/>
      <c r="O4393" s="35"/>
    </row>
    <row r="4394" spans="9:15" x14ac:dyDescent="0.35">
      <c r="I4394" s="35"/>
      <c r="O4394" s="35"/>
    </row>
    <row r="4395" spans="9:15" x14ac:dyDescent="0.35">
      <c r="I4395" s="35"/>
      <c r="O4395" s="35"/>
    </row>
    <row r="4396" spans="9:15" x14ac:dyDescent="0.35">
      <c r="I4396" s="35"/>
      <c r="O4396" s="35"/>
    </row>
    <row r="4397" spans="9:15" x14ac:dyDescent="0.35">
      <c r="I4397" s="35"/>
      <c r="O4397" s="35"/>
    </row>
    <row r="4398" spans="9:15" x14ac:dyDescent="0.35">
      <c r="I4398" s="35"/>
      <c r="O4398" s="35"/>
    </row>
    <row r="4399" spans="9:15" x14ac:dyDescent="0.35">
      <c r="I4399" s="35"/>
      <c r="O4399" s="35"/>
    </row>
    <row r="4400" spans="9:15" x14ac:dyDescent="0.35">
      <c r="I4400" s="35"/>
      <c r="O4400" s="35"/>
    </row>
    <row r="4401" spans="9:15" x14ac:dyDescent="0.35">
      <c r="I4401" s="35"/>
      <c r="O4401" s="35"/>
    </row>
    <row r="4402" spans="9:15" x14ac:dyDescent="0.35">
      <c r="I4402" s="35"/>
      <c r="O4402" s="35"/>
    </row>
    <row r="4403" spans="9:15" x14ac:dyDescent="0.35">
      <c r="I4403" s="35"/>
      <c r="O4403" s="35"/>
    </row>
    <row r="4404" spans="9:15" x14ac:dyDescent="0.35">
      <c r="I4404" s="35"/>
      <c r="O4404" s="35"/>
    </row>
    <row r="4405" spans="9:15" x14ac:dyDescent="0.35">
      <c r="I4405" s="35"/>
      <c r="O4405" s="35"/>
    </row>
    <row r="4406" spans="9:15" x14ac:dyDescent="0.35">
      <c r="I4406" s="35"/>
      <c r="O4406" s="35"/>
    </row>
    <row r="4407" spans="9:15" x14ac:dyDescent="0.35">
      <c r="I4407" s="35"/>
      <c r="O4407" s="35"/>
    </row>
    <row r="4408" spans="9:15" x14ac:dyDescent="0.35">
      <c r="I4408" s="35"/>
      <c r="O4408" s="35"/>
    </row>
    <row r="4409" spans="9:15" x14ac:dyDescent="0.35">
      <c r="I4409" s="35"/>
      <c r="O4409" s="35"/>
    </row>
    <row r="4410" spans="9:15" x14ac:dyDescent="0.35">
      <c r="I4410" s="35"/>
      <c r="O4410" s="35"/>
    </row>
    <row r="4411" spans="9:15" x14ac:dyDescent="0.35">
      <c r="I4411" s="35"/>
      <c r="O4411" s="35"/>
    </row>
    <row r="4412" spans="9:15" x14ac:dyDescent="0.35">
      <c r="I4412" s="35"/>
      <c r="O4412" s="35"/>
    </row>
    <row r="4413" spans="9:15" x14ac:dyDescent="0.35">
      <c r="I4413" s="35"/>
      <c r="O4413" s="35"/>
    </row>
    <row r="4414" spans="9:15" x14ac:dyDescent="0.35">
      <c r="I4414" s="35"/>
      <c r="O4414" s="35"/>
    </row>
    <row r="4415" spans="9:15" x14ac:dyDescent="0.35">
      <c r="I4415" s="35"/>
      <c r="O4415" s="35"/>
    </row>
    <row r="4416" spans="9:15" x14ac:dyDescent="0.35">
      <c r="I4416" s="35"/>
      <c r="O4416" s="35"/>
    </row>
    <row r="4417" spans="9:15" x14ac:dyDescent="0.35">
      <c r="I4417" s="35"/>
      <c r="O4417" s="35"/>
    </row>
    <row r="4418" spans="9:15" x14ac:dyDescent="0.35">
      <c r="I4418" s="35"/>
      <c r="O4418" s="35"/>
    </row>
    <row r="4419" spans="9:15" x14ac:dyDescent="0.35">
      <c r="I4419" s="35"/>
      <c r="O4419" s="35"/>
    </row>
    <row r="4420" spans="9:15" x14ac:dyDescent="0.35">
      <c r="I4420" s="35"/>
      <c r="O4420" s="35"/>
    </row>
    <row r="4421" spans="9:15" x14ac:dyDescent="0.35">
      <c r="I4421" s="35"/>
      <c r="O4421" s="35"/>
    </row>
    <row r="4422" spans="9:15" x14ac:dyDescent="0.35">
      <c r="I4422" s="35"/>
      <c r="O4422" s="35"/>
    </row>
    <row r="4423" spans="9:15" x14ac:dyDescent="0.35">
      <c r="I4423" s="35"/>
      <c r="O4423" s="35"/>
    </row>
    <row r="4424" spans="9:15" x14ac:dyDescent="0.35">
      <c r="I4424" s="35"/>
      <c r="O4424" s="35"/>
    </row>
    <row r="4425" spans="9:15" x14ac:dyDescent="0.35">
      <c r="I4425" s="35"/>
      <c r="O4425" s="35"/>
    </row>
    <row r="4426" spans="9:15" x14ac:dyDescent="0.35">
      <c r="I4426" s="35"/>
      <c r="O4426" s="35"/>
    </row>
    <row r="4427" spans="9:15" x14ac:dyDescent="0.35">
      <c r="I4427" s="35"/>
      <c r="O4427" s="35"/>
    </row>
    <row r="4428" spans="9:15" x14ac:dyDescent="0.35">
      <c r="I4428" s="35"/>
      <c r="O4428" s="35"/>
    </row>
    <row r="4429" spans="9:15" x14ac:dyDescent="0.35">
      <c r="I4429" s="35"/>
      <c r="O4429" s="35"/>
    </row>
    <row r="4430" spans="9:15" x14ac:dyDescent="0.35">
      <c r="I4430" s="35"/>
      <c r="O4430" s="35"/>
    </row>
    <row r="4431" spans="9:15" x14ac:dyDescent="0.35">
      <c r="I4431" s="35"/>
      <c r="O4431" s="35"/>
    </row>
    <row r="4432" spans="9:15" x14ac:dyDescent="0.35">
      <c r="I4432" s="35"/>
      <c r="O4432" s="35"/>
    </row>
    <row r="4433" spans="9:15" x14ac:dyDescent="0.35">
      <c r="I4433" s="35"/>
      <c r="O4433" s="35"/>
    </row>
    <row r="4434" spans="9:15" x14ac:dyDescent="0.35">
      <c r="I4434" s="35"/>
      <c r="O4434" s="35"/>
    </row>
    <row r="4435" spans="9:15" x14ac:dyDescent="0.35">
      <c r="I4435" s="35"/>
      <c r="O4435" s="35"/>
    </row>
    <row r="4436" spans="9:15" x14ac:dyDescent="0.35">
      <c r="I4436" s="35"/>
      <c r="O4436" s="35"/>
    </row>
    <row r="4437" spans="9:15" x14ac:dyDescent="0.35">
      <c r="I4437" s="35"/>
      <c r="O4437" s="35"/>
    </row>
    <row r="4438" spans="9:15" x14ac:dyDescent="0.35">
      <c r="I4438" s="35"/>
      <c r="O4438" s="35"/>
    </row>
    <row r="4439" spans="9:15" x14ac:dyDescent="0.35">
      <c r="I4439" s="35"/>
      <c r="O4439" s="35"/>
    </row>
    <row r="4440" spans="9:15" x14ac:dyDescent="0.35">
      <c r="I4440" s="35"/>
      <c r="O4440" s="35"/>
    </row>
    <row r="4441" spans="9:15" x14ac:dyDescent="0.35">
      <c r="I4441" s="35"/>
      <c r="O4441" s="35"/>
    </row>
    <row r="4442" spans="9:15" x14ac:dyDescent="0.35">
      <c r="I4442" s="35"/>
      <c r="O4442" s="35"/>
    </row>
    <row r="4443" spans="9:15" x14ac:dyDescent="0.35">
      <c r="I4443" s="35"/>
      <c r="O4443" s="35"/>
    </row>
    <row r="4444" spans="9:15" x14ac:dyDescent="0.35">
      <c r="I4444" s="35"/>
      <c r="O4444" s="35"/>
    </row>
    <row r="4445" spans="9:15" x14ac:dyDescent="0.35">
      <c r="I4445" s="35"/>
      <c r="O4445" s="35"/>
    </row>
    <row r="4446" spans="9:15" x14ac:dyDescent="0.35">
      <c r="I4446" s="35"/>
      <c r="O4446" s="35"/>
    </row>
    <row r="4447" spans="9:15" x14ac:dyDescent="0.35">
      <c r="I4447" s="35"/>
      <c r="O4447" s="35"/>
    </row>
    <row r="4448" spans="9:15" x14ac:dyDescent="0.35">
      <c r="I4448" s="35"/>
      <c r="O4448" s="35"/>
    </row>
    <row r="4449" spans="9:15" x14ac:dyDescent="0.35">
      <c r="I4449" s="35"/>
      <c r="O4449" s="35"/>
    </row>
    <row r="4450" spans="9:15" x14ac:dyDescent="0.35">
      <c r="I4450" s="35"/>
      <c r="O4450" s="35"/>
    </row>
    <row r="4451" spans="9:15" x14ac:dyDescent="0.35">
      <c r="I4451" s="35"/>
      <c r="O4451" s="35"/>
    </row>
    <row r="4452" spans="9:15" x14ac:dyDescent="0.35">
      <c r="I4452" s="35"/>
      <c r="O4452" s="35"/>
    </row>
    <row r="4453" spans="9:15" x14ac:dyDescent="0.35">
      <c r="I4453" s="35"/>
      <c r="O4453" s="35"/>
    </row>
    <row r="4454" spans="9:15" x14ac:dyDescent="0.35">
      <c r="I4454" s="35"/>
      <c r="O4454" s="35"/>
    </row>
    <row r="4455" spans="9:15" x14ac:dyDescent="0.35">
      <c r="I4455" s="35"/>
      <c r="O4455" s="35"/>
    </row>
    <row r="4456" spans="9:15" x14ac:dyDescent="0.35">
      <c r="I4456" s="35"/>
      <c r="O4456" s="35"/>
    </row>
    <row r="4457" spans="9:15" x14ac:dyDescent="0.35">
      <c r="I4457" s="35"/>
      <c r="O4457" s="35"/>
    </row>
    <row r="4458" spans="9:15" x14ac:dyDescent="0.35">
      <c r="I4458" s="35"/>
      <c r="O4458" s="35"/>
    </row>
    <row r="4459" spans="9:15" x14ac:dyDescent="0.35">
      <c r="I4459" s="35"/>
      <c r="O4459" s="35"/>
    </row>
    <row r="4460" spans="9:15" x14ac:dyDescent="0.35">
      <c r="I4460" s="35"/>
      <c r="O4460" s="35"/>
    </row>
    <row r="4461" spans="9:15" x14ac:dyDescent="0.35">
      <c r="I4461" s="35"/>
      <c r="O4461" s="35"/>
    </row>
    <row r="4462" spans="9:15" x14ac:dyDescent="0.35">
      <c r="I4462" s="35"/>
      <c r="O4462" s="35"/>
    </row>
    <row r="4463" spans="9:15" x14ac:dyDescent="0.35">
      <c r="I4463" s="35"/>
      <c r="O4463" s="35"/>
    </row>
    <row r="4464" spans="9:15" x14ac:dyDescent="0.35">
      <c r="I4464" s="35"/>
      <c r="O4464" s="35"/>
    </row>
    <row r="4465" spans="9:15" x14ac:dyDescent="0.35">
      <c r="I4465" s="35"/>
      <c r="O4465" s="35"/>
    </row>
    <row r="4466" spans="9:15" x14ac:dyDescent="0.35">
      <c r="I4466" s="35"/>
      <c r="O4466" s="35"/>
    </row>
    <row r="4467" spans="9:15" x14ac:dyDescent="0.35">
      <c r="I4467" s="35"/>
      <c r="O4467" s="35"/>
    </row>
    <row r="4468" spans="9:15" x14ac:dyDescent="0.35">
      <c r="I4468" s="35"/>
      <c r="O4468" s="35"/>
    </row>
    <row r="4469" spans="9:15" x14ac:dyDescent="0.35">
      <c r="I4469" s="35"/>
      <c r="O4469" s="35"/>
    </row>
    <row r="4470" spans="9:15" x14ac:dyDescent="0.35">
      <c r="I4470" s="35"/>
      <c r="O4470" s="35"/>
    </row>
    <row r="4471" spans="9:15" x14ac:dyDescent="0.35">
      <c r="I4471" s="35"/>
      <c r="O4471" s="35"/>
    </row>
    <row r="4472" spans="9:15" x14ac:dyDescent="0.35">
      <c r="I4472" s="35"/>
      <c r="O4472" s="35"/>
    </row>
    <row r="4473" spans="9:15" x14ac:dyDescent="0.35">
      <c r="I4473" s="35"/>
      <c r="O4473" s="35"/>
    </row>
    <row r="4474" spans="9:15" x14ac:dyDescent="0.35">
      <c r="I4474" s="35"/>
      <c r="O4474" s="35"/>
    </row>
    <row r="4475" spans="9:15" x14ac:dyDescent="0.35">
      <c r="I4475" s="35"/>
      <c r="O4475" s="35"/>
    </row>
    <row r="4476" spans="9:15" x14ac:dyDescent="0.35">
      <c r="I4476" s="35"/>
      <c r="O4476" s="35"/>
    </row>
    <row r="4477" spans="9:15" x14ac:dyDescent="0.35">
      <c r="I4477" s="35"/>
      <c r="O4477" s="35"/>
    </row>
    <row r="4478" spans="9:15" x14ac:dyDescent="0.35">
      <c r="I4478" s="35"/>
      <c r="O4478" s="35"/>
    </row>
    <row r="4479" spans="9:15" x14ac:dyDescent="0.35">
      <c r="I4479" s="35"/>
      <c r="O4479" s="35"/>
    </row>
    <row r="4480" spans="9:15" x14ac:dyDescent="0.35">
      <c r="I4480" s="35"/>
      <c r="O4480" s="35"/>
    </row>
    <row r="4481" spans="9:15" x14ac:dyDescent="0.35">
      <c r="I4481" s="35"/>
      <c r="O4481" s="35"/>
    </row>
    <row r="4482" spans="9:15" x14ac:dyDescent="0.35">
      <c r="I4482" s="35"/>
      <c r="O4482" s="35"/>
    </row>
    <row r="4483" spans="9:15" x14ac:dyDescent="0.35">
      <c r="I4483" s="35"/>
      <c r="O4483" s="35"/>
    </row>
    <row r="4484" spans="9:15" x14ac:dyDescent="0.35">
      <c r="I4484" s="35"/>
      <c r="O4484" s="35"/>
    </row>
    <row r="4485" spans="9:15" x14ac:dyDescent="0.35">
      <c r="I4485" s="35"/>
      <c r="O4485" s="35"/>
    </row>
    <row r="4486" spans="9:15" x14ac:dyDescent="0.35">
      <c r="I4486" s="35"/>
      <c r="O4486" s="35"/>
    </row>
    <row r="4487" spans="9:15" x14ac:dyDescent="0.35">
      <c r="I4487" s="35"/>
      <c r="O4487" s="35"/>
    </row>
    <row r="4488" spans="9:15" x14ac:dyDescent="0.35">
      <c r="I4488" s="35"/>
      <c r="O4488" s="35"/>
    </row>
    <row r="4489" spans="9:15" x14ac:dyDescent="0.35">
      <c r="I4489" s="35"/>
      <c r="O4489" s="35"/>
    </row>
    <row r="4490" spans="9:15" x14ac:dyDescent="0.35">
      <c r="I4490" s="35"/>
      <c r="O4490" s="35"/>
    </row>
    <row r="4491" spans="9:15" x14ac:dyDescent="0.35">
      <c r="I4491" s="35"/>
      <c r="O4491" s="35"/>
    </row>
    <row r="4492" spans="9:15" x14ac:dyDescent="0.35">
      <c r="I4492" s="35"/>
      <c r="O4492" s="35"/>
    </row>
    <row r="4493" spans="9:15" x14ac:dyDescent="0.35">
      <c r="I4493" s="35"/>
      <c r="O4493" s="35"/>
    </row>
    <row r="4494" spans="9:15" x14ac:dyDescent="0.35">
      <c r="I4494" s="35"/>
      <c r="O4494" s="35"/>
    </row>
    <row r="4495" spans="9:15" x14ac:dyDescent="0.35">
      <c r="I4495" s="35"/>
      <c r="O4495" s="35"/>
    </row>
    <row r="4496" spans="9:15" x14ac:dyDescent="0.35">
      <c r="I4496" s="35"/>
      <c r="O4496" s="35"/>
    </row>
    <row r="4497" spans="9:15" x14ac:dyDescent="0.35">
      <c r="I4497" s="35"/>
      <c r="O4497" s="35"/>
    </row>
    <row r="4498" spans="9:15" x14ac:dyDescent="0.35">
      <c r="I4498" s="35"/>
      <c r="O4498" s="35"/>
    </row>
    <row r="4499" spans="9:15" x14ac:dyDescent="0.35">
      <c r="I4499" s="35"/>
      <c r="O4499" s="35"/>
    </row>
    <row r="4500" spans="9:15" x14ac:dyDescent="0.35">
      <c r="I4500" s="35"/>
      <c r="O4500" s="35"/>
    </row>
    <row r="4501" spans="9:15" x14ac:dyDescent="0.35">
      <c r="I4501" s="35"/>
      <c r="O4501" s="35"/>
    </row>
    <row r="4502" spans="9:15" x14ac:dyDescent="0.35">
      <c r="I4502" s="35"/>
      <c r="O4502" s="35"/>
    </row>
    <row r="4503" spans="9:15" x14ac:dyDescent="0.35">
      <c r="I4503" s="35"/>
      <c r="O4503" s="35"/>
    </row>
    <row r="4504" spans="9:15" x14ac:dyDescent="0.35">
      <c r="I4504" s="35"/>
      <c r="O4504" s="35"/>
    </row>
    <row r="4505" spans="9:15" x14ac:dyDescent="0.35">
      <c r="I4505" s="35"/>
      <c r="O4505" s="35"/>
    </row>
    <row r="4506" spans="9:15" x14ac:dyDescent="0.35">
      <c r="I4506" s="35"/>
      <c r="O4506" s="35"/>
    </row>
    <row r="4507" spans="9:15" x14ac:dyDescent="0.35">
      <c r="I4507" s="35"/>
      <c r="O4507" s="35"/>
    </row>
    <row r="4508" spans="9:15" x14ac:dyDescent="0.35">
      <c r="I4508" s="35"/>
      <c r="O4508" s="35"/>
    </row>
    <row r="4509" spans="9:15" x14ac:dyDescent="0.35">
      <c r="I4509" s="35"/>
      <c r="O4509" s="35"/>
    </row>
    <row r="4510" spans="9:15" x14ac:dyDescent="0.35">
      <c r="I4510" s="35"/>
      <c r="O4510" s="35"/>
    </row>
    <row r="4511" spans="9:15" x14ac:dyDescent="0.35">
      <c r="I4511" s="35"/>
      <c r="O4511" s="35"/>
    </row>
    <row r="4512" spans="9:15" x14ac:dyDescent="0.35">
      <c r="I4512" s="35"/>
      <c r="O4512" s="35"/>
    </row>
    <row r="4513" spans="9:15" x14ac:dyDescent="0.35">
      <c r="I4513" s="35"/>
      <c r="O4513" s="35"/>
    </row>
    <row r="4514" spans="9:15" x14ac:dyDescent="0.35">
      <c r="I4514" s="35"/>
      <c r="O4514" s="35"/>
    </row>
    <row r="4515" spans="9:15" x14ac:dyDescent="0.35">
      <c r="I4515" s="35"/>
      <c r="O4515" s="35"/>
    </row>
    <row r="4516" spans="9:15" x14ac:dyDescent="0.35">
      <c r="I4516" s="35"/>
      <c r="O4516" s="35"/>
    </row>
    <row r="4517" spans="9:15" x14ac:dyDescent="0.35">
      <c r="I4517" s="35"/>
      <c r="O4517" s="35"/>
    </row>
    <row r="4518" spans="9:15" x14ac:dyDescent="0.35">
      <c r="I4518" s="35"/>
      <c r="O4518" s="35"/>
    </row>
    <row r="4519" spans="9:15" x14ac:dyDescent="0.35">
      <c r="I4519" s="35"/>
      <c r="O4519" s="35"/>
    </row>
    <row r="4520" spans="9:15" x14ac:dyDescent="0.35">
      <c r="I4520" s="35"/>
      <c r="O4520" s="35"/>
    </row>
    <row r="4521" spans="9:15" x14ac:dyDescent="0.35">
      <c r="I4521" s="35"/>
      <c r="O4521" s="35"/>
    </row>
    <row r="4522" spans="9:15" x14ac:dyDescent="0.35">
      <c r="I4522" s="35"/>
      <c r="O4522" s="35"/>
    </row>
    <row r="4523" spans="9:15" x14ac:dyDescent="0.35">
      <c r="I4523" s="35"/>
      <c r="O4523" s="35"/>
    </row>
    <row r="4524" spans="9:15" x14ac:dyDescent="0.35">
      <c r="I4524" s="35"/>
      <c r="O4524" s="35"/>
    </row>
    <row r="4525" spans="9:15" x14ac:dyDescent="0.35">
      <c r="I4525" s="35"/>
      <c r="O4525" s="35"/>
    </row>
    <row r="4526" spans="9:15" x14ac:dyDescent="0.35">
      <c r="I4526" s="35"/>
      <c r="O4526" s="35"/>
    </row>
    <row r="4527" spans="9:15" x14ac:dyDescent="0.35">
      <c r="I4527" s="35"/>
      <c r="O4527" s="35"/>
    </row>
    <row r="4528" spans="9:15" x14ac:dyDescent="0.35">
      <c r="I4528" s="35"/>
      <c r="O4528" s="35"/>
    </row>
    <row r="4529" spans="9:15" x14ac:dyDescent="0.35">
      <c r="I4529" s="35"/>
      <c r="O4529" s="35"/>
    </row>
    <row r="4530" spans="9:15" x14ac:dyDescent="0.35">
      <c r="I4530" s="35"/>
      <c r="O4530" s="35"/>
    </row>
    <row r="4531" spans="9:15" x14ac:dyDescent="0.35">
      <c r="I4531" s="35"/>
      <c r="O4531" s="35"/>
    </row>
    <row r="4532" spans="9:15" x14ac:dyDescent="0.35">
      <c r="I4532" s="35"/>
      <c r="O4532" s="35"/>
    </row>
    <row r="4533" spans="9:15" x14ac:dyDescent="0.35">
      <c r="I4533" s="35"/>
      <c r="O4533" s="35"/>
    </row>
    <row r="4534" spans="9:15" x14ac:dyDescent="0.35">
      <c r="I4534" s="35"/>
      <c r="O4534" s="35"/>
    </row>
    <row r="4535" spans="9:15" x14ac:dyDescent="0.35">
      <c r="I4535" s="35"/>
      <c r="O4535" s="35"/>
    </row>
    <row r="4536" spans="9:15" x14ac:dyDescent="0.35">
      <c r="I4536" s="35"/>
      <c r="O4536" s="35"/>
    </row>
    <row r="4537" spans="9:15" x14ac:dyDescent="0.35">
      <c r="I4537" s="35"/>
      <c r="O4537" s="35"/>
    </row>
    <row r="4538" spans="9:15" x14ac:dyDescent="0.35">
      <c r="I4538" s="35"/>
      <c r="O4538" s="35"/>
    </row>
    <row r="4539" spans="9:15" x14ac:dyDescent="0.35">
      <c r="I4539" s="35"/>
      <c r="O4539" s="35"/>
    </row>
    <row r="4540" spans="9:15" x14ac:dyDescent="0.35">
      <c r="I4540" s="35"/>
      <c r="O4540" s="35"/>
    </row>
    <row r="4541" spans="9:15" x14ac:dyDescent="0.35">
      <c r="I4541" s="35"/>
      <c r="O4541" s="35"/>
    </row>
    <row r="4542" spans="9:15" x14ac:dyDescent="0.35">
      <c r="I4542" s="35"/>
      <c r="O4542" s="35"/>
    </row>
    <row r="4543" spans="9:15" x14ac:dyDescent="0.35">
      <c r="I4543" s="35"/>
      <c r="O4543" s="35"/>
    </row>
    <row r="4544" spans="9:15" x14ac:dyDescent="0.35">
      <c r="I4544" s="35"/>
      <c r="O4544" s="35"/>
    </row>
    <row r="4545" spans="9:15" x14ac:dyDescent="0.35">
      <c r="I4545" s="35"/>
      <c r="O4545" s="35"/>
    </row>
    <row r="4546" spans="9:15" x14ac:dyDescent="0.35">
      <c r="I4546" s="35"/>
      <c r="O4546" s="35"/>
    </row>
    <row r="4547" spans="9:15" x14ac:dyDescent="0.35">
      <c r="I4547" s="35"/>
      <c r="O4547" s="35"/>
    </row>
    <row r="4548" spans="9:15" x14ac:dyDescent="0.35">
      <c r="I4548" s="35"/>
      <c r="O4548" s="35"/>
    </row>
    <row r="4549" spans="9:15" x14ac:dyDescent="0.35">
      <c r="I4549" s="35"/>
      <c r="O4549" s="35"/>
    </row>
    <row r="4550" spans="9:15" x14ac:dyDescent="0.35">
      <c r="I4550" s="35"/>
      <c r="O4550" s="35"/>
    </row>
    <row r="4551" spans="9:15" x14ac:dyDescent="0.35">
      <c r="I4551" s="35"/>
      <c r="O4551" s="35"/>
    </row>
    <row r="4552" spans="9:15" x14ac:dyDescent="0.35">
      <c r="I4552" s="35"/>
      <c r="O4552" s="35"/>
    </row>
    <row r="4553" spans="9:15" x14ac:dyDescent="0.35">
      <c r="I4553" s="35"/>
      <c r="O4553" s="35"/>
    </row>
    <row r="4554" spans="9:15" x14ac:dyDescent="0.35">
      <c r="I4554" s="35"/>
      <c r="O4554" s="35"/>
    </row>
    <row r="4555" spans="9:15" x14ac:dyDescent="0.35">
      <c r="I4555" s="35"/>
      <c r="O4555" s="35"/>
    </row>
    <row r="4556" spans="9:15" x14ac:dyDescent="0.35">
      <c r="I4556" s="35"/>
      <c r="O4556" s="35"/>
    </row>
    <row r="4557" spans="9:15" x14ac:dyDescent="0.35">
      <c r="I4557" s="35"/>
      <c r="O4557" s="35"/>
    </row>
    <row r="4558" spans="9:15" x14ac:dyDescent="0.35">
      <c r="I4558" s="35"/>
      <c r="O4558" s="35"/>
    </row>
    <row r="4559" spans="9:15" x14ac:dyDescent="0.35">
      <c r="I4559" s="35"/>
      <c r="O4559" s="35"/>
    </row>
    <row r="4560" spans="9:15" x14ac:dyDescent="0.35">
      <c r="I4560" s="35"/>
      <c r="O4560" s="35"/>
    </row>
    <row r="4561" spans="9:15" x14ac:dyDescent="0.35">
      <c r="I4561" s="35"/>
      <c r="O4561" s="35"/>
    </row>
    <row r="4562" spans="9:15" x14ac:dyDescent="0.35">
      <c r="I4562" s="35"/>
      <c r="O4562" s="35"/>
    </row>
    <row r="4563" spans="9:15" x14ac:dyDescent="0.35">
      <c r="I4563" s="35"/>
      <c r="O4563" s="35"/>
    </row>
    <row r="4564" spans="9:15" x14ac:dyDescent="0.35">
      <c r="I4564" s="35"/>
      <c r="O4564" s="35"/>
    </row>
    <row r="4565" spans="9:15" x14ac:dyDescent="0.35">
      <c r="I4565" s="35"/>
      <c r="O4565" s="35"/>
    </row>
    <row r="4566" spans="9:15" x14ac:dyDescent="0.35">
      <c r="I4566" s="35"/>
      <c r="O4566" s="35"/>
    </row>
    <row r="4567" spans="9:15" x14ac:dyDescent="0.35">
      <c r="I4567" s="35"/>
      <c r="O4567" s="35"/>
    </row>
    <row r="4568" spans="9:15" x14ac:dyDescent="0.35">
      <c r="I4568" s="35"/>
      <c r="O4568" s="35"/>
    </row>
    <row r="4569" spans="9:15" x14ac:dyDescent="0.35">
      <c r="I4569" s="35"/>
      <c r="O4569" s="35"/>
    </row>
    <row r="4570" spans="9:15" x14ac:dyDescent="0.35">
      <c r="I4570" s="35"/>
      <c r="O4570" s="35"/>
    </row>
    <row r="4571" spans="9:15" x14ac:dyDescent="0.35">
      <c r="I4571" s="35"/>
      <c r="O4571" s="35"/>
    </row>
    <row r="4572" spans="9:15" x14ac:dyDescent="0.35">
      <c r="I4572" s="35"/>
      <c r="O4572" s="35"/>
    </row>
    <row r="4573" spans="9:15" x14ac:dyDescent="0.35">
      <c r="I4573" s="35"/>
      <c r="O4573" s="35"/>
    </row>
    <row r="4574" spans="9:15" x14ac:dyDescent="0.35">
      <c r="I4574" s="35"/>
      <c r="O4574" s="35"/>
    </row>
    <row r="4575" spans="9:15" x14ac:dyDescent="0.35">
      <c r="I4575" s="35"/>
      <c r="O4575" s="35"/>
    </row>
    <row r="4576" spans="9:15" x14ac:dyDescent="0.35">
      <c r="I4576" s="35"/>
      <c r="O4576" s="35"/>
    </row>
    <row r="4577" spans="9:15" x14ac:dyDescent="0.35">
      <c r="I4577" s="35"/>
      <c r="O4577" s="35"/>
    </row>
    <row r="4578" spans="9:15" x14ac:dyDescent="0.35">
      <c r="I4578" s="35"/>
      <c r="O4578" s="35"/>
    </row>
    <row r="4579" spans="9:15" x14ac:dyDescent="0.35">
      <c r="I4579" s="35"/>
      <c r="O4579" s="35"/>
    </row>
    <row r="4580" spans="9:15" x14ac:dyDescent="0.35">
      <c r="I4580" s="35"/>
      <c r="O4580" s="35"/>
    </row>
    <row r="4581" spans="9:15" x14ac:dyDescent="0.35">
      <c r="I4581" s="35"/>
      <c r="O4581" s="35"/>
    </row>
    <row r="4582" spans="9:15" x14ac:dyDescent="0.35">
      <c r="I4582" s="35"/>
      <c r="O4582" s="35"/>
    </row>
    <row r="4583" spans="9:15" x14ac:dyDescent="0.35">
      <c r="I4583" s="35"/>
      <c r="O4583" s="35"/>
    </row>
    <row r="4584" spans="9:15" x14ac:dyDescent="0.35">
      <c r="I4584" s="35"/>
      <c r="O4584" s="35"/>
    </row>
    <row r="4585" spans="9:15" x14ac:dyDescent="0.35">
      <c r="I4585" s="35"/>
      <c r="O4585" s="35"/>
    </row>
    <row r="4586" spans="9:15" x14ac:dyDescent="0.35">
      <c r="I4586" s="35"/>
      <c r="O4586" s="35"/>
    </row>
    <row r="4587" spans="9:15" x14ac:dyDescent="0.35">
      <c r="I4587" s="35"/>
      <c r="O4587" s="35"/>
    </row>
    <row r="4588" spans="9:15" x14ac:dyDescent="0.35">
      <c r="I4588" s="35"/>
      <c r="O4588" s="35"/>
    </row>
    <row r="4589" spans="9:15" x14ac:dyDescent="0.35">
      <c r="I4589" s="35"/>
      <c r="O4589" s="35"/>
    </row>
    <row r="4590" spans="9:15" x14ac:dyDescent="0.35">
      <c r="I4590" s="35"/>
      <c r="O4590" s="35"/>
    </row>
    <row r="4591" spans="9:15" x14ac:dyDescent="0.35">
      <c r="I4591" s="35"/>
      <c r="O4591" s="35"/>
    </row>
    <row r="4592" spans="9:15" x14ac:dyDescent="0.35">
      <c r="I4592" s="35"/>
      <c r="O4592" s="35"/>
    </row>
    <row r="4593" spans="9:15" x14ac:dyDescent="0.35">
      <c r="I4593" s="35"/>
      <c r="O4593" s="35"/>
    </row>
    <row r="4594" spans="9:15" x14ac:dyDescent="0.35">
      <c r="I4594" s="35"/>
      <c r="O4594" s="35"/>
    </row>
    <row r="4595" spans="9:15" x14ac:dyDescent="0.35">
      <c r="I4595" s="35"/>
      <c r="O4595" s="35"/>
    </row>
    <row r="4596" spans="9:15" x14ac:dyDescent="0.35">
      <c r="I4596" s="35"/>
      <c r="O4596" s="35"/>
    </row>
    <row r="4597" spans="9:15" x14ac:dyDescent="0.35">
      <c r="I4597" s="35"/>
      <c r="O4597" s="35"/>
    </row>
    <row r="4598" spans="9:15" x14ac:dyDescent="0.35">
      <c r="I4598" s="35"/>
      <c r="O4598" s="35"/>
    </row>
    <row r="4599" spans="9:15" x14ac:dyDescent="0.35">
      <c r="I4599" s="35"/>
      <c r="O4599" s="35"/>
    </row>
    <row r="4600" spans="9:15" x14ac:dyDescent="0.35">
      <c r="I4600" s="35"/>
      <c r="O4600" s="35"/>
    </row>
    <row r="4601" spans="9:15" x14ac:dyDescent="0.35">
      <c r="I4601" s="35"/>
      <c r="O4601" s="35"/>
    </row>
    <row r="4602" spans="9:15" x14ac:dyDescent="0.35">
      <c r="I4602" s="35"/>
      <c r="O4602" s="35"/>
    </row>
    <row r="4603" spans="9:15" x14ac:dyDescent="0.35">
      <c r="I4603" s="35"/>
      <c r="O4603" s="35"/>
    </row>
    <row r="4604" spans="9:15" x14ac:dyDescent="0.35">
      <c r="I4604" s="35"/>
      <c r="O4604" s="35"/>
    </row>
    <row r="4605" spans="9:15" x14ac:dyDescent="0.35">
      <c r="I4605" s="35"/>
      <c r="O4605" s="35"/>
    </row>
    <row r="4606" spans="9:15" x14ac:dyDescent="0.35">
      <c r="I4606" s="35"/>
      <c r="O4606" s="35"/>
    </row>
    <row r="4607" spans="9:15" x14ac:dyDescent="0.35">
      <c r="I4607" s="35"/>
      <c r="O4607" s="35"/>
    </row>
    <row r="4608" spans="9:15" x14ac:dyDescent="0.35">
      <c r="I4608" s="35"/>
      <c r="O4608" s="35"/>
    </row>
    <row r="4609" spans="9:15" x14ac:dyDescent="0.35">
      <c r="I4609" s="35"/>
      <c r="O4609" s="35"/>
    </row>
    <row r="4610" spans="9:15" x14ac:dyDescent="0.35">
      <c r="I4610" s="35"/>
      <c r="O4610" s="35"/>
    </row>
    <row r="4611" spans="9:15" x14ac:dyDescent="0.35">
      <c r="I4611" s="35"/>
      <c r="O4611" s="35"/>
    </row>
    <row r="4612" spans="9:15" x14ac:dyDescent="0.35">
      <c r="I4612" s="35"/>
      <c r="O4612" s="35"/>
    </row>
    <row r="4613" spans="9:15" x14ac:dyDescent="0.35">
      <c r="I4613" s="35"/>
      <c r="O4613" s="35"/>
    </row>
    <row r="4614" spans="9:15" x14ac:dyDescent="0.35">
      <c r="I4614" s="35"/>
      <c r="O4614" s="35"/>
    </row>
    <row r="4615" spans="9:15" x14ac:dyDescent="0.35">
      <c r="I4615" s="35"/>
      <c r="O4615" s="35"/>
    </row>
    <row r="4616" spans="9:15" x14ac:dyDescent="0.35">
      <c r="I4616" s="35"/>
      <c r="O4616" s="35"/>
    </row>
    <row r="4617" spans="9:15" x14ac:dyDescent="0.35">
      <c r="I4617" s="35"/>
      <c r="O4617" s="35"/>
    </row>
    <row r="4618" spans="9:15" x14ac:dyDescent="0.35">
      <c r="I4618" s="35"/>
      <c r="O4618" s="35"/>
    </row>
    <row r="4619" spans="9:15" x14ac:dyDescent="0.35">
      <c r="I4619" s="35"/>
      <c r="O4619" s="35"/>
    </row>
    <row r="4620" spans="9:15" x14ac:dyDescent="0.35">
      <c r="I4620" s="35"/>
      <c r="O4620" s="35"/>
    </row>
    <row r="4621" spans="9:15" x14ac:dyDescent="0.35">
      <c r="I4621" s="35"/>
      <c r="O4621" s="35"/>
    </row>
    <row r="4622" spans="9:15" x14ac:dyDescent="0.35">
      <c r="I4622" s="35"/>
      <c r="O4622" s="35"/>
    </row>
    <row r="4623" spans="9:15" x14ac:dyDescent="0.35">
      <c r="I4623" s="35"/>
      <c r="O4623" s="35"/>
    </row>
    <row r="4624" spans="9:15" x14ac:dyDescent="0.35">
      <c r="I4624" s="35"/>
      <c r="O4624" s="35"/>
    </row>
    <row r="4625" spans="9:15" x14ac:dyDescent="0.35">
      <c r="I4625" s="35"/>
      <c r="O4625" s="35"/>
    </row>
    <row r="4626" spans="9:15" x14ac:dyDescent="0.35">
      <c r="I4626" s="35"/>
      <c r="O4626" s="35"/>
    </row>
    <row r="4627" spans="9:15" x14ac:dyDescent="0.35">
      <c r="I4627" s="35"/>
      <c r="O4627" s="35"/>
    </row>
    <row r="4628" spans="9:15" x14ac:dyDescent="0.35">
      <c r="I4628" s="35"/>
      <c r="O4628" s="35"/>
    </row>
    <row r="4629" spans="9:15" x14ac:dyDescent="0.35">
      <c r="I4629" s="35"/>
      <c r="O4629" s="35"/>
    </row>
    <row r="4630" spans="9:15" x14ac:dyDescent="0.35">
      <c r="I4630" s="35"/>
      <c r="O4630" s="35"/>
    </row>
    <row r="4631" spans="9:15" x14ac:dyDescent="0.35">
      <c r="I4631" s="35"/>
      <c r="O4631" s="35"/>
    </row>
    <row r="4632" spans="9:15" x14ac:dyDescent="0.35">
      <c r="I4632" s="35"/>
      <c r="O4632" s="35"/>
    </row>
    <row r="4633" spans="9:15" x14ac:dyDescent="0.35">
      <c r="I4633" s="35"/>
      <c r="O4633" s="35"/>
    </row>
    <row r="4634" spans="9:15" x14ac:dyDescent="0.35">
      <c r="I4634" s="35"/>
      <c r="O4634" s="35"/>
    </row>
    <row r="4635" spans="9:15" x14ac:dyDescent="0.35">
      <c r="I4635" s="35"/>
      <c r="O4635" s="35"/>
    </row>
    <row r="4636" spans="9:15" x14ac:dyDescent="0.35">
      <c r="I4636" s="35"/>
      <c r="O4636" s="35"/>
    </row>
    <row r="4637" spans="9:15" x14ac:dyDescent="0.35">
      <c r="I4637" s="35"/>
      <c r="O4637" s="35"/>
    </row>
    <row r="4638" spans="9:15" x14ac:dyDescent="0.35">
      <c r="I4638" s="35"/>
      <c r="O4638" s="35"/>
    </row>
    <row r="4639" spans="9:15" x14ac:dyDescent="0.35">
      <c r="I4639" s="35"/>
      <c r="O4639" s="35"/>
    </row>
    <row r="4640" spans="9:15" x14ac:dyDescent="0.35">
      <c r="I4640" s="35"/>
      <c r="O4640" s="35"/>
    </row>
    <row r="4641" spans="9:15" x14ac:dyDescent="0.35">
      <c r="I4641" s="35"/>
      <c r="O4641" s="35"/>
    </row>
    <row r="4642" spans="9:15" x14ac:dyDescent="0.35">
      <c r="I4642" s="35"/>
      <c r="O4642" s="35"/>
    </row>
    <row r="4643" spans="9:15" x14ac:dyDescent="0.35">
      <c r="I4643" s="35"/>
      <c r="O4643" s="35"/>
    </row>
    <row r="4644" spans="9:15" x14ac:dyDescent="0.35">
      <c r="I4644" s="35"/>
      <c r="O4644" s="35"/>
    </row>
    <row r="4645" spans="9:15" x14ac:dyDescent="0.35">
      <c r="I4645" s="35"/>
      <c r="O4645" s="35"/>
    </row>
    <row r="4646" spans="9:15" x14ac:dyDescent="0.35">
      <c r="I4646" s="35"/>
      <c r="O4646" s="35"/>
    </row>
    <row r="4647" spans="9:15" x14ac:dyDescent="0.35">
      <c r="I4647" s="35"/>
      <c r="O4647" s="35"/>
    </row>
    <row r="4648" spans="9:15" x14ac:dyDescent="0.35">
      <c r="I4648" s="35"/>
      <c r="O4648" s="35"/>
    </row>
    <row r="4649" spans="9:15" x14ac:dyDescent="0.35">
      <c r="I4649" s="35"/>
      <c r="O4649" s="35"/>
    </row>
    <row r="4650" spans="9:15" x14ac:dyDescent="0.35">
      <c r="I4650" s="35"/>
      <c r="O4650" s="35"/>
    </row>
    <row r="4651" spans="9:15" x14ac:dyDescent="0.35">
      <c r="I4651" s="35"/>
      <c r="O4651" s="35"/>
    </row>
    <row r="4652" spans="9:15" x14ac:dyDescent="0.35">
      <c r="I4652" s="35"/>
      <c r="O4652" s="35"/>
    </row>
    <row r="4653" spans="9:15" x14ac:dyDescent="0.35">
      <c r="I4653" s="35"/>
      <c r="O4653" s="35"/>
    </row>
    <row r="4654" spans="9:15" x14ac:dyDescent="0.35">
      <c r="I4654" s="35"/>
      <c r="O4654" s="35"/>
    </row>
    <row r="4655" spans="9:15" x14ac:dyDescent="0.35">
      <c r="I4655" s="35"/>
      <c r="O4655" s="35"/>
    </row>
    <row r="4656" spans="9:15" x14ac:dyDescent="0.35">
      <c r="I4656" s="35"/>
      <c r="O4656" s="35"/>
    </row>
    <row r="4657" spans="9:15" x14ac:dyDescent="0.35">
      <c r="I4657" s="35"/>
      <c r="O4657" s="35"/>
    </row>
    <row r="4658" spans="9:15" x14ac:dyDescent="0.35">
      <c r="I4658" s="35"/>
      <c r="O4658" s="35"/>
    </row>
    <row r="4659" spans="9:15" x14ac:dyDescent="0.35">
      <c r="I4659" s="35"/>
      <c r="O4659" s="35"/>
    </row>
    <row r="4660" spans="9:15" x14ac:dyDescent="0.35">
      <c r="I4660" s="35"/>
      <c r="O4660" s="35"/>
    </row>
    <row r="4661" spans="9:15" x14ac:dyDescent="0.35">
      <c r="I4661" s="35"/>
      <c r="O4661" s="35"/>
    </row>
    <row r="4662" spans="9:15" x14ac:dyDescent="0.35">
      <c r="I4662" s="35"/>
      <c r="O4662" s="35"/>
    </row>
    <row r="4663" spans="9:15" x14ac:dyDescent="0.35">
      <c r="I4663" s="35"/>
      <c r="O4663" s="35"/>
    </row>
    <row r="4664" spans="9:15" x14ac:dyDescent="0.35">
      <c r="I4664" s="35"/>
      <c r="O4664" s="35"/>
    </row>
    <row r="4665" spans="9:15" x14ac:dyDescent="0.35">
      <c r="I4665" s="35"/>
      <c r="O4665" s="35"/>
    </row>
    <row r="4666" spans="9:15" x14ac:dyDescent="0.35">
      <c r="I4666" s="35"/>
      <c r="O4666" s="35"/>
    </row>
    <row r="4667" spans="9:15" x14ac:dyDescent="0.35">
      <c r="I4667" s="35"/>
      <c r="O4667" s="35"/>
    </row>
    <row r="4668" spans="9:15" x14ac:dyDescent="0.35">
      <c r="I4668" s="35"/>
      <c r="O4668" s="35"/>
    </row>
    <row r="4669" spans="9:15" x14ac:dyDescent="0.35">
      <c r="I4669" s="35"/>
      <c r="O4669" s="35"/>
    </row>
    <row r="4670" spans="9:15" x14ac:dyDescent="0.35">
      <c r="I4670" s="35"/>
      <c r="O4670" s="35"/>
    </row>
    <row r="4671" spans="9:15" x14ac:dyDescent="0.35">
      <c r="I4671" s="35"/>
      <c r="O4671" s="35"/>
    </row>
    <row r="4672" spans="9:15" x14ac:dyDescent="0.35">
      <c r="I4672" s="35"/>
      <c r="O4672" s="35"/>
    </row>
    <row r="4673" spans="9:15" x14ac:dyDescent="0.35">
      <c r="I4673" s="35"/>
      <c r="O4673" s="35"/>
    </row>
    <row r="4674" spans="9:15" x14ac:dyDescent="0.35">
      <c r="I4674" s="35"/>
      <c r="O4674" s="35"/>
    </row>
    <row r="4675" spans="9:15" x14ac:dyDescent="0.35">
      <c r="I4675" s="35"/>
      <c r="O4675" s="35"/>
    </row>
    <row r="4676" spans="9:15" x14ac:dyDescent="0.35">
      <c r="I4676" s="35"/>
      <c r="O4676" s="35"/>
    </row>
    <row r="4677" spans="9:15" x14ac:dyDescent="0.35">
      <c r="I4677" s="35"/>
      <c r="O4677" s="35"/>
    </row>
    <row r="4678" spans="9:15" x14ac:dyDescent="0.35">
      <c r="I4678" s="35"/>
      <c r="O4678" s="35"/>
    </row>
    <row r="4679" spans="9:15" x14ac:dyDescent="0.35">
      <c r="I4679" s="35"/>
      <c r="O4679" s="35"/>
    </row>
    <row r="4680" spans="9:15" x14ac:dyDescent="0.35">
      <c r="I4680" s="35"/>
      <c r="O4680" s="35"/>
    </row>
    <row r="4681" spans="9:15" x14ac:dyDescent="0.35">
      <c r="I4681" s="35"/>
      <c r="O4681" s="35"/>
    </row>
    <row r="4682" spans="9:15" x14ac:dyDescent="0.35">
      <c r="I4682" s="35"/>
      <c r="O4682" s="35"/>
    </row>
    <row r="4683" spans="9:15" x14ac:dyDescent="0.35">
      <c r="I4683" s="35"/>
      <c r="O4683" s="35"/>
    </row>
    <row r="4684" spans="9:15" x14ac:dyDescent="0.35">
      <c r="I4684" s="35"/>
      <c r="O4684" s="35"/>
    </row>
    <row r="4685" spans="9:15" x14ac:dyDescent="0.35">
      <c r="I4685" s="35"/>
      <c r="O4685" s="35"/>
    </row>
    <row r="4686" spans="9:15" x14ac:dyDescent="0.35">
      <c r="I4686" s="35"/>
      <c r="O4686" s="35"/>
    </row>
    <row r="4687" spans="9:15" x14ac:dyDescent="0.35">
      <c r="I4687" s="35"/>
      <c r="O4687" s="35"/>
    </row>
    <row r="4688" spans="9:15" x14ac:dyDescent="0.35">
      <c r="I4688" s="35"/>
      <c r="O4688" s="35"/>
    </row>
    <row r="4689" spans="9:15" x14ac:dyDescent="0.35">
      <c r="I4689" s="35"/>
      <c r="O4689" s="35"/>
    </row>
    <row r="4690" spans="9:15" x14ac:dyDescent="0.35">
      <c r="I4690" s="35"/>
      <c r="O4690" s="35"/>
    </row>
    <row r="4691" spans="9:15" x14ac:dyDescent="0.35">
      <c r="I4691" s="35"/>
      <c r="O4691" s="35"/>
    </row>
    <row r="4692" spans="9:15" x14ac:dyDescent="0.35">
      <c r="I4692" s="35"/>
      <c r="O4692" s="35"/>
    </row>
    <row r="4693" spans="9:15" x14ac:dyDescent="0.35">
      <c r="I4693" s="35"/>
      <c r="O4693" s="35"/>
    </row>
    <row r="4694" spans="9:15" x14ac:dyDescent="0.35">
      <c r="I4694" s="35"/>
      <c r="O4694" s="35"/>
    </row>
    <row r="4695" spans="9:15" x14ac:dyDescent="0.35">
      <c r="I4695" s="35"/>
      <c r="O4695" s="35"/>
    </row>
    <row r="4696" spans="9:15" x14ac:dyDescent="0.35">
      <c r="I4696" s="35"/>
      <c r="O4696" s="35"/>
    </row>
    <row r="4697" spans="9:15" x14ac:dyDescent="0.35">
      <c r="I4697" s="35"/>
      <c r="O4697" s="35"/>
    </row>
    <row r="4698" spans="9:15" x14ac:dyDescent="0.35">
      <c r="I4698" s="35"/>
      <c r="O4698" s="35"/>
    </row>
    <row r="4699" spans="9:15" x14ac:dyDescent="0.35">
      <c r="I4699" s="35"/>
      <c r="O4699" s="35"/>
    </row>
    <row r="4700" spans="9:15" x14ac:dyDescent="0.35">
      <c r="I4700" s="35"/>
      <c r="O4700" s="35"/>
    </row>
    <row r="4701" spans="9:15" x14ac:dyDescent="0.35">
      <c r="I4701" s="35"/>
      <c r="O4701" s="35"/>
    </row>
    <row r="4702" spans="9:15" x14ac:dyDescent="0.35">
      <c r="I4702" s="35"/>
      <c r="O4702" s="35"/>
    </row>
    <row r="4703" spans="9:15" x14ac:dyDescent="0.35">
      <c r="I4703" s="35"/>
      <c r="O4703" s="35"/>
    </row>
    <row r="4704" spans="9:15" x14ac:dyDescent="0.35">
      <c r="I4704" s="35"/>
      <c r="O4704" s="35"/>
    </row>
    <row r="4705" spans="9:15" x14ac:dyDescent="0.35">
      <c r="I4705" s="35"/>
      <c r="O4705" s="35"/>
    </row>
    <row r="4706" spans="9:15" x14ac:dyDescent="0.35">
      <c r="I4706" s="35"/>
      <c r="O4706" s="35"/>
    </row>
    <row r="4707" spans="9:15" x14ac:dyDescent="0.35">
      <c r="I4707" s="35"/>
      <c r="O4707" s="35"/>
    </row>
    <row r="4708" spans="9:15" x14ac:dyDescent="0.35">
      <c r="I4708" s="35"/>
      <c r="O4708" s="35"/>
    </row>
    <row r="4709" spans="9:15" x14ac:dyDescent="0.35">
      <c r="I4709" s="35"/>
      <c r="O4709" s="35"/>
    </row>
    <row r="4710" spans="9:15" x14ac:dyDescent="0.35">
      <c r="I4710" s="35"/>
      <c r="O4710" s="35"/>
    </row>
    <row r="4711" spans="9:15" x14ac:dyDescent="0.35">
      <c r="I4711" s="35"/>
      <c r="O4711" s="35"/>
    </row>
    <row r="4712" spans="9:15" x14ac:dyDescent="0.35">
      <c r="I4712" s="35"/>
      <c r="O4712" s="35"/>
    </row>
    <row r="4713" spans="9:15" x14ac:dyDescent="0.35">
      <c r="I4713" s="35"/>
      <c r="O4713" s="35"/>
    </row>
    <row r="4714" spans="9:15" x14ac:dyDescent="0.35">
      <c r="I4714" s="35"/>
      <c r="O4714" s="35"/>
    </row>
    <row r="4715" spans="9:15" x14ac:dyDescent="0.35">
      <c r="I4715" s="35"/>
      <c r="O4715" s="35"/>
    </row>
    <row r="4716" spans="9:15" x14ac:dyDescent="0.35">
      <c r="I4716" s="35"/>
      <c r="O4716" s="35"/>
    </row>
    <row r="4717" spans="9:15" x14ac:dyDescent="0.35">
      <c r="I4717" s="35"/>
      <c r="O4717" s="35"/>
    </row>
    <row r="4718" spans="9:15" x14ac:dyDescent="0.35">
      <c r="I4718" s="35"/>
      <c r="O4718" s="35"/>
    </row>
    <row r="4719" spans="9:15" x14ac:dyDescent="0.35">
      <c r="I4719" s="35"/>
      <c r="O4719" s="35"/>
    </row>
    <row r="4720" spans="9:15" x14ac:dyDescent="0.35">
      <c r="I4720" s="35"/>
      <c r="O4720" s="35"/>
    </row>
    <row r="4721" spans="9:15" x14ac:dyDescent="0.35">
      <c r="I4721" s="35"/>
      <c r="O4721" s="35"/>
    </row>
    <row r="4722" spans="9:15" x14ac:dyDescent="0.35">
      <c r="I4722" s="35"/>
      <c r="O4722" s="35"/>
    </row>
    <row r="4723" spans="9:15" x14ac:dyDescent="0.35">
      <c r="I4723" s="35"/>
      <c r="O4723" s="35"/>
    </row>
    <row r="4724" spans="9:15" x14ac:dyDescent="0.35">
      <c r="I4724" s="35"/>
      <c r="O4724" s="35"/>
    </row>
    <row r="4725" spans="9:15" x14ac:dyDescent="0.35">
      <c r="I4725" s="35"/>
      <c r="O4725" s="35"/>
    </row>
    <row r="4726" spans="9:15" x14ac:dyDescent="0.35">
      <c r="I4726" s="35"/>
      <c r="O4726" s="35"/>
    </row>
    <row r="4727" spans="9:15" x14ac:dyDescent="0.35">
      <c r="I4727" s="35"/>
      <c r="O4727" s="35"/>
    </row>
    <row r="4728" spans="9:15" x14ac:dyDescent="0.35">
      <c r="I4728" s="35"/>
      <c r="O4728" s="35"/>
    </row>
    <row r="4729" spans="9:15" x14ac:dyDescent="0.35">
      <c r="I4729" s="35"/>
      <c r="O4729" s="35"/>
    </row>
    <row r="4730" spans="9:15" x14ac:dyDescent="0.35">
      <c r="I4730" s="35"/>
      <c r="O4730" s="35"/>
    </row>
    <row r="4731" spans="9:15" x14ac:dyDescent="0.35">
      <c r="I4731" s="35"/>
      <c r="O4731" s="35"/>
    </row>
    <row r="4732" spans="9:15" x14ac:dyDescent="0.35">
      <c r="I4732" s="35"/>
      <c r="O4732" s="35"/>
    </row>
    <row r="4733" spans="9:15" x14ac:dyDescent="0.35">
      <c r="I4733" s="35"/>
      <c r="O4733" s="35"/>
    </row>
    <row r="4734" spans="9:15" x14ac:dyDescent="0.35">
      <c r="I4734" s="35"/>
      <c r="O4734" s="35"/>
    </row>
    <row r="4735" spans="9:15" x14ac:dyDescent="0.35">
      <c r="I4735" s="35"/>
      <c r="O4735" s="35"/>
    </row>
    <row r="4736" spans="9:15" x14ac:dyDescent="0.35">
      <c r="I4736" s="35"/>
      <c r="O4736" s="35"/>
    </row>
    <row r="4737" spans="9:15" x14ac:dyDescent="0.35">
      <c r="I4737" s="35"/>
      <c r="O4737" s="35"/>
    </row>
    <row r="4738" spans="9:15" x14ac:dyDescent="0.35">
      <c r="I4738" s="35"/>
      <c r="O4738" s="35"/>
    </row>
    <row r="4739" spans="9:15" x14ac:dyDescent="0.35">
      <c r="I4739" s="35"/>
      <c r="O4739" s="35"/>
    </row>
    <row r="4740" spans="9:15" x14ac:dyDescent="0.35">
      <c r="I4740" s="35"/>
      <c r="O4740" s="35"/>
    </row>
    <row r="4741" spans="9:15" x14ac:dyDescent="0.35">
      <c r="I4741" s="35"/>
      <c r="O4741" s="35"/>
    </row>
    <row r="4742" spans="9:15" x14ac:dyDescent="0.35">
      <c r="I4742" s="35"/>
      <c r="O4742" s="35"/>
    </row>
    <row r="4743" spans="9:15" x14ac:dyDescent="0.35">
      <c r="I4743" s="35"/>
      <c r="O4743" s="35"/>
    </row>
    <row r="4744" spans="9:15" x14ac:dyDescent="0.35">
      <c r="I4744" s="35"/>
      <c r="O4744" s="35"/>
    </row>
    <row r="4745" spans="9:15" x14ac:dyDescent="0.35">
      <c r="I4745" s="35"/>
      <c r="O4745" s="35"/>
    </row>
    <row r="4746" spans="9:15" x14ac:dyDescent="0.35">
      <c r="I4746" s="35"/>
      <c r="O4746" s="35"/>
    </row>
    <row r="4747" spans="9:15" x14ac:dyDescent="0.35">
      <c r="I4747" s="35"/>
      <c r="O4747" s="35"/>
    </row>
    <row r="4748" spans="9:15" x14ac:dyDescent="0.35">
      <c r="I4748" s="35"/>
      <c r="O4748" s="35"/>
    </row>
    <row r="4749" spans="9:15" x14ac:dyDescent="0.35">
      <c r="I4749" s="35"/>
      <c r="O4749" s="35"/>
    </row>
    <row r="4750" spans="9:15" x14ac:dyDescent="0.35">
      <c r="I4750" s="35"/>
      <c r="O4750" s="35"/>
    </row>
    <row r="4751" spans="9:15" x14ac:dyDescent="0.35">
      <c r="I4751" s="35"/>
      <c r="O4751" s="35"/>
    </row>
    <row r="4752" spans="9:15" x14ac:dyDescent="0.35">
      <c r="I4752" s="35"/>
      <c r="O4752" s="35"/>
    </row>
    <row r="4753" spans="9:15" x14ac:dyDescent="0.35">
      <c r="I4753" s="35"/>
      <c r="O4753" s="35"/>
    </row>
    <row r="4754" spans="9:15" x14ac:dyDescent="0.35">
      <c r="I4754" s="35"/>
      <c r="O4754" s="35"/>
    </row>
    <row r="4755" spans="9:15" x14ac:dyDescent="0.35">
      <c r="I4755" s="35"/>
      <c r="O4755" s="35"/>
    </row>
    <row r="4756" spans="9:15" x14ac:dyDescent="0.35">
      <c r="I4756" s="35"/>
      <c r="O4756" s="35"/>
    </row>
    <row r="4757" spans="9:15" x14ac:dyDescent="0.35">
      <c r="I4757" s="35"/>
      <c r="O4757" s="35"/>
    </row>
    <row r="4758" spans="9:15" x14ac:dyDescent="0.35">
      <c r="I4758" s="35"/>
      <c r="O4758" s="35"/>
    </row>
    <row r="4759" spans="9:15" x14ac:dyDescent="0.35">
      <c r="I4759" s="35"/>
      <c r="O4759" s="35"/>
    </row>
    <row r="4760" spans="9:15" x14ac:dyDescent="0.35">
      <c r="I4760" s="35"/>
      <c r="O4760" s="35"/>
    </row>
    <row r="4761" spans="9:15" x14ac:dyDescent="0.35">
      <c r="I4761" s="35"/>
      <c r="O4761" s="35"/>
    </row>
    <row r="4762" spans="9:15" x14ac:dyDescent="0.35">
      <c r="I4762" s="35"/>
      <c r="O4762" s="35"/>
    </row>
    <row r="4763" spans="9:15" x14ac:dyDescent="0.35">
      <c r="I4763" s="35"/>
      <c r="O4763" s="35"/>
    </row>
    <row r="4764" spans="9:15" x14ac:dyDescent="0.35">
      <c r="I4764" s="35"/>
      <c r="O4764" s="35"/>
    </row>
    <row r="4765" spans="9:15" x14ac:dyDescent="0.35">
      <c r="I4765" s="35"/>
      <c r="O4765" s="35"/>
    </row>
    <row r="4766" spans="9:15" x14ac:dyDescent="0.35">
      <c r="I4766" s="35"/>
      <c r="O4766" s="35"/>
    </row>
    <row r="4767" spans="9:15" x14ac:dyDescent="0.35">
      <c r="I4767" s="35"/>
      <c r="O4767" s="35"/>
    </row>
    <row r="4768" spans="9:15" x14ac:dyDescent="0.35">
      <c r="I4768" s="35"/>
      <c r="O4768" s="35"/>
    </row>
    <row r="4769" spans="9:15" x14ac:dyDescent="0.35">
      <c r="I4769" s="35"/>
      <c r="O4769" s="35"/>
    </row>
    <row r="4770" spans="9:15" x14ac:dyDescent="0.35">
      <c r="I4770" s="35"/>
      <c r="O4770" s="35"/>
    </row>
    <row r="4771" spans="9:15" x14ac:dyDescent="0.35">
      <c r="I4771" s="35"/>
      <c r="O4771" s="35"/>
    </row>
    <row r="4772" spans="9:15" x14ac:dyDescent="0.35">
      <c r="I4772" s="35"/>
      <c r="O4772" s="35"/>
    </row>
    <row r="4773" spans="9:15" x14ac:dyDescent="0.35">
      <c r="I4773" s="35"/>
      <c r="O4773" s="35"/>
    </row>
    <row r="4774" spans="9:15" x14ac:dyDescent="0.35">
      <c r="I4774" s="35"/>
      <c r="O4774" s="35"/>
    </row>
    <row r="4775" spans="9:15" x14ac:dyDescent="0.35">
      <c r="I4775" s="35"/>
      <c r="O4775" s="35"/>
    </row>
    <row r="4776" spans="9:15" x14ac:dyDescent="0.35">
      <c r="I4776" s="35"/>
      <c r="O4776" s="35"/>
    </row>
    <row r="4777" spans="9:15" x14ac:dyDescent="0.35">
      <c r="I4777" s="35"/>
      <c r="O4777" s="35"/>
    </row>
    <row r="4778" spans="9:15" x14ac:dyDescent="0.35">
      <c r="I4778" s="35"/>
      <c r="O4778" s="35"/>
    </row>
    <row r="4779" spans="9:15" x14ac:dyDescent="0.35">
      <c r="I4779" s="35"/>
      <c r="O4779" s="35"/>
    </row>
    <row r="4780" spans="9:15" x14ac:dyDescent="0.35">
      <c r="I4780" s="35"/>
      <c r="O4780" s="35"/>
    </row>
    <row r="4781" spans="9:15" x14ac:dyDescent="0.35">
      <c r="I4781" s="35"/>
      <c r="O4781" s="35"/>
    </row>
    <row r="4782" spans="9:15" x14ac:dyDescent="0.35">
      <c r="I4782" s="35"/>
      <c r="O4782" s="35"/>
    </row>
    <row r="4783" spans="9:15" x14ac:dyDescent="0.35">
      <c r="I4783" s="35"/>
      <c r="O4783" s="35"/>
    </row>
    <row r="4784" spans="9:15" x14ac:dyDescent="0.35">
      <c r="I4784" s="35"/>
      <c r="O4784" s="35"/>
    </row>
    <row r="4785" spans="9:15" x14ac:dyDescent="0.35">
      <c r="I4785" s="35"/>
      <c r="O4785" s="35"/>
    </row>
    <row r="4786" spans="9:15" x14ac:dyDescent="0.35">
      <c r="I4786" s="35"/>
      <c r="O4786" s="35"/>
    </row>
    <row r="4787" spans="9:15" x14ac:dyDescent="0.35">
      <c r="I4787" s="35"/>
      <c r="O4787" s="35"/>
    </row>
    <row r="4788" spans="9:15" x14ac:dyDescent="0.35">
      <c r="I4788" s="35"/>
      <c r="O4788" s="35"/>
    </row>
    <row r="4789" spans="9:15" x14ac:dyDescent="0.35">
      <c r="I4789" s="35"/>
      <c r="O4789" s="35"/>
    </row>
    <row r="4790" spans="9:15" x14ac:dyDescent="0.35">
      <c r="I4790" s="35"/>
      <c r="O4790" s="35"/>
    </row>
    <row r="4791" spans="9:15" x14ac:dyDescent="0.35">
      <c r="I4791" s="35"/>
      <c r="O4791" s="35"/>
    </row>
    <row r="4792" spans="9:15" x14ac:dyDescent="0.35">
      <c r="I4792" s="35"/>
      <c r="O4792" s="35"/>
    </row>
    <row r="4793" spans="9:15" x14ac:dyDescent="0.35">
      <c r="I4793" s="35"/>
      <c r="O4793" s="35"/>
    </row>
    <row r="4794" spans="9:15" x14ac:dyDescent="0.35">
      <c r="I4794" s="35"/>
      <c r="O4794" s="35"/>
    </row>
    <row r="4795" spans="9:15" x14ac:dyDescent="0.35">
      <c r="I4795" s="35"/>
      <c r="O4795" s="35"/>
    </row>
    <row r="4796" spans="9:15" x14ac:dyDescent="0.35">
      <c r="I4796" s="35"/>
      <c r="O4796" s="35"/>
    </row>
    <row r="4797" spans="9:15" x14ac:dyDescent="0.35">
      <c r="I4797" s="35"/>
      <c r="O4797" s="35"/>
    </row>
    <row r="4798" spans="9:15" x14ac:dyDescent="0.35">
      <c r="I4798" s="35"/>
      <c r="O4798" s="35"/>
    </row>
    <row r="4799" spans="9:15" x14ac:dyDescent="0.35">
      <c r="I4799" s="35"/>
      <c r="O4799" s="35"/>
    </row>
    <row r="4800" spans="9:15" x14ac:dyDescent="0.35">
      <c r="I4800" s="35"/>
      <c r="O4800" s="35"/>
    </row>
    <row r="4801" spans="9:15" x14ac:dyDescent="0.35">
      <c r="I4801" s="35"/>
      <c r="O4801" s="35"/>
    </row>
    <row r="4802" spans="9:15" x14ac:dyDescent="0.35">
      <c r="I4802" s="35"/>
      <c r="O4802" s="35"/>
    </row>
    <row r="4803" spans="9:15" x14ac:dyDescent="0.35">
      <c r="I4803" s="35"/>
      <c r="O4803" s="35"/>
    </row>
    <row r="4804" spans="9:15" x14ac:dyDescent="0.35">
      <c r="I4804" s="35"/>
      <c r="O4804" s="35"/>
    </row>
    <row r="4805" spans="9:15" x14ac:dyDescent="0.35">
      <c r="I4805" s="35"/>
      <c r="O4805" s="35"/>
    </row>
    <row r="4806" spans="9:15" x14ac:dyDescent="0.35">
      <c r="I4806" s="35"/>
      <c r="O4806" s="35"/>
    </row>
    <row r="4807" spans="9:15" x14ac:dyDescent="0.35">
      <c r="I4807" s="35"/>
      <c r="O4807" s="35"/>
    </row>
    <row r="4808" spans="9:15" x14ac:dyDescent="0.35">
      <c r="I4808" s="35"/>
      <c r="O4808" s="35"/>
    </row>
    <row r="4809" spans="9:15" x14ac:dyDescent="0.35">
      <c r="I4809" s="35"/>
      <c r="O4809" s="35"/>
    </row>
    <row r="4810" spans="9:15" x14ac:dyDescent="0.35">
      <c r="I4810" s="35"/>
      <c r="O4810" s="35"/>
    </row>
    <row r="4811" spans="9:15" x14ac:dyDescent="0.35">
      <c r="I4811" s="35"/>
      <c r="O4811" s="35"/>
    </row>
    <row r="4812" spans="9:15" x14ac:dyDescent="0.35">
      <c r="I4812" s="35"/>
      <c r="O4812" s="35"/>
    </row>
    <row r="4813" spans="9:15" x14ac:dyDescent="0.35">
      <c r="I4813" s="35"/>
      <c r="O4813" s="35"/>
    </row>
    <row r="4814" spans="9:15" x14ac:dyDescent="0.35">
      <c r="I4814" s="35"/>
      <c r="O4814" s="35"/>
    </row>
    <row r="4815" spans="9:15" x14ac:dyDescent="0.35">
      <c r="I4815" s="35"/>
      <c r="O4815" s="35"/>
    </row>
    <row r="4816" spans="9:15" x14ac:dyDescent="0.35">
      <c r="I4816" s="35"/>
      <c r="O4816" s="35"/>
    </row>
    <row r="4817" spans="9:15" x14ac:dyDescent="0.35">
      <c r="I4817" s="35"/>
      <c r="O4817" s="35"/>
    </row>
    <row r="4818" spans="9:15" x14ac:dyDescent="0.35">
      <c r="I4818" s="35"/>
      <c r="O4818" s="35"/>
    </row>
    <row r="4819" spans="9:15" x14ac:dyDescent="0.35">
      <c r="I4819" s="35"/>
      <c r="O4819" s="35"/>
    </row>
    <row r="4820" spans="9:15" x14ac:dyDescent="0.35">
      <c r="I4820" s="35"/>
      <c r="O4820" s="35"/>
    </row>
    <row r="4821" spans="9:15" x14ac:dyDescent="0.35">
      <c r="I4821" s="35"/>
      <c r="O4821" s="35"/>
    </row>
    <row r="4822" spans="9:15" x14ac:dyDescent="0.35">
      <c r="I4822" s="35"/>
      <c r="O4822" s="35"/>
    </row>
    <row r="4823" spans="9:15" x14ac:dyDescent="0.35">
      <c r="I4823" s="35"/>
      <c r="O4823" s="35"/>
    </row>
    <row r="4824" spans="9:15" x14ac:dyDescent="0.35">
      <c r="I4824" s="35"/>
      <c r="O4824" s="35"/>
    </row>
    <row r="4825" spans="9:15" x14ac:dyDescent="0.35">
      <c r="I4825" s="35"/>
      <c r="O4825" s="35"/>
    </row>
    <row r="4826" spans="9:15" x14ac:dyDescent="0.35">
      <c r="I4826" s="35"/>
      <c r="O4826" s="35"/>
    </row>
    <row r="4827" spans="9:15" x14ac:dyDescent="0.35">
      <c r="I4827" s="35"/>
      <c r="O4827" s="35"/>
    </row>
    <row r="4828" spans="9:15" x14ac:dyDescent="0.35">
      <c r="I4828" s="35"/>
      <c r="O4828" s="35"/>
    </row>
    <row r="4829" spans="9:15" x14ac:dyDescent="0.35">
      <c r="I4829" s="35"/>
      <c r="O4829" s="35"/>
    </row>
    <row r="4830" spans="9:15" x14ac:dyDescent="0.35">
      <c r="I4830" s="35"/>
      <c r="O4830" s="35"/>
    </row>
    <row r="4831" spans="9:15" x14ac:dyDescent="0.35">
      <c r="I4831" s="35"/>
      <c r="O4831" s="35"/>
    </row>
    <row r="4832" spans="9:15" x14ac:dyDescent="0.35">
      <c r="I4832" s="35"/>
      <c r="O4832" s="35"/>
    </row>
    <row r="4833" spans="9:15" x14ac:dyDescent="0.35">
      <c r="I4833" s="35"/>
      <c r="O4833" s="35"/>
    </row>
    <row r="4834" spans="9:15" x14ac:dyDescent="0.35">
      <c r="I4834" s="35"/>
      <c r="O4834" s="35"/>
    </row>
    <row r="4835" spans="9:15" x14ac:dyDescent="0.35">
      <c r="I4835" s="35"/>
      <c r="O4835" s="35"/>
    </row>
    <row r="4836" spans="9:15" x14ac:dyDescent="0.35">
      <c r="I4836" s="35"/>
      <c r="O4836" s="35"/>
    </row>
    <row r="4837" spans="9:15" x14ac:dyDescent="0.35">
      <c r="I4837" s="35"/>
      <c r="O4837" s="35"/>
    </row>
    <row r="4838" spans="9:15" x14ac:dyDescent="0.35">
      <c r="I4838" s="35"/>
      <c r="O4838" s="35"/>
    </row>
    <row r="4839" spans="9:15" x14ac:dyDescent="0.35">
      <c r="I4839" s="35"/>
      <c r="O4839" s="35"/>
    </row>
    <row r="4840" spans="9:15" x14ac:dyDescent="0.35">
      <c r="I4840" s="35"/>
      <c r="O4840" s="35"/>
    </row>
    <row r="4841" spans="9:15" x14ac:dyDescent="0.35">
      <c r="I4841" s="35"/>
      <c r="O4841" s="35"/>
    </row>
    <row r="4842" spans="9:15" x14ac:dyDescent="0.35">
      <c r="I4842" s="35"/>
      <c r="O4842" s="35"/>
    </row>
    <row r="4843" spans="9:15" x14ac:dyDescent="0.35">
      <c r="I4843" s="35"/>
      <c r="O4843" s="35"/>
    </row>
    <row r="4844" spans="9:15" x14ac:dyDescent="0.35">
      <c r="I4844" s="35"/>
      <c r="O4844" s="35"/>
    </row>
    <row r="4845" spans="9:15" x14ac:dyDescent="0.35">
      <c r="I4845" s="35"/>
      <c r="O4845" s="35"/>
    </row>
    <row r="4846" spans="9:15" x14ac:dyDescent="0.35">
      <c r="I4846" s="35"/>
      <c r="O4846" s="35"/>
    </row>
    <row r="4847" spans="9:15" x14ac:dyDescent="0.35">
      <c r="I4847" s="35"/>
      <c r="O4847" s="35"/>
    </row>
    <row r="4848" spans="9:15" x14ac:dyDescent="0.35">
      <c r="I4848" s="35"/>
      <c r="O4848" s="35"/>
    </row>
    <row r="4849" spans="9:15" x14ac:dyDescent="0.35">
      <c r="I4849" s="35"/>
      <c r="O4849" s="35"/>
    </row>
    <row r="4850" spans="9:15" x14ac:dyDescent="0.35">
      <c r="I4850" s="35"/>
      <c r="O4850" s="35"/>
    </row>
    <row r="4851" spans="9:15" x14ac:dyDescent="0.35">
      <c r="I4851" s="35"/>
      <c r="O4851" s="35"/>
    </row>
    <row r="4852" spans="9:15" x14ac:dyDescent="0.35">
      <c r="I4852" s="35"/>
      <c r="O4852" s="35"/>
    </row>
    <row r="4853" spans="9:15" x14ac:dyDescent="0.35">
      <c r="I4853" s="35"/>
      <c r="O4853" s="35"/>
    </row>
    <row r="4854" spans="9:15" x14ac:dyDescent="0.35">
      <c r="I4854" s="35"/>
      <c r="O4854" s="35"/>
    </row>
    <row r="4855" spans="9:15" x14ac:dyDescent="0.35">
      <c r="I4855" s="35"/>
      <c r="O4855" s="35"/>
    </row>
    <row r="4856" spans="9:15" x14ac:dyDescent="0.35">
      <c r="I4856" s="35"/>
      <c r="O4856" s="35"/>
    </row>
    <row r="4857" spans="9:15" x14ac:dyDescent="0.35">
      <c r="I4857" s="35"/>
      <c r="O4857" s="35"/>
    </row>
    <row r="4858" spans="9:15" x14ac:dyDescent="0.35">
      <c r="I4858" s="35"/>
      <c r="O4858" s="35"/>
    </row>
    <row r="4859" spans="9:15" x14ac:dyDescent="0.35">
      <c r="I4859" s="35"/>
      <c r="O4859" s="35"/>
    </row>
    <row r="4860" spans="9:15" x14ac:dyDescent="0.35">
      <c r="I4860" s="35"/>
      <c r="O4860" s="35"/>
    </row>
    <row r="4861" spans="9:15" x14ac:dyDescent="0.35">
      <c r="I4861" s="35"/>
      <c r="O4861" s="35"/>
    </row>
    <row r="4862" spans="9:15" x14ac:dyDescent="0.35">
      <c r="I4862" s="35"/>
      <c r="O4862" s="35"/>
    </row>
    <row r="4863" spans="9:15" x14ac:dyDescent="0.35">
      <c r="I4863" s="35"/>
      <c r="O4863" s="35"/>
    </row>
    <row r="4864" spans="9:15" x14ac:dyDescent="0.35">
      <c r="I4864" s="35"/>
      <c r="O4864" s="35"/>
    </row>
    <row r="4865" spans="9:15" x14ac:dyDescent="0.35">
      <c r="I4865" s="35"/>
      <c r="O4865" s="35"/>
    </row>
    <row r="4866" spans="9:15" x14ac:dyDescent="0.35">
      <c r="I4866" s="35"/>
      <c r="O4866" s="35"/>
    </row>
    <row r="4867" spans="9:15" x14ac:dyDescent="0.35">
      <c r="I4867" s="35"/>
      <c r="O4867" s="35"/>
    </row>
    <row r="4868" spans="9:15" x14ac:dyDescent="0.35">
      <c r="I4868" s="35"/>
      <c r="O4868" s="35"/>
    </row>
    <row r="4869" spans="9:15" x14ac:dyDescent="0.35">
      <c r="I4869" s="35"/>
      <c r="O4869" s="35"/>
    </row>
    <row r="4870" spans="9:15" x14ac:dyDescent="0.35">
      <c r="I4870" s="35"/>
      <c r="O4870" s="35"/>
    </row>
    <row r="4871" spans="9:15" x14ac:dyDescent="0.35">
      <c r="I4871" s="35"/>
      <c r="O4871" s="35"/>
    </row>
    <row r="4872" spans="9:15" x14ac:dyDescent="0.35">
      <c r="I4872" s="35"/>
      <c r="O4872" s="35"/>
    </row>
    <row r="4873" spans="9:15" x14ac:dyDescent="0.35">
      <c r="I4873" s="35"/>
      <c r="O4873" s="35"/>
    </row>
    <row r="4874" spans="9:15" x14ac:dyDescent="0.35">
      <c r="I4874" s="35"/>
      <c r="O4874" s="35"/>
    </row>
    <row r="4875" spans="9:15" x14ac:dyDescent="0.35">
      <c r="I4875" s="35"/>
      <c r="O4875" s="35"/>
    </row>
    <row r="4876" spans="9:15" x14ac:dyDescent="0.35">
      <c r="I4876" s="35"/>
      <c r="O4876" s="35"/>
    </row>
    <row r="4877" spans="9:15" x14ac:dyDescent="0.35">
      <c r="I4877" s="35"/>
      <c r="O4877" s="35"/>
    </row>
    <row r="4878" spans="9:15" x14ac:dyDescent="0.35">
      <c r="I4878" s="35"/>
      <c r="O4878" s="35"/>
    </row>
    <row r="4879" spans="9:15" x14ac:dyDescent="0.35">
      <c r="I4879" s="35"/>
      <c r="O4879" s="35"/>
    </row>
    <row r="4880" spans="9:15" x14ac:dyDescent="0.35">
      <c r="I4880" s="35"/>
      <c r="O4880" s="35"/>
    </row>
    <row r="4881" spans="9:15" x14ac:dyDescent="0.35">
      <c r="I4881" s="35"/>
      <c r="O4881" s="35"/>
    </row>
    <row r="4882" spans="9:15" x14ac:dyDescent="0.35">
      <c r="I4882" s="35"/>
      <c r="O4882" s="35"/>
    </row>
    <row r="4883" spans="9:15" x14ac:dyDescent="0.35">
      <c r="I4883" s="35"/>
      <c r="O4883" s="35"/>
    </row>
    <row r="4884" spans="9:15" x14ac:dyDescent="0.35">
      <c r="I4884" s="35"/>
      <c r="O4884" s="35"/>
    </row>
    <row r="4885" spans="9:15" x14ac:dyDescent="0.35">
      <c r="I4885" s="35"/>
      <c r="O4885" s="35"/>
    </row>
    <row r="4886" spans="9:15" x14ac:dyDescent="0.35">
      <c r="I4886" s="35"/>
      <c r="O4886" s="35"/>
    </row>
    <row r="4887" spans="9:15" x14ac:dyDescent="0.35">
      <c r="I4887" s="35"/>
      <c r="O4887" s="35"/>
    </row>
    <row r="4888" spans="9:15" x14ac:dyDescent="0.35">
      <c r="I4888" s="35"/>
      <c r="O4888" s="35"/>
    </row>
    <row r="4889" spans="9:15" x14ac:dyDescent="0.35">
      <c r="I4889" s="35"/>
      <c r="O4889" s="35"/>
    </row>
    <row r="4890" spans="9:15" x14ac:dyDescent="0.35">
      <c r="I4890" s="35"/>
      <c r="O4890" s="35"/>
    </row>
    <row r="4891" spans="9:15" x14ac:dyDescent="0.35">
      <c r="I4891" s="35"/>
      <c r="O4891" s="35"/>
    </row>
    <row r="4892" spans="9:15" x14ac:dyDescent="0.35">
      <c r="I4892" s="35"/>
      <c r="O4892" s="35"/>
    </row>
    <row r="4893" spans="9:15" x14ac:dyDescent="0.35">
      <c r="I4893" s="35"/>
      <c r="O4893" s="35"/>
    </row>
    <row r="4894" spans="9:15" x14ac:dyDescent="0.35">
      <c r="I4894" s="35"/>
      <c r="O4894" s="35"/>
    </row>
    <row r="4895" spans="9:15" x14ac:dyDescent="0.35">
      <c r="I4895" s="35"/>
      <c r="O4895" s="35"/>
    </row>
    <row r="4896" spans="9:15" x14ac:dyDescent="0.35">
      <c r="I4896" s="35"/>
      <c r="O4896" s="35"/>
    </row>
    <row r="4897" spans="9:15" x14ac:dyDescent="0.35">
      <c r="I4897" s="35"/>
      <c r="O4897" s="35"/>
    </row>
    <row r="4898" spans="9:15" x14ac:dyDescent="0.35">
      <c r="I4898" s="35"/>
      <c r="O4898" s="35"/>
    </row>
    <row r="4899" spans="9:15" x14ac:dyDescent="0.35">
      <c r="I4899" s="35"/>
      <c r="O4899" s="35"/>
    </row>
    <row r="4900" spans="9:15" x14ac:dyDescent="0.35">
      <c r="I4900" s="35"/>
      <c r="O4900" s="35"/>
    </row>
    <row r="4901" spans="9:15" x14ac:dyDescent="0.35">
      <c r="I4901" s="35"/>
      <c r="O4901" s="35"/>
    </row>
    <row r="4902" spans="9:15" x14ac:dyDescent="0.35">
      <c r="I4902" s="35"/>
      <c r="O4902" s="35"/>
    </row>
    <row r="4903" spans="9:15" x14ac:dyDescent="0.35">
      <c r="I4903" s="35"/>
      <c r="O4903" s="35"/>
    </row>
    <row r="4904" spans="9:15" x14ac:dyDescent="0.35">
      <c r="I4904" s="35"/>
      <c r="O4904" s="35"/>
    </row>
    <row r="4905" spans="9:15" x14ac:dyDescent="0.35">
      <c r="I4905" s="35"/>
      <c r="O4905" s="35"/>
    </row>
    <row r="4906" spans="9:15" x14ac:dyDescent="0.35">
      <c r="I4906" s="35"/>
      <c r="O4906" s="35"/>
    </row>
    <row r="4907" spans="9:15" x14ac:dyDescent="0.35">
      <c r="I4907" s="35"/>
      <c r="O4907" s="35"/>
    </row>
    <row r="4908" spans="9:15" x14ac:dyDescent="0.35">
      <c r="I4908" s="35"/>
      <c r="O4908" s="35"/>
    </row>
    <row r="4909" spans="9:15" x14ac:dyDescent="0.35">
      <c r="I4909" s="35"/>
      <c r="O4909" s="35"/>
    </row>
    <row r="4910" spans="9:15" x14ac:dyDescent="0.35">
      <c r="I4910" s="35"/>
      <c r="O4910" s="35"/>
    </row>
    <row r="4911" spans="9:15" x14ac:dyDescent="0.35">
      <c r="I4911" s="35"/>
      <c r="O4911" s="35"/>
    </row>
    <row r="4912" spans="9:15" x14ac:dyDescent="0.35">
      <c r="I4912" s="35"/>
      <c r="O4912" s="35"/>
    </row>
    <row r="4913" spans="9:15" x14ac:dyDescent="0.35">
      <c r="I4913" s="35"/>
      <c r="O4913" s="35"/>
    </row>
    <row r="4914" spans="9:15" x14ac:dyDescent="0.35">
      <c r="I4914" s="35"/>
      <c r="O4914" s="35"/>
    </row>
    <row r="4915" spans="9:15" x14ac:dyDescent="0.35">
      <c r="I4915" s="35"/>
      <c r="O4915" s="35"/>
    </row>
    <row r="4916" spans="9:15" x14ac:dyDescent="0.35">
      <c r="I4916" s="35"/>
      <c r="O4916" s="35"/>
    </row>
    <row r="4917" spans="9:15" x14ac:dyDescent="0.35">
      <c r="I4917" s="35"/>
      <c r="O4917" s="35"/>
    </row>
    <row r="4918" spans="9:15" x14ac:dyDescent="0.35">
      <c r="I4918" s="35"/>
      <c r="O4918" s="35"/>
    </row>
    <row r="4919" spans="9:15" x14ac:dyDescent="0.35">
      <c r="I4919" s="35"/>
      <c r="O4919" s="35"/>
    </row>
    <row r="4920" spans="9:15" x14ac:dyDescent="0.35">
      <c r="I4920" s="35"/>
      <c r="O4920" s="35"/>
    </row>
    <row r="4921" spans="9:15" x14ac:dyDescent="0.35">
      <c r="I4921" s="35"/>
      <c r="O4921" s="35"/>
    </row>
    <row r="4922" spans="9:15" x14ac:dyDescent="0.35">
      <c r="I4922" s="35"/>
      <c r="O4922" s="35"/>
    </row>
    <row r="4923" spans="9:15" x14ac:dyDescent="0.35">
      <c r="I4923" s="35"/>
      <c r="O4923" s="35"/>
    </row>
    <row r="4924" spans="9:15" x14ac:dyDescent="0.35">
      <c r="I4924" s="35"/>
      <c r="O4924" s="35"/>
    </row>
    <row r="4925" spans="9:15" x14ac:dyDescent="0.35">
      <c r="I4925" s="35"/>
      <c r="O4925" s="35"/>
    </row>
    <row r="4926" spans="9:15" x14ac:dyDescent="0.35">
      <c r="I4926" s="35"/>
      <c r="O4926" s="35"/>
    </row>
    <row r="4927" spans="9:15" x14ac:dyDescent="0.35">
      <c r="I4927" s="35"/>
      <c r="O4927" s="35"/>
    </row>
    <row r="4928" spans="9:15" x14ac:dyDescent="0.35">
      <c r="I4928" s="35"/>
      <c r="O4928" s="35"/>
    </row>
    <row r="4929" spans="9:15" x14ac:dyDescent="0.35">
      <c r="I4929" s="35"/>
      <c r="O4929" s="35"/>
    </row>
    <row r="4930" spans="9:15" x14ac:dyDescent="0.35">
      <c r="I4930" s="35"/>
      <c r="O4930" s="35"/>
    </row>
    <row r="4931" spans="9:15" x14ac:dyDescent="0.35">
      <c r="I4931" s="35"/>
      <c r="O4931" s="35"/>
    </row>
    <row r="4932" spans="9:15" x14ac:dyDescent="0.35">
      <c r="I4932" s="35"/>
      <c r="O4932" s="35"/>
    </row>
    <row r="4933" spans="9:15" x14ac:dyDescent="0.35">
      <c r="I4933" s="35"/>
      <c r="O4933" s="35"/>
    </row>
    <row r="4934" spans="9:15" x14ac:dyDescent="0.35">
      <c r="I4934" s="35"/>
      <c r="O4934" s="35"/>
    </row>
    <row r="4935" spans="9:15" x14ac:dyDescent="0.35">
      <c r="I4935" s="35"/>
      <c r="O4935" s="35"/>
    </row>
    <row r="4936" spans="9:15" x14ac:dyDescent="0.35">
      <c r="I4936" s="35"/>
      <c r="O4936" s="35"/>
    </row>
    <row r="4937" spans="9:15" x14ac:dyDescent="0.35">
      <c r="I4937" s="35"/>
      <c r="O4937" s="35"/>
    </row>
    <row r="4938" spans="9:15" x14ac:dyDescent="0.35">
      <c r="I4938" s="35"/>
      <c r="O4938" s="35"/>
    </row>
    <row r="4939" spans="9:15" x14ac:dyDescent="0.35">
      <c r="I4939" s="35"/>
      <c r="O4939" s="35"/>
    </row>
    <row r="4940" spans="9:15" x14ac:dyDescent="0.35">
      <c r="I4940" s="35"/>
      <c r="O4940" s="35"/>
    </row>
    <row r="4941" spans="9:15" x14ac:dyDescent="0.35">
      <c r="I4941" s="35"/>
      <c r="O4941" s="35"/>
    </row>
    <row r="4942" spans="9:15" x14ac:dyDescent="0.35">
      <c r="I4942" s="35"/>
      <c r="O4942" s="35"/>
    </row>
    <row r="4943" spans="9:15" x14ac:dyDescent="0.35">
      <c r="I4943" s="35"/>
      <c r="O4943" s="35"/>
    </row>
    <row r="4944" spans="9:15" x14ac:dyDescent="0.35">
      <c r="I4944" s="35"/>
      <c r="O4944" s="35"/>
    </row>
    <row r="4945" spans="9:15" x14ac:dyDescent="0.35">
      <c r="I4945" s="35"/>
      <c r="O4945" s="35"/>
    </row>
    <row r="4946" spans="9:15" x14ac:dyDescent="0.35">
      <c r="I4946" s="35"/>
      <c r="O4946" s="35"/>
    </row>
    <row r="4947" spans="9:15" x14ac:dyDescent="0.35">
      <c r="I4947" s="35"/>
      <c r="O4947" s="35"/>
    </row>
    <row r="4948" spans="9:15" x14ac:dyDescent="0.35">
      <c r="I4948" s="35"/>
      <c r="O4948" s="35"/>
    </row>
    <row r="4949" spans="9:15" x14ac:dyDescent="0.35">
      <c r="I4949" s="35"/>
      <c r="O4949" s="35"/>
    </row>
    <row r="4950" spans="9:15" x14ac:dyDescent="0.35">
      <c r="I4950" s="35"/>
      <c r="O4950" s="35"/>
    </row>
    <row r="4951" spans="9:15" x14ac:dyDescent="0.35">
      <c r="I4951" s="35"/>
      <c r="O4951" s="35"/>
    </row>
    <row r="4952" spans="9:15" x14ac:dyDescent="0.35">
      <c r="I4952" s="35"/>
      <c r="O4952" s="35"/>
    </row>
    <row r="4953" spans="9:15" x14ac:dyDescent="0.35">
      <c r="I4953" s="35"/>
      <c r="O4953" s="35"/>
    </row>
    <row r="4954" spans="9:15" x14ac:dyDescent="0.35">
      <c r="I4954" s="35"/>
      <c r="O4954" s="35"/>
    </row>
    <row r="4955" spans="9:15" x14ac:dyDescent="0.35">
      <c r="I4955" s="35"/>
      <c r="O4955" s="35"/>
    </row>
    <row r="4956" spans="9:15" x14ac:dyDescent="0.35">
      <c r="I4956" s="35"/>
      <c r="O4956" s="35"/>
    </row>
    <row r="4957" spans="9:15" x14ac:dyDescent="0.35">
      <c r="I4957" s="35"/>
      <c r="O4957" s="35"/>
    </row>
    <row r="4958" spans="9:15" x14ac:dyDescent="0.35">
      <c r="I4958" s="35"/>
      <c r="O4958" s="35"/>
    </row>
    <row r="4959" spans="9:15" x14ac:dyDescent="0.35">
      <c r="I4959" s="35"/>
      <c r="O4959" s="35"/>
    </row>
    <row r="4960" spans="9:15" x14ac:dyDescent="0.35">
      <c r="I4960" s="35"/>
      <c r="O4960" s="35"/>
    </row>
    <row r="4961" spans="9:15" x14ac:dyDescent="0.35">
      <c r="I4961" s="35"/>
      <c r="O4961" s="35"/>
    </row>
    <row r="4962" spans="9:15" x14ac:dyDescent="0.35">
      <c r="I4962" s="35"/>
      <c r="O4962" s="35"/>
    </row>
    <row r="4963" spans="9:15" x14ac:dyDescent="0.35">
      <c r="I4963" s="35"/>
      <c r="O4963" s="35"/>
    </row>
    <row r="4964" spans="9:15" x14ac:dyDescent="0.35">
      <c r="I4964" s="35"/>
      <c r="O4964" s="35"/>
    </row>
    <row r="4965" spans="9:15" x14ac:dyDescent="0.35">
      <c r="I4965" s="35"/>
      <c r="O4965" s="35"/>
    </row>
    <row r="4966" spans="9:15" x14ac:dyDescent="0.35">
      <c r="I4966" s="35"/>
      <c r="O4966" s="35"/>
    </row>
    <row r="4967" spans="9:15" x14ac:dyDescent="0.35">
      <c r="I4967" s="35"/>
      <c r="O4967" s="35"/>
    </row>
    <row r="4968" spans="9:15" x14ac:dyDescent="0.35">
      <c r="I4968" s="35"/>
      <c r="O4968" s="35"/>
    </row>
    <row r="4969" spans="9:15" x14ac:dyDescent="0.35">
      <c r="I4969" s="35"/>
      <c r="O4969" s="35"/>
    </row>
    <row r="4970" spans="9:15" x14ac:dyDescent="0.35">
      <c r="I4970" s="35"/>
      <c r="O4970" s="35"/>
    </row>
    <row r="4971" spans="9:15" x14ac:dyDescent="0.35">
      <c r="I4971" s="35"/>
      <c r="O4971" s="35"/>
    </row>
    <row r="4972" spans="9:15" x14ac:dyDescent="0.35">
      <c r="I4972" s="35"/>
      <c r="O4972" s="35"/>
    </row>
    <row r="4973" spans="9:15" x14ac:dyDescent="0.35">
      <c r="I4973" s="35"/>
      <c r="O4973" s="35"/>
    </row>
    <row r="4974" spans="9:15" x14ac:dyDescent="0.35">
      <c r="I4974" s="35"/>
      <c r="O4974" s="35"/>
    </row>
    <row r="4975" spans="9:15" x14ac:dyDescent="0.35">
      <c r="I4975" s="35"/>
      <c r="O4975" s="35"/>
    </row>
    <row r="4976" spans="9:15" x14ac:dyDescent="0.35">
      <c r="I4976" s="35"/>
      <c r="O4976" s="35"/>
    </row>
    <row r="4977" spans="9:15" x14ac:dyDescent="0.35">
      <c r="I4977" s="35"/>
      <c r="O4977" s="35"/>
    </row>
    <row r="4978" spans="9:15" x14ac:dyDescent="0.35">
      <c r="I4978" s="35"/>
      <c r="O4978" s="35"/>
    </row>
    <row r="4979" spans="9:15" x14ac:dyDescent="0.35">
      <c r="I4979" s="35"/>
      <c r="O4979" s="35"/>
    </row>
    <row r="4980" spans="9:15" x14ac:dyDescent="0.35">
      <c r="I4980" s="35"/>
      <c r="O4980" s="35"/>
    </row>
    <row r="4981" spans="9:15" x14ac:dyDescent="0.35">
      <c r="I4981" s="35"/>
      <c r="O4981" s="35"/>
    </row>
    <row r="4982" spans="9:15" x14ac:dyDescent="0.35">
      <c r="I4982" s="35"/>
      <c r="O4982" s="35"/>
    </row>
    <row r="4983" spans="9:15" x14ac:dyDescent="0.35">
      <c r="I4983" s="35"/>
      <c r="O4983" s="35"/>
    </row>
    <row r="4984" spans="9:15" x14ac:dyDescent="0.35">
      <c r="I4984" s="35"/>
      <c r="O4984" s="35"/>
    </row>
    <row r="4985" spans="9:15" x14ac:dyDescent="0.35">
      <c r="I4985" s="35"/>
      <c r="O4985" s="35"/>
    </row>
    <row r="4986" spans="9:15" x14ac:dyDescent="0.35">
      <c r="I4986" s="35"/>
      <c r="O4986" s="35"/>
    </row>
    <row r="4987" spans="9:15" x14ac:dyDescent="0.35">
      <c r="I4987" s="35"/>
      <c r="O4987" s="35"/>
    </row>
    <row r="4988" spans="9:15" x14ac:dyDescent="0.35">
      <c r="I4988" s="35"/>
      <c r="O4988" s="35"/>
    </row>
    <row r="4989" spans="9:15" x14ac:dyDescent="0.35">
      <c r="I4989" s="35"/>
      <c r="O4989" s="35"/>
    </row>
    <row r="4990" spans="9:15" x14ac:dyDescent="0.35">
      <c r="I4990" s="35"/>
      <c r="O4990" s="35"/>
    </row>
    <row r="4991" spans="9:15" x14ac:dyDescent="0.35">
      <c r="I4991" s="35"/>
      <c r="O4991" s="35"/>
    </row>
    <row r="4992" spans="9:15" x14ac:dyDescent="0.35">
      <c r="I4992" s="35"/>
      <c r="O4992" s="35"/>
    </row>
    <row r="4993" spans="9:15" x14ac:dyDescent="0.35">
      <c r="I4993" s="35"/>
      <c r="O4993" s="35"/>
    </row>
    <row r="4994" spans="9:15" x14ac:dyDescent="0.35">
      <c r="I4994" s="35"/>
      <c r="O4994" s="35"/>
    </row>
    <row r="4995" spans="9:15" x14ac:dyDescent="0.35">
      <c r="I4995" s="35"/>
      <c r="O4995" s="35"/>
    </row>
    <row r="4996" spans="9:15" x14ac:dyDescent="0.35">
      <c r="I4996" s="35"/>
      <c r="O4996" s="35"/>
    </row>
    <row r="4997" spans="9:15" x14ac:dyDescent="0.35">
      <c r="I4997" s="35"/>
      <c r="O4997" s="35"/>
    </row>
    <row r="4998" spans="9:15" x14ac:dyDescent="0.35">
      <c r="I4998" s="35"/>
      <c r="O4998" s="35"/>
    </row>
    <row r="4999" spans="9:15" x14ac:dyDescent="0.35">
      <c r="I4999" s="35"/>
      <c r="O4999" s="35"/>
    </row>
    <row r="5000" spans="9:15" x14ac:dyDescent="0.35">
      <c r="I5000" s="35"/>
      <c r="O5000" s="35"/>
    </row>
    <row r="5001" spans="9:15" x14ac:dyDescent="0.35">
      <c r="I5001" s="35"/>
      <c r="O5001" s="35"/>
    </row>
    <row r="5002" spans="9:15" x14ac:dyDescent="0.35">
      <c r="I5002" s="35"/>
      <c r="O5002" s="35"/>
    </row>
    <row r="5003" spans="9:15" x14ac:dyDescent="0.35">
      <c r="I5003" s="35"/>
      <c r="O5003" s="35"/>
    </row>
    <row r="5004" spans="9:15" x14ac:dyDescent="0.35">
      <c r="I5004" s="35"/>
      <c r="O5004" s="35"/>
    </row>
    <row r="5005" spans="9:15" x14ac:dyDescent="0.35">
      <c r="I5005" s="35"/>
      <c r="O5005" s="35"/>
    </row>
    <row r="5006" spans="9:15" x14ac:dyDescent="0.35">
      <c r="I5006" s="35"/>
      <c r="O5006" s="35"/>
    </row>
    <row r="5007" spans="9:15" x14ac:dyDescent="0.35">
      <c r="I5007" s="35"/>
      <c r="O5007" s="35"/>
    </row>
    <row r="5008" spans="9:15" x14ac:dyDescent="0.35">
      <c r="I5008" s="35"/>
      <c r="O5008" s="35"/>
    </row>
    <row r="5009" spans="9:15" x14ac:dyDescent="0.35">
      <c r="I5009" s="35"/>
      <c r="O5009" s="35"/>
    </row>
    <row r="5010" spans="9:15" x14ac:dyDescent="0.35">
      <c r="I5010" s="35"/>
      <c r="O5010" s="35"/>
    </row>
    <row r="5011" spans="9:15" x14ac:dyDescent="0.35">
      <c r="I5011" s="35"/>
      <c r="O5011" s="35"/>
    </row>
    <row r="5012" spans="9:15" x14ac:dyDescent="0.35">
      <c r="I5012" s="35"/>
      <c r="O5012" s="35"/>
    </row>
    <row r="5013" spans="9:15" x14ac:dyDescent="0.35">
      <c r="I5013" s="35"/>
      <c r="O5013" s="35"/>
    </row>
    <row r="5014" spans="9:15" x14ac:dyDescent="0.35">
      <c r="I5014" s="35"/>
      <c r="O5014" s="35"/>
    </row>
    <row r="5015" spans="9:15" x14ac:dyDescent="0.35">
      <c r="I5015" s="35"/>
      <c r="O5015" s="35"/>
    </row>
    <row r="5016" spans="9:15" x14ac:dyDescent="0.35">
      <c r="I5016" s="35"/>
      <c r="O5016" s="35"/>
    </row>
    <row r="5017" spans="9:15" x14ac:dyDescent="0.35">
      <c r="I5017" s="35"/>
      <c r="O5017" s="35"/>
    </row>
    <row r="5018" spans="9:15" x14ac:dyDescent="0.35">
      <c r="I5018" s="35"/>
      <c r="O5018" s="35"/>
    </row>
    <row r="5019" spans="9:15" x14ac:dyDescent="0.35">
      <c r="I5019" s="35"/>
      <c r="O5019" s="35"/>
    </row>
    <row r="5020" spans="9:15" x14ac:dyDescent="0.35">
      <c r="I5020" s="35"/>
      <c r="O5020" s="35"/>
    </row>
    <row r="5021" spans="9:15" x14ac:dyDescent="0.35">
      <c r="I5021" s="35"/>
      <c r="O5021" s="35"/>
    </row>
    <row r="5022" spans="9:15" x14ac:dyDescent="0.35">
      <c r="I5022" s="35"/>
      <c r="O5022" s="35"/>
    </row>
    <row r="5023" spans="9:15" x14ac:dyDescent="0.35">
      <c r="I5023" s="35"/>
      <c r="O5023" s="35"/>
    </row>
    <row r="5024" spans="9:15" x14ac:dyDescent="0.35">
      <c r="I5024" s="35"/>
      <c r="O5024" s="35"/>
    </row>
    <row r="5025" spans="9:15" x14ac:dyDescent="0.35">
      <c r="I5025" s="35"/>
      <c r="O5025" s="35"/>
    </row>
    <row r="5026" spans="9:15" x14ac:dyDescent="0.35">
      <c r="I5026" s="35"/>
      <c r="O5026" s="35"/>
    </row>
    <row r="5027" spans="9:15" x14ac:dyDescent="0.35">
      <c r="I5027" s="35"/>
      <c r="O5027" s="35"/>
    </row>
    <row r="5028" spans="9:15" x14ac:dyDescent="0.35">
      <c r="I5028" s="35"/>
      <c r="O5028" s="35"/>
    </row>
    <row r="5029" spans="9:15" x14ac:dyDescent="0.35">
      <c r="I5029" s="35"/>
      <c r="O5029" s="35"/>
    </row>
    <row r="5030" spans="9:15" x14ac:dyDescent="0.35">
      <c r="I5030" s="35"/>
      <c r="O5030" s="35"/>
    </row>
    <row r="5031" spans="9:15" x14ac:dyDescent="0.35">
      <c r="I5031" s="35"/>
      <c r="O5031" s="35"/>
    </row>
    <row r="5032" spans="9:15" x14ac:dyDescent="0.35">
      <c r="I5032" s="35"/>
      <c r="O5032" s="35"/>
    </row>
    <row r="5033" spans="9:15" x14ac:dyDescent="0.35">
      <c r="I5033" s="35"/>
      <c r="O5033" s="35"/>
    </row>
    <row r="5034" spans="9:15" x14ac:dyDescent="0.35">
      <c r="I5034" s="35"/>
      <c r="O5034" s="35"/>
    </row>
    <row r="5035" spans="9:15" x14ac:dyDescent="0.35">
      <c r="I5035" s="35"/>
      <c r="O5035" s="35"/>
    </row>
    <row r="5036" spans="9:15" x14ac:dyDescent="0.35">
      <c r="I5036" s="35"/>
      <c r="O5036" s="35"/>
    </row>
    <row r="5037" spans="9:15" x14ac:dyDescent="0.35">
      <c r="I5037" s="35"/>
      <c r="O5037" s="35"/>
    </row>
    <row r="5038" spans="9:15" x14ac:dyDescent="0.35">
      <c r="I5038" s="35"/>
      <c r="O5038" s="35"/>
    </row>
    <row r="5039" spans="9:15" x14ac:dyDescent="0.35">
      <c r="I5039" s="35"/>
      <c r="O5039" s="35"/>
    </row>
    <row r="5040" spans="9:15" x14ac:dyDescent="0.35">
      <c r="I5040" s="35"/>
      <c r="O5040" s="35"/>
    </row>
    <row r="5041" spans="9:15" x14ac:dyDescent="0.35">
      <c r="I5041" s="35"/>
      <c r="O5041" s="35"/>
    </row>
    <row r="5042" spans="9:15" x14ac:dyDescent="0.35">
      <c r="I5042" s="35"/>
      <c r="O5042" s="35"/>
    </row>
    <row r="5043" spans="9:15" x14ac:dyDescent="0.35">
      <c r="I5043" s="35"/>
      <c r="O5043" s="35"/>
    </row>
    <row r="5044" spans="9:15" x14ac:dyDescent="0.35">
      <c r="I5044" s="35"/>
      <c r="O5044" s="35"/>
    </row>
    <row r="5045" spans="9:15" x14ac:dyDescent="0.35">
      <c r="I5045" s="35"/>
      <c r="O5045" s="35"/>
    </row>
    <row r="5046" spans="9:15" x14ac:dyDescent="0.35">
      <c r="I5046" s="35"/>
      <c r="O5046" s="35"/>
    </row>
    <row r="5047" spans="9:15" x14ac:dyDescent="0.35">
      <c r="I5047" s="35"/>
      <c r="O5047" s="35"/>
    </row>
    <row r="5048" spans="9:15" x14ac:dyDescent="0.35">
      <c r="I5048" s="35"/>
      <c r="O5048" s="35"/>
    </row>
    <row r="5049" spans="9:15" x14ac:dyDescent="0.35">
      <c r="I5049" s="35"/>
      <c r="O5049" s="35"/>
    </row>
    <row r="5050" spans="9:15" x14ac:dyDescent="0.35">
      <c r="I5050" s="35"/>
      <c r="O5050" s="35"/>
    </row>
    <row r="5051" spans="9:15" x14ac:dyDescent="0.35">
      <c r="I5051" s="35"/>
      <c r="O5051" s="35"/>
    </row>
    <row r="5052" spans="9:15" x14ac:dyDescent="0.35">
      <c r="I5052" s="35"/>
      <c r="O5052" s="35"/>
    </row>
    <row r="5053" spans="9:15" x14ac:dyDescent="0.35">
      <c r="I5053" s="35"/>
      <c r="O5053" s="35"/>
    </row>
    <row r="5054" spans="9:15" x14ac:dyDescent="0.35">
      <c r="I5054" s="35"/>
      <c r="O5054" s="35"/>
    </row>
    <row r="5055" spans="9:15" x14ac:dyDescent="0.35">
      <c r="I5055" s="35"/>
      <c r="O5055" s="35"/>
    </row>
    <row r="5056" spans="9:15" x14ac:dyDescent="0.35">
      <c r="I5056" s="35"/>
      <c r="O5056" s="35"/>
    </row>
    <row r="5057" spans="9:15" x14ac:dyDescent="0.35">
      <c r="I5057" s="35"/>
      <c r="O5057" s="35"/>
    </row>
    <row r="5058" spans="9:15" x14ac:dyDescent="0.35">
      <c r="I5058" s="35"/>
      <c r="O5058" s="35"/>
    </row>
    <row r="5059" spans="9:15" x14ac:dyDescent="0.35">
      <c r="I5059" s="35"/>
      <c r="O5059" s="35"/>
    </row>
    <row r="5060" spans="9:15" x14ac:dyDescent="0.35">
      <c r="I5060" s="35"/>
      <c r="O5060" s="35"/>
    </row>
    <row r="5061" spans="9:15" x14ac:dyDescent="0.35">
      <c r="I5061" s="35"/>
      <c r="O5061" s="35"/>
    </row>
    <row r="5062" spans="9:15" x14ac:dyDescent="0.35">
      <c r="I5062" s="35"/>
      <c r="O5062" s="35"/>
    </row>
    <row r="5063" spans="9:15" x14ac:dyDescent="0.35">
      <c r="I5063" s="35"/>
      <c r="O5063" s="35"/>
    </row>
    <row r="5064" spans="9:15" x14ac:dyDescent="0.35">
      <c r="I5064" s="35"/>
      <c r="O5064" s="35"/>
    </row>
    <row r="5065" spans="9:15" x14ac:dyDescent="0.35">
      <c r="I5065" s="35"/>
      <c r="O5065" s="35"/>
    </row>
    <row r="5066" spans="9:15" x14ac:dyDescent="0.35">
      <c r="I5066" s="35"/>
      <c r="O5066" s="35"/>
    </row>
    <row r="5067" spans="9:15" x14ac:dyDescent="0.35">
      <c r="I5067" s="35"/>
      <c r="O5067" s="35"/>
    </row>
    <row r="5068" spans="9:15" x14ac:dyDescent="0.35">
      <c r="I5068" s="35"/>
      <c r="O5068" s="35"/>
    </row>
    <row r="5069" spans="9:15" x14ac:dyDescent="0.35">
      <c r="I5069" s="35"/>
      <c r="O5069" s="35"/>
    </row>
    <row r="5070" spans="9:15" x14ac:dyDescent="0.35">
      <c r="I5070" s="35"/>
      <c r="O5070" s="35"/>
    </row>
    <row r="5071" spans="9:15" x14ac:dyDescent="0.35">
      <c r="I5071" s="35"/>
      <c r="O5071" s="35"/>
    </row>
    <row r="5072" spans="9:15" x14ac:dyDescent="0.35">
      <c r="I5072" s="35"/>
      <c r="O5072" s="35"/>
    </row>
    <row r="5073" spans="9:15" x14ac:dyDescent="0.35">
      <c r="I5073" s="35"/>
      <c r="O5073" s="35"/>
    </row>
    <row r="5074" spans="9:15" x14ac:dyDescent="0.35">
      <c r="I5074" s="35"/>
      <c r="O5074" s="35"/>
    </row>
    <row r="5075" spans="9:15" x14ac:dyDescent="0.35">
      <c r="I5075" s="35"/>
      <c r="O5075" s="35"/>
    </row>
    <row r="5076" spans="9:15" x14ac:dyDescent="0.35">
      <c r="I5076" s="35"/>
      <c r="O5076" s="35"/>
    </row>
    <row r="5077" spans="9:15" x14ac:dyDescent="0.35">
      <c r="I5077" s="35"/>
      <c r="O5077" s="35"/>
    </row>
    <row r="5078" spans="9:15" x14ac:dyDescent="0.35">
      <c r="I5078" s="35"/>
      <c r="O5078" s="35"/>
    </row>
    <row r="5079" spans="9:15" x14ac:dyDescent="0.35">
      <c r="I5079" s="35"/>
      <c r="O5079" s="35"/>
    </row>
    <row r="5080" spans="9:15" x14ac:dyDescent="0.35">
      <c r="I5080" s="35"/>
      <c r="O5080" s="35"/>
    </row>
    <row r="5081" spans="9:15" x14ac:dyDescent="0.35">
      <c r="I5081" s="35"/>
      <c r="O5081" s="35"/>
    </row>
    <row r="5082" spans="9:15" x14ac:dyDescent="0.35">
      <c r="I5082" s="35"/>
      <c r="O5082" s="35"/>
    </row>
    <row r="5083" spans="9:15" x14ac:dyDescent="0.35">
      <c r="I5083" s="35"/>
      <c r="O5083" s="35"/>
    </row>
    <row r="5084" spans="9:15" x14ac:dyDescent="0.35">
      <c r="I5084" s="35"/>
      <c r="O5084" s="35"/>
    </row>
    <row r="5085" spans="9:15" x14ac:dyDescent="0.35">
      <c r="I5085" s="35"/>
      <c r="O5085" s="35"/>
    </row>
    <row r="5086" spans="9:15" x14ac:dyDescent="0.35">
      <c r="I5086" s="35"/>
      <c r="O5086" s="35"/>
    </row>
    <row r="5087" spans="9:15" x14ac:dyDescent="0.35">
      <c r="I5087" s="35"/>
      <c r="O5087" s="35"/>
    </row>
    <row r="5088" spans="9:15" x14ac:dyDescent="0.35">
      <c r="I5088" s="35"/>
      <c r="O5088" s="35"/>
    </row>
    <row r="5089" spans="9:15" x14ac:dyDescent="0.35">
      <c r="I5089" s="35"/>
      <c r="O5089" s="35"/>
    </row>
    <row r="5090" spans="9:15" x14ac:dyDescent="0.35">
      <c r="I5090" s="35"/>
      <c r="O5090" s="35"/>
    </row>
    <row r="5091" spans="9:15" x14ac:dyDescent="0.35">
      <c r="I5091" s="35"/>
      <c r="O5091" s="35"/>
    </row>
    <row r="5092" spans="9:15" x14ac:dyDescent="0.35">
      <c r="I5092" s="35"/>
      <c r="O5092" s="35"/>
    </row>
    <row r="5093" spans="9:15" x14ac:dyDescent="0.35">
      <c r="I5093" s="35"/>
      <c r="O5093" s="35"/>
    </row>
    <row r="5094" spans="9:15" x14ac:dyDescent="0.35">
      <c r="I5094" s="35"/>
      <c r="O5094" s="35"/>
    </row>
    <row r="5095" spans="9:15" x14ac:dyDescent="0.35">
      <c r="I5095" s="35"/>
      <c r="O5095" s="35"/>
    </row>
    <row r="5096" spans="9:15" x14ac:dyDescent="0.35">
      <c r="I5096" s="35"/>
      <c r="O5096" s="35"/>
    </row>
    <row r="5097" spans="9:15" x14ac:dyDescent="0.35">
      <c r="I5097" s="35"/>
      <c r="O5097" s="35"/>
    </row>
    <row r="5098" spans="9:15" x14ac:dyDescent="0.35">
      <c r="I5098" s="35"/>
      <c r="O5098" s="35"/>
    </row>
    <row r="5099" spans="9:15" x14ac:dyDescent="0.35">
      <c r="I5099" s="35"/>
      <c r="O5099" s="35"/>
    </row>
    <row r="5100" spans="9:15" x14ac:dyDescent="0.35">
      <c r="I5100" s="35"/>
      <c r="O5100" s="35"/>
    </row>
    <row r="5101" spans="9:15" x14ac:dyDescent="0.35">
      <c r="I5101" s="35"/>
      <c r="O5101" s="35"/>
    </row>
    <row r="5102" spans="9:15" x14ac:dyDescent="0.35">
      <c r="I5102" s="35"/>
      <c r="O5102" s="35"/>
    </row>
    <row r="5103" spans="9:15" x14ac:dyDescent="0.35">
      <c r="I5103" s="35"/>
      <c r="O5103" s="35"/>
    </row>
    <row r="5104" spans="9:15" x14ac:dyDescent="0.35">
      <c r="I5104" s="35"/>
      <c r="O5104" s="35"/>
    </row>
    <row r="5105" spans="9:15" x14ac:dyDescent="0.35">
      <c r="I5105" s="35"/>
      <c r="O5105" s="35"/>
    </row>
    <row r="5106" spans="9:15" x14ac:dyDescent="0.35">
      <c r="I5106" s="35"/>
      <c r="O5106" s="35"/>
    </row>
    <row r="5107" spans="9:15" x14ac:dyDescent="0.35">
      <c r="I5107" s="35"/>
      <c r="O5107" s="35"/>
    </row>
    <row r="5108" spans="9:15" x14ac:dyDescent="0.35">
      <c r="I5108" s="35"/>
      <c r="O5108" s="35"/>
    </row>
    <row r="5109" spans="9:15" x14ac:dyDescent="0.35">
      <c r="I5109" s="35"/>
      <c r="O5109" s="35"/>
    </row>
    <row r="5110" spans="9:15" x14ac:dyDescent="0.35">
      <c r="I5110" s="35"/>
      <c r="O5110" s="35"/>
    </row>
    <row r="5111" spans="9:15" x14ac:dyDescent="0.35">
      <c r="I5111" s="35"/>
      <c r="O5111" s="35"/>
    </row>
    <row r="5112" spans="9:15" x14ac:dyDescent="0.35">
      <c r="I5112" s="35"/>
      <c r="O5112" s="35"/>
    </row>
    <row r="5113" spans="9:15" x14ac:dyDescent="0.35">
      <c r="I5113" s="35"/>
      <c r="O5113" s="35"/>
    </row>
    <row r="5114" spans="9:15" x14ac:dyDescent="0.35">
      <c r="I5114" s="35"/>
      <c r="O5114" s="35"/>
    </row>
    <row r="5115" spans="9:15" x14ac:dyDescent="0.35">
      <c r="I5115" s="35"/>
      <c r="O5115" s="35"/>
    </row>
    <row r="5116" spans="9:15" x14ac:dyDescent="0.35">
      <c r="I5116" s="35"/>
      <c r="O5116" s="35"/>
    </row>
    <row r="5117" spans="9:15" x14ac:dyDescent="0.35">
      <c r="I5117" s="35"/>
      <c r="O5117" s="35"/>
    </row>
    <row r="5118" spans="9:15" x14ac:dyDescent="0.35">
      <c r="I5118" s="35"/>
      <c r="O5118" s="35"/>
    </row>
    <row r="5119" spans="9:15" x14ac:dyDescent="0.35">
      <c r="I5119" s="35"/>
      <c r="O5119" s="35"/>
    </row>
    <row r="5120" spans="9:15" x14ac:dyDescent="0.35">
      <c r="I5120" s="35"/>
      <c r="O5120" s="35"/>
    </row>
    <row r="5121" spans="9:15" x14ac:dyDescent="0.35">
      <c r="I5121" s="35"/>
      <c r="O5121" s="35"/>
    </row>
    <row r="5122" spans="9:15" x14ac:dyDescent="0.35">
      <c r="I5122" s="35"/>
      <c r="O5122" s="35"/>
    </row>
    <row r="5123" spans="9:15" x14ac:dyDescent="0.35">
      <c r="I5123" s="35"/>
      <c r="O5123" s="35"/>
    </row>
    <row r="5124" spans="9:15" x14ac:dyDescent="0.35">
      <c r="I5124" s="35"/>
      <c r="O5124" s="35"/>
    </row>
    <row r="5125" spans="9:15" x14ac:dyDescent="0.35">
      <c r="I5125" s="35"/>
      <c r="O5125" s="35"/>
    </row>
    <row r="5126" spans="9:15" x14ac:dyDescent="0.35">
      <c r="I5126" s="35"/>
      <c r="O5126" s="35"/>
    </row>
    <row r="5127" spans="9:15" x14ac:dyDescent="0.35">
      <c r="I5127" s="35"/>
      <c r="O5127" s="35"/>
    </row>
    <row r="5128" spans="9:15" x14ac:dyDescent="0.35">
      <c r="I5128" s="35"/>
      <c r="O5128" s="35"/>
    </row>
    <row r="5129" spans="9:15" x14ac:dyDescent="0.35">
      <c r="I5129" s="35"/>
      <c r="O5129" s="35"/>
    </row>
    <row r="5130" spans="9:15" x14ac:dyDescent="0.35">
      <c r="I5130" s="35"/>
      <c r="O5130" s="35"/>
    </row>
    <row r="5131" spans="9:15" x14ac:dyDescent="0.35">
      <c r="I5131" s="35"/>
      <c r="O5131" s="35"/>
    </row>
    <row r="5132" spans="9:15" x14ac:dyDescent="0.35">
      <c r="I5132" s="35"/>
      <c r="O5132" s="35"/>
    </row>
    <row r="5133" spans="9:15" x14ac:dyDescent="0.35">
      <c r="I5133" s="35"/>
      <c r="O5133" s="35"/>
    </row>
    <row r="5134" spans="9:15" x14ac:dyDescent="0.35">
      <c r="I5134" s="35"/>
      <c r="O5134" s="35"/>
    </row>
    <row r="5135" spans="9:15" x14ac:dyDescent="0.35">
      <c r="I5135" s="35"/>
      <c r="O5135" s="35"/>
    </row>
    <row r="5136" spans="9:15" x14ac:dyDescent="0.35">
      <c r="I5136" s="35"/>
      <c r="O5136" s="35"/>
    </row>
    <row r="5137" spans="9:15" x14ac:dyDescent="0.35">
      <c r="I5137" s="35"/>
      <c r="O5137" s="35"/>
    </row>
    <row r="5138" spans="9:15" x14ac:dyDescent="0.35">
      <c r="I5138" s="35"/>
      <c r="O5138" s="35"/>
    </row>
    <row r="5139" spans="9:15" x14ac:dyDescent="0.35">
      <c r="I5139" s="35"/>
      <c r="O5139" s="35"/>
    </row>
    <row r="5140" spans="9:15" x14ac:dyDescent="0.35">
      <c r="I5140" s="35"/>
      <c r="O5140" s="35"/>
    </row>
    <row r="5141" spans="9:15" x14ac:dyDescent="0.35">
      <c r="I5141" s="35"/>
      <c r="O5141" s="35"/>
    </row>
    <row r="5142" spans="9:15" x14ac:dyDescent="0.35">
      <c r="I5142" s="35"/>
      <c r="O5142" s="35"/>
    </row>
    <row r="5143" spans="9:15" x14ac:dyDescent="0.35">
      <c r="I5143" s="35"/>
      <c r="O5143" s="35"/>
    </row>
    <row r="5144" spans="9:15" x14ac:dyDescent="0.35">
      <c r="I5144" s="35"/>
      <c r="O5144" s="35"/>
    </row>
    <row r="5145" spans="9:15" x14ac:dyDescent="0.35">
      <c r="I5145" s="35"/>
      <c r="O5145" s="35"/>
    </row>
    <row r="5146" spans="9:15" x14ac:dyDescent="0.35">
      <c r="I5146" s="35"/>
      <c r="O5146" s="35"/>
    </row>
    <row r="5147" spans="9:15" x14ac:dyDescent="0.35">
      <c r="I5147" s="35"/>
      <c r="O5147" s="35"/>
    </row>
    <row r="5148" spans="9:15" x14ac:dyDescent="0.35">
      <c r="I5148" s="35"/>
      <c r="O5148" s="35"/>
    </row>
    <row r="5149" spans="9:15" x14ac:dyDescent="0.35">
      <c r="I5149" s="35"/>
      <c r="O5149" s="35"/>
    </row>
    <row r="5150" spans="9:15" x14ac:dyDescent="0.35">
      <c r="I5150" s="35"/>
      <c r="O5150" s="35"/>
    </row>
    <row r="5151" spans="9:15" x14ac:dyDescent="0.35">
      <c r="I5151" s="35"/>
      <c r="O5151" s="35"/>
    </row>
    <row r="5152" spans="9:15" x14ac:dyDescent="0.35">
      <c r="I5152" s="35"/>
      <c r="O5152" s="35"/>
    </row>
    <row r="5153" spans="9:15" x14ac:dyDescent="0.35">
      <c r="I5153" s="35"/>
      <c r="O5153" s="35"/>
    </row>
    <row r="5154" spans="9:15" x14ac:dyDescent="0.35">
      <c r="I5154" s="35"/>
      <c r="O5154" s="35"/>
    </row>
    <row r="5155" spans="9:15" x14ac:dyDescent="0.35">
      <c r="I5155" s="35"/>
      <c r="O5155" s="35"/>
    </row>
    <row r="5156" spans="9:15" x14ac:dyDescent="0.35">
      <c r="I5156" s="35"/>
      <c r="O5156" s="35"/>
    </row>
    <row r="5157" spans="9:15" x14ac:dyDescent="0.35">
      <c r="I5157" s="35"/>
      <c r="O5157" s="35"/>
    </row>
    <row r="5158" spans="9:15" x14ac:dyDescent="0.35">
      <c r="I5158" s="35"/>
      <c r="O5158" s="35"/>
    </row>
    <row r="5159" spans="9:15" x14ac:dyDescent="0.35">
      <c r="I5159" s="35"/>
      <c r="O5159" s="35"/>
    </row>
    <row r="5160" spans="9:15" x14ac:dyDescent="0.35">
      <c r="I5160" s="35"/>
      <c r="O5160" s="35"/>
    </row>
    <row r="5161" spans="9:15" x14ac:dyDescent="0.35">
      <c r="I5161" s="35"/>
      <c r="O5161" s="35"/>
    </row>
    <row r="5162" spans="9:15" x14ac:dyDescent="0.35">
      <c r="I5162" s="35"/>
      <c r="O5162" s="35"/>
    </row>
    <row r="5163" spans="9:15" x14ac:dyDescent="0.35">
      <c r="I5163" s="35"/>
      <c r="O5163" s="35"/>
    </row>
    <row r="5164" spans="9:15" x14ac:dyDescent="0.35">
      <c r="I5164" s="35"/>
      <c r="O5164" s="35"/>
    </row>
    <row r="5165" spans="9:15" x14ac:dyDescent="0.35">
      <c r="I5165" s="35"/>
      <c r="O5165" s="35"/>
    </row>
    <row r="5166" spans="9:15" x14ac:dyDescent="0.35">
      <c r="I5166" s="35"/>
      <c r="O5166" s="35"/>
    </row>
    <row r="5167" spans="9:15" x14ac:dyDescent="0.35">
      <c r="I5167" s="35"/>
      <c r="O5167" s="35"/>
    </row>
    <row r="5168" spans="9:15" x14ac:dyDescent="0.35">
      <c r="I5168" s="35"/>
      <c r="O5168" s="35"/>
    </row>
    <row r="5169" spans="9:15" x14ac:dyDescent="0.35">
      <c r="I5169" s="35"/>
      <c r="O5169" s="35"/>
    </row>
    <row r="5170" spans="9:15" x14ac:dyDescent="0.35">
      <c r="I5170" s="35"/>
      <c r="O5170" s="35"/>
    </row>
    <row r="5171" spans="9:15" x14ac:dyDescent="0.35">
      <c r="I5171" s="35"/>
      <c r="O5171" s="35"/>
    </row>
    <row r="5172" spans="9:15" x14ac:dyDescent="0.35">
      <c r="I5172" s="35"/>
      <c r="O5172" s="35"/>
    </row>
    <row r="5173" spans="9:15" x14ac:dyDescent="0.35">
      <c r="I5173" s="35"/>
      <c r="O5173" s="35"/>
    </row>
    <row r="5174" spans="9:15" x14ac:dyDescent="0.35">
      <c r="I5174" s="35"/>
      <c r="O5174" s="35"/>
    </row>
    <row r="5175" spans="9:15" x14ac:dyDescent="0.35">
      <c r="I5175" s="35"/>
      <c r="O5175" s="35"/>
    </row>
    <row r="5176" spans="9:15" x14ac:dyDescent="0.35">
      <c r="I5176" s="35"/>
      <c r="O5176" s="35"/>
    </row>
    <row r="5177" spans="9:15" x14ac:dyDescent="0.35">
      <c r="I5177" s="35"/>
      <c r="O5177" s="35"/>
    </row>
    <row r="5178" spans="9:15" x14ac:dyDescent="0.35">
      <c r="I5178" s="35"/>
      <c r="O5178" s="35"/>
    </row>
    <row r="5179" spans="9:15" x14ac:dyDescent="0.35">
      <c r="I5179" s="35"/>
      <c r="O5179" s="35"/>
    </row>
    <row r="5180" spans="9:15" x14ac:dyDescent="0.35">
      <c r="I5180" s="35"/>
      <c r="O5180" s="35"/>
    </row>
    <row r="5181" spans="9:15" x14ac:dyDescent="0.35">
      <c r="I5181" s="35"/>
      <c r="O5181" s="35"/>
    </row>
    <row r="5182" spans="9:15" x14ac:dyDescent="0.35">
      <c r="I5182" s="35"/>
      <c r="O5182" s="35"/>
    </row>
    <row r="5183" spans="9:15" x14ac:dyDescent="0.35">
      <c r="I5183" s="35"/>
      <c r="O5183" s="35"/>
    </row>
    <row r="5184" spans="9:15" x14ac:dyDescent="0.35">
      <c r="I5184" s="35"/>
      <c r="O5184" s="35"/>
    </row>
    <row r="5185" spans="9:15" x14ac:dyDescent="0.35">
      <c r="I5185" s="35"/>
      <c r="O5185" s="35"/>
    </row>
    <row r="5186" spans="9:15" x14ac:dyDescent="0.35">
      <c r="I5186" s="35"/>
      <c r="O5186" s="35"/>
    </row>
    <row r="5187" spans="9:15" x14ac:dyDescent="0.35">
      <c r="I5187" s="35"/>
      <c r="O5187" s="35"/>
    </row>
    <row r="5188" spans="9:15" x14ac:dyDescent="0.35">
      <c r="I5188" s="35"/>
      <c r="O5188" s="35"/>
    </row>
    <row r="5189" spans="9:15" x14ac:dyDescent="0.35">
      <c r="I5189" s="35"/>
      <c r="O5189" s="35"/>
    </row>
    <row r="5190" spans="9:15" x14ac:dyDescent="0.35">
      <c r="I5190" s="35"/>
      <c r="O5190" s="35"/>
    </row>
    <row r="5191" spans="9:15" x14ac:dyDescent="0.35">
      <c r="I5191" s="35"/>
      <c r="O5191" s="35"/>
    </row>
    <row r="5192" spans="9:15" x14ac:dyDescent="0.35">
      <c r="I5192" s="35"/>
      <c r="O5192" s="35"/>
    </row>
    <row r="5193" spans="9:15" x14ac:dyDescent="0.35">
      <c r="I5193" s="35"/>
      <c r="O5193" s="35"/>
    </row>
    <row r="5194" spans="9:15" x14ac:dyDescent="0.35">
      <c r="I5194" s="35"/>
      <c r="O5194" s="35"/>
    </row>
    <row r="5195" spans="9:15" x14ac:dyDescent="0.35">
      <c r="I5195" s="35"/>
      <c r="O5195" s="35"/>
    </row>
    <row r="5196" spans="9:15" x14ac:dyDescent="0.35">
      <c r="I5196" s="35"/>
      <c r="O5196" s="35"/>
    </row>
    <row r="5197" spans="9:15" x14ac:dyDescent="0.35">
      <c r="I5197" s="35"/>
      <c r="O5197" s="35"/>
    </row>
    <row r="5198" spans="9:15" x14ac:dyDescent="0.35">
      <c r="I5198" s="35"/>
      <c r="O5198" s="35"/>
    </row>
    <row r="5199" spans="9:15" x14ac:dyDescent="0.35">
      <c r="I5199" s="35"/>
      <c r="O5199" s="35"/>
    </row>
    <row r="5200" spans="9:15" x14ac:dyDescent="0.35">
      <c r="I5200" s="35"/>
      <c r="O5200" s="35"/>
    </row>
    <row r="5201" spans="9:15" x14ac:dyDescent="0.35">
      <c r="I5201" s="35"/>
      <c r="O5201" s="35"/>
    </row>
    <row r="5202" spans="9:15" x14ac:dyDescent="0.35">
      <c r="I5202" s="35"/>
      <c r="O5202" s="35"/>
    </row>
    <row r="5203" spans="9:15" x14ac:dyDescent="0.35">
      <c r="I5203" s="35"/>
      <c r="O5203" s="35"/>
    </row>
    <row r="5204" spans="9:15" x14ac:dyDescent="0.35">
      <c r="I5204" s="35"/>
      <c r="O5204" s="35"/>
    </row>
    <row r="5205" spans="9:15" x14ac:dyDescent="0.35">
      <c r="I5205" s="35"/>
      <c r="O5205" s="35"/>
    </row>
    <row r="5206" spans="9:15" x14ac:dyDescent="0.35">
      <c r="I5206" s="35"/>
      <c r="O5206" s="35"/>
    </row>
    <row r="5207" spans="9:15" x14ac:dyDescent="0.35">
      <c r="I5207" s="35"/>
      <c r="O5207" s="35"/>
    </row>
    <row r="5208" spans="9:15" x14ac:dyDescent="0.35">
      <c r="I5208" s="35"/>
      <c r="O5208" s="35"/>
    </row>
    <row r="5209" spans="9:15" x14ac:dyDescent="0.35">
      <c r="I5209" s="35"/>
      <c r="O5209" s="35"/>
    </row>
    <row r="5210" spans="9:15" x14ac:dyDescent="0.35">
      <c r="I5210" s="35"/>
      <c r="O5210" s="35"/>
    </row>
    <row r="5211" spans="9:15" x14ac:dyDescent="0.35">
      <c r="I5211" s="35"/>
      <c r="O5211" s="35"/>
    </row>
    <row r="5212" spans="9:15" x14ac:dyDescent="0.35">
      <c r="I5212" s="35"/>
      <c r="O5212" s="35"/>
    </row>
    <row r="5213" spans="9:15" x14ac:dyDescent="0.35">
      <c r="I5213" s="35"/>
      <c r="O5213" s="35"/>
    </row>
    <row r="5214" spans="9:15" x14ac:dyDescent="0.35">
      <c r="I5214" s="35"/>
      <c r="O5214" s="35"/>
    </row>
    <row r="5215" spans="9:15" x14ac:dyDescent="0.35">
      <c r="I5215" s="35"/>
      <c r="O5215" s="35"/>
    </row>
    <row r="5216" spans="9:15" x14ac:dyDescent="0.35">
      <c r="I5216" s="35"/>
      <c r="O5216" s="35"/>
    </row>
    <row r="5217" spans="9:15" x14ac:dyDescent="0.35">
      <c r="I5217" s="35"/>
      <c r="O5217" s="35"/>
    </row>
    <row r="5218" spans="9:15" x14ac:dyDescent="0.35">
      <c r="I5218" s="35"/>
      <c r="O5218" s="35"/>
    </row>
    <row r="5219" spans="9:15" x14ac:dyDescent="0.35">
      <c r="I5219" s="35"/>
      <c r="O5219" s="35"/>
    </row>
    <row r="5220" spans="9:15" x14ac:dyDescent="0.35">
      <c r="I5220" s="35"/>
      <c r="O5220" s="35"/>
    </row>
    <row r="5221" spans="9:15" x14ac:dyDescent="0.35">
      <c r="I5221" s="35"/>
      <c r="O5221" s="35"/>
    </row>
    <row r="5222" spans="9:15" x14ac:dyDescent="0.35">
      <c r="I5222" s="35"/>
      <c r="O5222" s="35"/>
    </row>
    <row r="5223" spans="9:15" x14ac:dyDescent="0.35">
      <c r="I5223" s="35"/>
      <c r="O5223" s="35"/>
    </row>
    <row r="5224" spans="9:15" x14ac:dyDescent="0.35">
      <c r="I5224" s="35"/>
      <c r="O5224" s="35"/>
    </row>
    <row r="5225" spans="9:15" x14ac:dyDescent="0.35">
      <c r="I5225" s="35"/>
      <c r="O5225" s="35"/>
    </row>
    <row r="5226" spans="9:15" x14ac:dyDescent="0.35">
      <c r="I5226" s="35"/>
      <c r="O5226" s="35"/>
    </row>
    <row r="5227" spans="9:15" x14ac:dyDescent="0.35">
      <c r="I5227" s="35"/>
      <c r="O5227" s="35"/>
    </row>
    <row r="5228" spans="9:15" x14ac:dyDescent="0.35">
      <c r="I5228" s="35"/>
      <c r="O5228" s="35"/>
    </row>
    <row r="5229" spans="9:15" x14ac:dyDescent="0.35">
      <c r="I5229" s="35"/>
      <c r="O5229" s="35"/>
    </row>
    <row r="5230" spans="9:15" x14ac:dyDescent="0.35">
      <c r="I5230" s="35"/>
      <c r="O5230" s="35"/>
    </row>
    <row r="5231" spans="9:15" x14ac:dyDescent="0.35">
      <c r="I5231" s="35"/>
      <c r="O5231" s="35"/>
    </row>
    <row r="5232" spans="9:15" x14ac:dyDescent="0.35">
      <c r="I5232" s="35"/>
      <c r="O5232" s="35"/>
    </row>
    <row r="5233" spans="9:15" x14ac:dyDescent="0.35">
      <c r="I5233" s="35"/>
      <c r="O5233" s="35"/>
    </row>
    <row r="5234" spans="9:15" x14ac:dyDescent="0.35">
      <c r="I5234" s="35"/>
      <c r="O5234" s="35"/>
    </row>
    <row r="5235" spans="9:15" x14ac:dyDescent="0.35">
      <c r="I5235" s="35"/>
      <c r="O5235" s="35"/>
    </row>
    <row r="5236" spans="9:15" x14ac:dyDescent="0.35">
      <c r="I5236" s="35"/>
      <c r="O5236" s="35"/>
    </row>
    <row r="5237" spans="9:15" x14ac:dyDescent="0.35">
      <c r="I5237" s="35"/>
      <c r="O5237" s="35"/>
    </row>
    <row r="5238" spans="9:15" x14ac:dyDescent="0.35">
      <c r="I5238" s="35"/>
      <c r="O5238" s="35"/>
    </row>
    <row r="5239" spans="9:15" x14ac:dyDescent="0.35">
      <c r="I5239" s="35"/>
      <c r="O5239" s="35"/>
    </row>
    <row r="5240" spans="9:15" x14ac:dyDescent="0.35">
      <c r="I5240" s="35"/>
      <c r="O5240" s="35"/>
    </row>
    <row r="5241" spans="9:15" x14ac:dyDescent="0.35">
      <c r="I5241" s="35"/>
      <c r="O5241" s="35"/>
    </row>
    <row r="5242" spans="9:15" x14ac:dyDescent="0.35">
      <c r="I5242" s="35"/>
      <c r="O5242" s="35"/>
    </row>
    <row r="5243" spans="9:15" x14ac:dyDescent="0.35">
      <c r="I5243" s="35"/>
      <c r="O5243" s="35"/>
    </row>
    <row r="5244" spans="9:15" x14ac:dyDescent="0.35">
      <c r="I5244" s="35"/>
      <c r="O5244" s="35"/>
    </row>
    <row r="5245" spans="9:15" x14ac:dyDescent="0.35">
      <c r="I5245" s="35"/>
      <c r="O5245" s="35"/>
    </row>
    <row r="5246" spans="9:15" x14ac:dyDescent="0.35">
      <c r="I5246" s="35"/>
      <c r="O5246" s="35"/>
    </row>
    <row r="5247" spans="9:15" x14ac:dyDescent="0.35">
      <c r="I5247" s="35"/>
      <c r="O5247" s="35"/>
    </row>
    <row r="5248" spans="9:15" x14ac:dyDescent="0.35">
      <c r="I5248" s="35"/>
      <c r="O5248" s="35"/>
    </row>
    <row r="5249" spans="9:15" x14ac:dyDescent="0.35">
      <c r="I5249" s="35"/>
      <c r="O5249" s="35"/>
    </row>
    <row r="5250" spans="9:15" x14ac:dyDescent="0.35">
      <c r="I5250" s="35"/>
      <c r="O5250" s="35"/>
    </row>
    <row r="5251" spans="9:15" x14ac:dyDescent="0.35">
      <c r="I5251" s="35"/>
      <c r="O5251" s="35"/>
    </row>
    <row r="5252" spans="9:15" x14ac:dyDescent="0.35">
      <c r="I5252" s="35"/>
      <c r="O5252" s="35"/>
    </row>
    <row r="5253" spans="9:15" x14ac:dyDescent="0.35">
      <c r="I5253" s="35"/>
      <c r="O5253" s="35"/>
    </row>
    <row r="5254" spans="9:15" x14ac:dyDescent="0.35">
      <c r="I5254" s="35"/>
      <c r="O5254" s="35"/>
    </row>
    <row r="5255" spans="9:15" x14ac:dyDescent="0.35">
      <c r="I5255" s="35"/>
      <c r="O5255" s="35"/>
    </row>
    <row r="5256" spans="9:15" x14ac:dyDescent="0.35">
      <c r="I5256" s="35"/>
      <c r="O5256" s="35"/>
    </row>
    <row r="5257" spans="9:15" x14ac:dyDescent="0.35">
      <c r="I5257" s="35"/>
      <c r="O5257" s="35"/>
    </row>
    <row r="5258" spans="9:15" x14ac:dyDescent="0.35">
      <c r="I5258" s="35"/>
      <c r="O5258" s="35"/>
    </row>
    <row r="5259" spans="9:15" x14ac:dyDescent="0.35">
      <c r="I5259" s="35"/>
      <c r="O5259" s="35"/>
    </row>
    <row r="5260" spans="9:15" x14ac:dyDescent="0.35">
      <c r="I5260" s="35"/>
      <c r="O5260" s="35"/>
    </row>
    <row r="5261" spans="9:15" x14ac:dyDescent="0.35">
      <c r="I5261" s="35"/>
      <c r="O5261" s="35"/>
    </row>
    <row r="5262" spans="9:15" x14ac:dyDescent="0.35">
      <c r="I5262" s="35"/>
      <c r="O5262" s="35"/>
    </row>
    <row r="5263" spans="9:15" x14ac:dyDescent="0.35">
      <c r="I5263" s="35"/>
      <c r="O5263" s="35"/>
    </row>
    <row r="5264" spans="9:15" x14ac:dyDescent="0.35">
      <c r="I5264" s="35"/>
      <c r="O5264" s="35"/>
    </row>
    <row r="5265" spans="9:15" x14ac:dyDescent="0.35">
      <c r="I5265" s="35"/>
      <c r="O5265" s="35"/>
    </row>
    <row r="5266" spans="9:15" x14ac:dyDescent="0.35">
      <c r="I5266" s="35"/>
      <c r="O5266" s="35"/>
    </row>
    <row r="5267" spans="9:15" x14ac:dyDescent="0.35">
      <c r="I5267" s="35"/>
      <c r="O5267" s="35"/>
    </row>
    <row r="5268" spans="9:15" x14ac:dyDescent="0.35">
      <c r="I5268" s="35"/>
      <c r="O5268" s="35"/>
    </row>
    <row r="5269" spans="9:15" x14ac:dyDescent="0.35">
      <c r="I5269" s="35"/>
      <c r="O5269" s="35"/>
    </row>
    <row r="5270" spans="9:15" x14ac:dyDescent="0.35">
      <c r="I5270" s="35"/>
      <c r="O5270" s="35"/>
    </row>
    <row r="5271" spans="9:15" x14ac:dyDescent="0.35">
      <c r="I5271" s="35"/>
      <c r="O5271" s="35"/>
    </row>
    <row r="5272" spans="9:15" x14ac:dyDescent="0.35">
      <c r="I5272" s="35"/>
      <c r="O5272" s="35"/>
    </row>
    <row r="5273" spans="9:15" x14ac:dyDescent="0.35">
      <c r="I5273" s="35"/>
      <c r="O5273" s="35"/>
    </row>
    <row r="5274" spans="9:15" x14ac:dyDescent="0.35">
      <c r="I5274" s="35"/>
      <c r="O5274" s="35"/>
    </row>
    <row r="5275" spans="9:15" x14ac:dyDescent="0.35">
      <c r="I5275" s="35"/>
      <c r="O5275" s="35"/>
    </row>
    <row r="5276" spans="9:15" x14ac:dyDescent="0.35">
      <c r="I5276" s="35"/>
      <c r="O5276" s="35"/>
    </row>
    <row r="5277" spans="9:15" x14ac:dyDescent="0.35">
      <c r="I5277" s="35"/>
      <c r="O5277" s="35"/>
    </row>
    <row r="5278" spans="9:15" x14ac:dyDescent="0.35">
      <c r="I5278" s="35"/>
      <c r="O5278" s="35"/>
    </row>
    <row r="5279" spans="9:15" x14ac:dyDescent="0.35">
      <c r="I5279" s="35"/>
      <c r="O5279" s="35"/>
    </row>
    <row r="5280" spans="9:15" x14ac:dyDescent="0.35">
      <c r="I5280" s="35"/>
      <c r="O5280" s="35"/>
    </row>
    <row r="5281" spans="9:15" x14ac:dyDescent="0.35">
      <c r="I5281" s="35"/>
      <c r="O5281" s="35"/>
    </row>
    <row r="5282" spans="9:15" x14ac:dyDescent="0.35">
      <c r="I5282" s="35"/>
      <c r="O5282" s="35"/>
    </row>
    <row r="5283" spans="9:15" x14ac:dyDescent="0.35">
      <c r="I5283" s="35"/>
      <c r="O5283" s="35"/>
    </row>
    <row r="5284" spans="9:15" x14ac:dyDescent="0.35">
      <c r="I5284" s="35"/>
      <c r="O5284" s="35"/>
    </row>
    <row r="5285" spans="9:15" x14ac:dyDescent="0.35">
      <c r="I5285" s="35"/>
      <c r="O5285" s="35"/>
    </row>
    <row r="5286" spans="9:15" x14ac:dyDescent="0.35">
      <c r="I5286" s="35"/>
      <c r="O5286" s="35"/>
    </row>
    <row r="5287" spans="9:15" x14ac:dyDescent="0.35">
      <c r="I5287" s="35"/>
      <c r="O5287" s="35"/>
    </row>
    <row r="5288" spans="9:15" x14ac:dyDescent="0.35">
      <c r="I5288" s="35"/>
      <c r="O5288" s="35"/>
    </row>
    <row r="5289" spans="9:15" x14ac:dyDescent="0.35">
      <c r="I5289" s="35"/>
      <c r="O5289" s="35"/>
    </row>
    <row r="5290" spans="9:15" x14ac:dyDescent="0.35">
      <c r="I5290" s="35"/>
      <c r="O5290" s="35"/>
    </row>
    <row r="5291" spans="9:15" x14ac:dyDescent="0.35">
      <c r="I5291" s="35"/>
      <c r="O5291" s="35"/>
    </row>
    <row r="5292" spans="9:15" x14ac:dyDescent="0.35">
      <c r="I5292" s="35"/>
      <c r="O5292" s="35"/>
    </row>
    <row r="5293" spans="9:15" x14ac:dyDescent="0.35">
      <c r="I5293" s="35"/>
      <c r="O5293" s="35"/>
    </row>
    <row r="5294" spans="9:15" x14ac:dyDescent="0.35">
      <c r="I5294" s="35"/>
      <c r="O5294" s="35"/>
    </row>
    <row r="5295" spans="9:15" x14ac:dyDescent="0.35">
      <c r="I5295" s="35"/>
      <c r="O5295" s="35"/>
    </row>
    <row r="5296" spans="9:15" x14ac:dyDescent="0.35">
      <c r="I5296" s="35"/>
      <c r="O5296" s="35"/>
    </row>
    <row r="5297" spans="9:15" x14ac:dyDescent="0.35">
      <c r="I5297" s="35"/>
      <c r="O5297" s="35"/>
    </row>
    <row r="5298" spans="9:15" x14ac:dyDescent="0.35">
      <c r="I5298" s="35"/>
      <c r="O5298" s="35"/>
    </row>
    <row r="5299" spans="9:15" x14ac:dyDescent="0.35">
      <c r="I5299" s="35"/>
      <c r="O5299" s="35"/>
    </row>
    <row r="5300" spans="9:15" x14ac:dyDescent="0.35">
      <c r="I5300" s="35"/>
      <c r="O5300" s="35"/>
    </row>
    <row r="5301" spans="9:15" x14ac:dyDescent="0.35">
      <c r="I5301" s="35"/>
      <c r="O5301" s="35"/>
    </row>
    <row r="5302" spans="9:15" x14ac:dyDescent="0.35">
      <c r="I5302" s="35"/>
      <c r="O5302" s="35"/>
    </row>
    <row r="5303" spans="9:15" x14ac:dyDescent="0.35">
      <c r="I5303" s="35"/>
      <c r="O5303" s="35"/>
    </row>
    <row r="5304" spans="9:15" x14ac:dyDescent="0.35">
      <c r="I5304" s="35"/>
      <c r="O5304" s="35"/>
    </row>
    <row r="5305" spans="9:15" x14ac:dyDescent="0.35">
      <c r="I5305" s="35"/>
      <c r="O5305" s="35"/>
    </row>
    <row r="5306" spans="9:15" x14ac:dyDescent="0.35">
      <c r="I5306" s="35"/>
      <c r="O5306" s="35"/>
    </row>
    <row r="5307" spans="9:15" x14ac:dyDescent="0.35">
      <c r="I5307" s="35"/>
      <c r="O5307" s="35"/>
    </row>
    <row r="5308" spans="9:15" x14ac:dyDescent="0.35">
      <c r="I5308" s="35"/>
      <c r="O5308" s="35"/>
    </row>
    <row r="5309" spans="9:15" x14ac:dyDescent="0.35">
      <c r="I5309" s="35"/>
      <c r="O5309" s="35"/>
    </row>
    <row r="5310" spans="9:15" x14ac:dyDescent="0.35">
      <c r="I5310" s="35"/>
      <c r="O5310" s="35"/>
    </row>
    <row r="5311" spans="9:15" x14ac:dyDescent="0.35">
      <c r="I5311" s="35"/>
      <c r="O5311" s="35"/>
    </row>
    <row r="5312" spans="9:15" x14ac:dyDescent="0.35">
      <c r="I5312" s="35"/>
      <c r="O5312" s="35"/>
    </row>
    <row r="5313" spans="9:15" x14ac:dyDescent="0.35">
      <c r="I5313" s="35"/>
      <c r="O5313" s="35"/>
    </row>
    <row r="5314" spans="9:15" x14ac:dyDescent="0.35">
      <c r="I5314" s="35"/>
      <c r="O5314" s="35"/>
    </row>
    <row r="5315" spans="9:15" x14ac:dyDescent="0.35">
      <c r="I5315" s="35"/>
      <c r="O5315" s="35"/>
    </row>
    <row r="5316" spans="9:15" x14ac:dyDescent="0.35">
      <c r="I5316" s="35"/>
      <c r="O5316" s="35"/>
    </row>
    <row r="5317" spans="9:15" x14ac:dyDescent="0.35">
      <c r="I5317" s="35"/>
      <c r="O5317" s="35"/>
    </row>
    <row r="5318" spans="9:15" x14ac:dyDescent="0.35">
      <c r="I5318" s="35"/>
      <c r="O5318" s="35"/>
    </row>
    <row r="5319" spans="9:15" x14ac:dyDescent="0.35">
      <c r="I5319" s="35"/>
      <c r="O5319" s="35"/>
    </row>
    <row r="5320" spans="9:15" x14ac:dyDescent="0.35">
      <c r="I5320" s="35"/>
      <c r="O5320" s="35"/>
    </row>
    <row r="5321" spans="9:15" x14ac:dyDescent="0.35">
      <c r="I5321" s="35"/>
      <c r="O5321" s="35"/>
    </row>
    <row r="5322" spans="9:15" x14ac:dyDescent="0.35">
      <c r="I5322" s="35"/>
      <c r="O5322" s="35"/>
    </row>
    <row r="5323" spans="9:15" x14ac:dyDescent="0.35">
      <c r="I5323" s="35"/>
      <c r="O5323" s="35"/>
    </row>
    <row r="5324" spans="9:15" x14ac:dyDescent="0.35">
      <c r="I5324" s="35"/>
      <c r="O5324" s="35"/>
    </row>
    <row r="5325" spans="9:15" x14ac:dyDescent="0.35">
      <c r="I5325" s="35"/>
      <c r="O5325" s="35"/>
    </row>
    <row r="5326" spans="9:15" x14ac:dyDescent="0.35">
      <c r="I5326" s="35"/>
      <c r="O5326" s="35"/>
    </row>
    <row r="5327" spans="9:15" x14ac:dyDescent="0.35">
      <c r="I5327" s="35"/>
      <c r="O5327" s="35"/>
    </row>
    <row r="5328" spans="9:15" x14ac:dyDescent="0.35">
      <c r="I5328" s="35"/>
      <c r="O5328" s="35"/>
    </row>
    <row r="5329" spans="9:15" x14ac:dyDescent="0.35">
      <c r="I5329" s="35"/>
      <c r="O5329" s="35"/>
    </row>
    <row r="5330" spans="9:15" x14ac:dyDescent="0.35">
      <c r="I5330" s="35"/>
      <c r="O5330" s="35"/>
    </row>
    <row r="5331" spans="9:15" x14ac:dyDescent="0.35">
      <c r="I5331" s="35"/>
      <c r="O5331" s="35"/>
    </row>
    <row r="5332" spans="9:15" x14ac:dyDescent="0.35">
      <c r="I5332" s="35"/>
      <c r="O5332" s="35"/>
    </row>
    <row r="5333" spans="9:15" x14ac:dyDescent="0.35">
      <c r="I5333" s="35"/>
      <c r="O5333" s="35"/>
    </row>
    <row r="5334" spans="9:15" x14ac:dyDescent="0.35">
      <c r="I5334" s="35"/>
      <c r="O5334" s="35"/>
    </row>
    <row r="5335" spans="9:15" x14ac:dyDescent="0.35">
      <c r="I5335" s="35"/>
      <c r="O5335" s="35"/>
    </row>
    <row r="5336" spans="9:15" x14ac:dyDescent="0.35">
      <c r="I5336" s="35"/>
      <c r="O5336" s="35"/>
    </row>
    <row r="5337" spans="9:15" x14ac:dyDescent="0.35">
      <c r="I5337" s="35"/>
      <c r="O5337" s="35"/>
    </row>
    <row r="5338" spans="9:15" x14ac:dyDescent="0.35">
      <c r="I5338" s="35"/>
      <c r="O5338" s="35"/>
    </row>
    <row r="5339" spans="9:15" x14ac:dyDescent="0.35">
      <c r="I5339" s="35"/>
      <c r="O5339" s="35"/>
    </row>
    <row r="5340" spans="9:15" x14ac:dyDescent="0.35">
      <c r="I5340" s="35"/>
      <c r="O5340" s="35"/>
    </row>
    <row r="5341" spans="9:15" x14ac:dyDescent="0.35">
      <c r="I5341" s="35"/>
      <c r="O5341" s="35"/>
    </row>
    <row r="5342" spans="9:15" x14ac:dyDescent="0.35">
      <c r="I5342" s="35"/>
      <c r="O5342" s="35"/>
    </row>
    <row r="5343" spans="9:15" x14ac:dyDescent="0.35">
      <c r="I5343" s="35"/>
      <c r="O5343" s="35"/>
    </row>
    <row r="5344" spans="9:15" x14ac:dyDescent="0.35">
      <c r="I5344" s="35"/>
      <c r="O5344" s="35"/>
    </row>
    <row r="5345" spans="9:15" x14ac:dyDescent="0.35">
      <c r="I5345" s="35"/>
      <c r="O5345" s="35"/>
    </row>
    <row r="5346" spans="9:15" x14ac:dyDescent="0.35">
      <c r="I5346" s="35"/>
      <c r="O5346" s="35"/>
    </row>
    <row r="5347" spans="9:15" x14ac:dyDescent="0.35">
      <c r="I5347" s="35"/>
      <c r="O5347" s="35"/>
    </row>
    <row r="5348" spans="9:15" x14ac:dyDescent="0.35">
      <c r="I5348" s="35"/>
      <c r="O5348" s="35"/>
    </row>
    <row r="5349" spans="9:15" x14ac:dyDescent="0.35">
      <c r="I5349" s="35"/>
      <c r="O5349" s="35"/>
    </row>
    <row r="5350" spans="9:15" x14ac:dyDescent="0.35">
      <c r="I5350" s="35"/>
      <c r="O5350" s="35"/>
    </row>
    <row r="5351" spans="9:15" x14ac:dyDescent="0.35">
      <c r="I5351" s="35"/>
      <c r="O5351" s="35"/>
    </row>
    <row r="5352" spans="9:15" x14ac:dyDescent="0.35">
      <c r="I5352" s="35"/>
      <c r="O5352" s="35"/>
    </row>
    <row r="5353" spans="9:15" x14ac:dyDescent="0.35">
      <c r="I5353" s="35"/>
      <c r="O5353" s="35"/>
    </row>
    <row r="5354" spans="9:15" x14ac:dyDescent="0.35">
      <c r="I5354" s="35"/>
      <c r="O5354" s="35"/>
    </row>
    <row r="5355" spans="9:15" x14ac:dyDescent="0.35">
      <c r="I5355" s="35"/>
      <c r="O5355" s="35"/>
    </row>
    <row r="5356" spans="9:15" x14ac:dyDescent="0.35">
      <c r="I5356" s="35"/>
      <c r="O5356" s="35"/>
    </row>
    <row r="5357" spans="9:15" x14ac:dyDescent="0.35">
      <c r="I5357" s="35"/>
      <c r="O5357" s="35"/>
    </row>
    <row r="5358" spans="9:15" x14ac:dyDescent="0.35">
      <c r="I5358" s="35"/>
      <c r="O5358" s="35"/>
    </row>
    <row r="5359" spans="9:15" x14ac:dyDescent="0.35">
      <c r="I5359" s="35"/>
      <c r="O5359" s="35"/>
    </row>
    <row r="5360" spans="9:15" x14ac:dyDescent="0.35">
      <c r="I5360" s="35"/>
      <c r="O5360" s="35"/>
    </row>
    <row r="5361" spans="9:15" x14ac:dyDescent="0.35">
      <c r="I5361" s="35"/>
      <c r="O5361" s="35"/>
    </row>
    <row r="5362" spans="9:15" x14ac:dyDescent="0.35">
      <c r="I5362" s="35"/>
      <c r="O5362" s="35"/>
    </row>
    <row r="5363" spans="9:15" x14ac:dyDescent="0.35">
      <c r="I5363" s="35"/>
      <c r="O5363" s="35"/>
    </row>
    <row r="5364" spans="9:15" x14ac:dyDescent="0.35">
      <c r="I5364" s="35"/>
      <c r="O5364" s="35"/>
    </row>
    <row r="5365" spans="9:15" x14ac:dyDescent="0.35">
      <c r="I5365" s="35"/>
      <c r="O5365" s="35"/>
    </row>
    <row r="5366" spans="9:15" x14ac:dyDescent="0.35">
      <c r="I5366" s="35"/>
      <c r="O5366" s="35"/>
    </row>
    <row r="5367" spans="9:15" x14ac:dyDescent="0.35">
      <c r="I5367" s="35"/>
      <c r="O5367" s="35"/>
    </row>
    <row r="5368" spans="9:15" x14ac:dyDescent="0.35">
      <c r="I5368" s="35"/>
      <c r="O5368" s="35"/>
    </row>
    <row r="5369" spans="9:15" x14ac:dyDescent="0.35">
      <c r="I5369" s="35"/>
      <c r="O5369" s="35"/>
    </row>
    <row r="5370" spans="9:15" x14ac:dyDescent="0.35">
      <c r="I5370" s="35"/>
      <c r="O5370" s="35"/>
    </row>
    <row r="5371" spans="9:15" x14ac:dyDescent="0.35">
      <c r="I5371" s="35"/>
      <c r="O5371" s="35"/>
    </row>
    <row r="5372" spans="9:15" x14ac:dyDescent="0.35">
      <c r="I5372" s="35"/>
      <c r="O5372" s="35"/>
    </row>
    <row r="5373" spans="9:15" x14ac:dyDescent="0.35">
      <c r="I5373" s="35"/>
      <c r="O5373" s="35"/>
    </row>
    <row r="5374" spans="9:15" x14ac:dyDescent="0.35">
      <c r="I5374" s="35"/>
      <c r="O5374" s="35"/>
    </row>
    <row r="5375" spans="9:15" x14ac:dyDescent="0.35">
      <c r="I5375" s="35"/>
      <c r="O5375" s="35"/>
    </row>
    <row r="5376" spans="9:15" x14ac:dyDescent="0.35">
      <c r="I5376" s="35"/>
      <c r="O5376" s="35"/>
    </row>
    <row r="5377" spans="9:15" x14ac:dyDescent="0.35">
      <c r="I5377" s="35"/>
      <c r="O5377" s="35"/>
    </row>
    <row r="5378" spans="9:15" x14ac:dyDescent="0.35">
      <c r="I5378" s="35"/>
      <c r="O5378" s="35"/>
    </row>
    <row r="5379" spans="9:15" x14ac:dyDescent="0.35">
      <c r="I5379" s="35"/>
      <c r="O5379" s="35"/>
    </row>
    <row r="5380" spans="9:15" x14ac:dyDescent="0.35">
      <c r="I5380" s="35"/>
      <c r="O5380" s="35"/>
    </row>
    <row r="5381" spans="9:15" x14ac:dyDescent="0.35">
      <c r="I5381" s="35"/>
      <c r="O5381" s="35"/>
    </row>
    <row r="5382" spans="9:15" x14ac:dyDescent="0.35">
      <c r="I5382" s="35"/>
      <c r="O5382" s="35"/>
    </row>
    <row r="5383" spans="9:15" x14ac:dyDescent="0.35">
      <c r="I5383" s="35"/>
      <c r="O5383" s="35"/>
    </row>
    <row r="5384" spans="9:15" x14ac:dyDescent="0.35">
      <c r="I5384" s="35"/>
      <c r="O5384" s="35"/>
    </row>
    <row r="5385" spans="9:15" x14ac:dyDescent="0.35">
      <c r="I5385" s="35"/>
      <c r="O5385" s="35"/>
    </row>
    <row r="5386" spans="9:15" x14ac:dyDescent="0.35">
      <c r="I5386" s="35"/>
      <c r="O5386" s="35"/>
    </row>
    <row r="5387" spans="9:15" x14ac:dyDescent="0.35">
      <c r="I5387" s="35"/>
      <c r="O5387" s="35"/>
    </row>
    <row r="5388" spans="9:15" x14ac:dyDescent="0.35">
      <c r="I5388" s="35"/>
      <c r="O5388" s="35"/>
    </row>
    <row r="5389" spans="9:15" x14ac:dyDescent="0.35">
      <c r="I5389" s="35"/>
      <c r="O5389" s="35"/>
    </row>
    <row r="5390" spans="9:15" x14ac:dyDescent="0.35">
      <c r="I5390" s="35"/>
      <c r="O5390" s="35"/>
    </row>
    <row r="5391" spans="9:15" x14ac:dyDescent="0.35">
      <c r="I5391" s="35"/>
      <c r="O5391" s="35"/>
    </row>
    <row r="5392" spans="9:15" x14ac:dyDescent="0.35">
      <c r="I5392" s="35"/>
      <c r="O5392" s="35"/>
    </row>
    <row r="5393" spans="9:15" x14ac:dyDescent="0.35">
      <c r="I5393" s="35"/>
      <c r="O5393" s="35"/>
    </row>
    <row r="5394" spans="9:15" x14ac:dyDescent="0.35">
      <c r="I5394" s="35"/>
      <c r="O5394" s="35"/>
    </row>
    <row r="5395" spans="9:15" x14ac:dyDescent="0.35">
      <c r="I5395" s="35"/>
      <c r="O5395" s="35"/>
    </row>
    <row r="5396" spans="9:15" x14ac:dyDescent="0.35">
      <c r="I5396" s="35"/>
      <c r="O5396" s="35"/>
    </row>
    <row r="5397" spans="9:15" x14ac:dyDescent="0.35">
      <c r="I5397" s="35"/>
      <c r="O5397" s="35"/>
    </row>
    <row r="5398" spans="9:15" x14ac:dyDescent="0.35">
      <c r="I5398" s="35"/>
      <c r="O5398" s="35"/>
    </row>
    <row r="5399" spans="9:15" x14ac:dyDescent="0.35">
      <c r="I5399" s="35"/>
      <c r="O5399" s="35"/>
    </row>
    <row r="5400" spans="9:15" x14ac:dyDescent="0.35">
      <c r="I5400" s="35"/>
      <c r="O5400" s="35"/>
    </row>
    <row r="5401" spans="9:15" x14ac:dyDescent="0.35">
      <c r="I5401" s="35"/>
      <c r="O5401" s="35"/>
    </row>
    <row r="5402" spans="9:15" x14ac:dyDescent="0.35">
      <c r="I5402" s="35"/>
      <c r="O5402" s="35"/>
    </row>
    <row r="5403" spans="9:15" x14ac:dyDescent="0.35">
      <c r="I5403" s="35"/>
      <c r="O5403" s="35"/>
    </row>
    <row r="5404" spans="9:15" x14ac:dyDescent="0.35">
      <c r="I5404" s="35"/>
      <c r="O5404" s="35"/>
    </row>
    <row r="5405" spans="9:15" x14ac:dyDescent="0.35">
      <c r="I5405" s="35"/>
      <c r="O5405" s="35"/>
    </row>
    <row r="5406" spans="9:15" x14ac:dyDescent="0.35">
      <c r="I5406" s="35"/>
      <c r="O5406" s="35"/>
    </row>
    <row r="5407" spans="9:15" x14ac:dyDescent="0.35">
      <c r="I5407" s="35"/>
      <c r="O5407" s="35"/>
    </row>
    <row r="5408" spans="9:15" x14ac:dyDescent="0.35">
      <c r="I5408" s="35"/>
      <c r="O5408" s="35"/>
    </row>
    <row r="5409" spans="9:15" x14ac:dyDescent="0.35">
      <c r="I5409" s="35"/>
      <c r="O5409" s="35"/>
    </row>
    <row r="5410" spans="9:15" x14ac:dyDescent="0.35">
      <c r="I5410" s="35"/>
      <c r="O5410" s="35"/>
    </row>
    <row r="5411" spans="9:15" x14ac:dyDescent="0.35">
      <c r="I5411" s="35"/>
      <c r="O5411" s="35"/>
    </row>
    <row r="5412" spans="9:15" x14ac:dyDescent="0.35">
      <c r="I5412" s="35"/>
      <c r="O5412" s="35"/>
    </row>
    <row r="5413" spans="9:15" x14ac:dyDescent="0.35">
      <c r="I5413" s="35"/>
      <c r="O5413" s="35"/>
    </row>
    <row r="5414" spans="9:15" x14ac:dyDescent="0.35">
      <c r="I5414" s="35"/>
      <c r="O5414" s="35"/>
    </row>
    <row r="5415" spans="9:15" x14ac:dyDescent="0.35">
      <c r="I5415" s="35"/>
      <c r="O5415" s="35"/>
    </row>
    <row r="5416" spans="9:15" x14ac:dyDescent="0.35">
      <c r="I5416" s="35"/>
      <c r="O5416" s="35"/>
    </row>
    <row r="5417" spans="9:15" x14ac:dyDescent="0.35">
      <c r="I5417" s="35"/>
      <c r="O5417" s="35"/>
    </row>
    <row r="5418" spans="9:15" x14ac:dyDescent="0.35">
      <c r="I5418" s="35"/>
      <c r="O5418" s="35"/>
    </row>
    <row r="5419" spans="9:15" x14ac:dyDescent="0.35">
      <c r="I5419" s="35"/>
      <c r="O5419" s="35"/>
    </row>
    <row r="5420" spans="9:15" x14ac:dyDescent="0.35">
      <c r="I5420" s="35"/>
      <c r="O5420" s="35"/>
    </row>
    <row r="5421" spans="9:15" x14ac:dyDescent="0.35">
      <c r="I5421" s="35"/>
      <c r="O5421" s="35"/>
    </row>
    <row r="5422" spans="9:15" x14ac:dyDescent="0.35">
      <c r="I5422" s="35"/>
      <c r="O5422" s="35"/>
    </row>
    <row r="5423" spans="9:15" x14ac:dyDescent="0.35">
      <c r="I5423" s="35"/>
      <c r="O5423" s="35"/>
    </row>
    <row r="5424" spans="9:15" x14ac:dyDescent="0.35">
      <c r="I5424" s="35"/>
      <c r="O5424" s="35"/>
    </row>
    <row r="5425" spans="9:15" x14ac:dyDescent="0.35">
      <c r="I5425" s="35"/>
      <c r="O5425" s="35"/>
    </row>
    <row r="5426" spans="9:15" x14ac:dyDescent="0.35">
      <c r="I5426" s="35"/>
      <c r="O5426" s="35"/>
    </row>
    <row r="5427" spans="9:15" x14ac:dyDescent="0.35">
      <c r="I5427" s="35"/>
      <c r="O5427" s="35"/>
    </row>
    <row r="5428" spans="9:15" x14ac:dyDescent="0.35">
      <c r="I5428" s="35"/>
      <c r="O5428" s="35"/>
    </row>
    <row r="5429" spans="9:15" x14ac:dyDescent="0.35">
      <c r="I5429" s="35"/>
      <c r="O5429" s="35"/>
    </row>
    <row r="5430" spans="9:15" x14ac:dyDescent="0.35">
      <c r="I5430" s="35"/>
      <c r="O5430" s="35"/>
    </row>
    <row r="5431" spans="9:15" x14ac:dyDescent="0.35">
      <c r="I5431" s="35"/>
      <c r="O5431" s="35"/>
    </row>
    <row r="5432" spans="9:15" x14ac:dyDescent="0.35">
      <c r="I5432" s="35"/>
      <c r="O5432" s="35"/>
    </row>
    <row r="5433" spans="9:15" x14ac:dyDescent="0.35">
      <c r="I5433" s="35"/>
      <c r="O5433" s="35"/>
    </row>
    <row r="5434" spans="9:15" x14ac:dyDescent="0.35">
      <c r="I5434" s="35"/>
      <c r="O5434" s="35"/>
    </row>
    <row r="5435" spans="9:15" x14ac:dyDescent="0.35">
      <c r="I5435" s="35"/>
      <c r="O5435" s="35"/>
    </row>
    <row r="5436" spans="9:15" x14ac:dyDescent="0.35">
      <c r="I5436" s="35"/>
      <c r="O5436" s="35"/>
    </row>
    <row r="5437" spans="9:15" x14ac:dyDescent="0.35">
      <c r="I5437" s="35"/>
      <c r="O5437" s="35"/>
    </row>
    <row r="5438" spans="9:15" x14ac:dyDescent="0.35">
      <c r="I5438" s="35"/>
      <c r="O5438" s="35"/>
    </row>
    <row r="5439" spans="9:15" x14ac:dyDescent="0.35">
      <c r="I5439" s="35"/>
      <c r="O5439" s="35"/>
    </row>
    <row r="5440" spans="9:15" x14ac:dyDescent="0.35">
      <c r="I5440" s="35"/>
      <c r="O5440" s="35"/>
    </row>
    <row r="5441" spans="9:15" x14ac:dyDescent="0.35">
      <c r="I5441" s="35"/>
      <c r="O5441" s="35"/>
    </row>
    <row r="5442" spans="9:15" x14ac:dyDescent="0.35">
      <c r="I5442" s="35"/>
      <c r="O5442" s="35"/>
    </row>
    <row r="5443" spans="9:15" x14ac:dyDescent="0.35">
      <c r="I5443" s="35"/>
      <c r="O5443" s="35"/>
    </row>
    <row r="5444" spans="9:15" x14ac:dyDescent="0.35">
      <c r="I5444" s="35"/>
      <c r="O5444" s="35"/>
    </row>
    <row r="5445" spans="9:15" x14ac:dyDescent="0.35">
      <c r="I5445" s="35"/>
      <c r="O5445" s="35"/>
    </row>
    <row r="5446" spans="9:15" x14ac:dyDescent="0.35">
      <c r="I5446" s="35"/>
      <c r="O5446" s="35"/>
    </row>
    <row r="5447" spans="9:15" x14ac:dyDescent="0.35">
      <c r="I5447" s="35"/>
      <c r="O5447" s="35"/>
    </row>
    <row r="5448" spans="9:15" x14ac:dyDescent="0.35">
      <c r="I5448" s="35"/>
      <c r="O5448" s="35"/>
    </row>
    <row r="5449" spans="9:15" x14ac:dyDescent="0.35">
      <c r="I5449" s="35"/>
      <c r="O5449" s="35"/>
    </row>
    <row r="5450" spans="9:15" x14ac:dyDescent="0.35">
      <c r="I5450" s="35"/>
      <c r="O5450" s="35"/>
    </row>
    <row r="5451" spans="9:15" x14ac:dyDescent="0.35">
      <c r="I5451" s="35"/>
      <c r="O5451" s="35"/>
    </row>
    <row r="5452" spans="9:15" x14ac:dyDescent="0.35">
      <c r="I5452" s="35"/>
      <c r="O5452" s="35"/>
    </row>
    <row r="5453" spans="9:15" x14ac:dyDescent="0.35">
      <c r="I5453" s="35"/>
      <c r="O5453" s="35"/>
    </row>
    <row r="5454" spans="9:15" x14ac:dyDescent="0.35">
      <c r="I5454" s="35"/>
      <c r="O5454" s="35"/>
    </row>
    <row r="5455" spans="9:15" x14ac:dyDescent="0.35">
      <c r="I5455" s="35"/>
      <c r="O5455" s="35"/>
    </row>
    <row r="5456" spans="9:15" x14ac:dyDescent="0.35">
      <c r="I5456" s="35"/>
      <c r="O5456" s="35"/>
    </row>
    <row r="5457" spans="9:15" x14ac:dyDescent="0.35">
      <c r="I5457" s="35"/>
      <c r="O5457" s="35"/>
    </row>
    <row r="5458" spans="9:15" x14ac:dyDescent="0.35">
      <c r="I5458" s="35"/>
      <c r="O5458" s="35"/>
    </row>
    <row r="5459" spans="9:15" x14ac:dyDescent="0.35">
      <c r="I5459" s="35"/>
      <c r="O5459" s="35"/>
    </row>
    <row r="5460" spans="9:15" x14ac:dyDescent="0.35">
      <c r="I5460" s="35"/>
      <c r="O5460" s="35"/>
    </row>
    <row r="5461" spans="9:15" x14ac:dyDescent="0.35">
      <c r="I5461" s="35"/>
      <c r="O5461" s="35"/>
    </row>
    <row r="5462" spans="9:15" x14ac:dyDescent="0.35">
      <c r="I5462" s="35"/>
      <c r="O5462" s="35"/>
    </row>
    <row r="5463" spans="9:15" x14ac:dyDescent="0.35">
      <c r="I5463" s="35"/>
      <c r="O5463" s="35"/>
    </row>
    <row r="5464" spans="9:15" x14ac:dyDescent="0.35">
      <c r="I5464" s="35"/>
      <c r="O5464" s="35"/>
    </row>
    <row r="5465" spans="9:15" x14ac:dyDescent="0.35">
      <c r="I5465" s="35"/>
      <c r="O5465" s="35"/>
    </row>
    <row r="5466" spans="9:15" x14ac:dyDescent="0.35">
      <c r="I5466" s="35"/>
      <c r="O5466" s="35"/>
    </row>
    <row r="5467" spans="9:15" x14ac:dyDescent="0.35">
      <c r="I5467" s="35"/>
      <c r="O5467" s="35"/>
    </row>
    <row r="5468" spans="9:15" x14ac:dyDescent="0.35">
      <c r="I5468" s="35"/>
      <c r="O5468" s="35"/>
    </row>
    <row r="5469" spans="9:15" x14ac:dyDescent="0.35">
      <c r="I5469" s="35"/>
      <c r="O5469" s="35"/>
    </row>
    <row r="5470" spans="9:15" x14ac:dyDescent="0.35">
      <c r="I5470" s="35"/>
      <c r="O5470" s="35"/>
    </row>
    <row r="5471" spans="9:15" x14ac:dyDescent="0.35">
      <c r="I5471" s="35"/>
      <c r="O5471" s="35"/>
    </row>
    <row r="5472" spans="9:15" x14ac:dyDescent="0.35">
      <c r="I5472" s="35"/>
      <c r="O5472" s="35"/>
    </row>
    <row r="5473" spans="9:15" x14ac:dyDescent="0.35">
      <c r="I5473" s="35"/>
      <c r="O5473" s="35"/>
    </row>
    <row r="5474" spans="9:15" x14ac:dyDescent="0.35">
      <c r="I5474" s="35"/>
      <c r="O5474" s="35"/>
    </row>
    <row r="5475" spans="9:15" x14ac:dyDescent="0.35">
      <c r="I5475" s="35"/>
      <c r="O5475" s="35"/>
    </row>
    <row r="5476" spans="9:15" x14ac:dyDescent="0.35">
      <c r="I5476" s="35"/>
      <c r="O5476" s="35"/>
    </row>
    <row r="5477" spans="9:15" x14ac:dyDescent="0.35">
      <c r="I5477" s="35"/>
      <c r="O5477" s="35"/>
    </row>
    <row r="5478" spans="9:15" x14ac:dyDescent="0.35">
      <c r="I5478" s="35"/>
      <c r="O5478" s="35"/>
    </row>
    <row r="5479" spans="9:15" x14ac:dyDescent="0.35">
      <c r="I5479" s="35"/>
      <c r="O5479" s="35"/>
    </row>
    <row r="5480" spans="9:15" x14ac:dyDescent="0.35">
      <c r="I5480" s="35"/>
      <c r="O5480" s="35"/>
    </row>
    <row r="5481" spans="9:15" x14ac:dyDescent="0.35">
      <c r="I5481" s="35"/>
      <c r="O5481" s="35"/>
    </row>
    <row r="5482" spans="9:15" x14ac:dyDescent="0.35">
      <c r="I5482" s="35"/>
      <c r="O5482" s="35"/>
    </row>
    <row r="5483" spans="9:15" x14ac:dyDescent="0.35">
      <c r="I5483" s="35"/>
      <c r="O5483" s="35"/>
    </row>
    <row r="5484" spans="9:15" x14ac:dyDescent="0.35">
      <c r="I5484" s="35"/>
      <c r="O5484" s="35"/>
    </row>
    <row r="5485" spans="9:15" x14ac:dyDescent="0.35">
      <c r="I5485" s="35"/>
      <c r="O5485" s="35"/>
    </row>
    <row r="5486" spans="9:15" x14ac:dyDescent="0.35">
      <c r="I5486" s="35"/>
      <c r="O5486" s="35"/>
    </row>
    <row r="5487" spans="9:15" x14ac:dyDescent="0.35">
      <c r="I5487" s="35"/>
      <c r="O5487" s="35"/>
    </row>
    <row r="5488" spans="9:15" x14ac:dyDescent="0.35">
      <c r="I5488" s="35"/>
      <c r="O5488" s="35"/>
    </row>
    <row r="5489" spans="9:15" x14ac:dyDescent="0.35">
      <c r="I5489" s="35"/>
      <c r="O5489" s="35"/>
    </row>
    <row r="5490" spans="9:15" x14ac:dyDescent="0.35">
      <c r="I5490" s="35"/>
      <c r="O5490" s="35"/>
    </row>
    <row r="5491" spans="9:15" x14ac:dyDescent="0.35">
      <c r="I5491" s="35"/>
      <c r="O5491" s="35"/>
    </row>
    <row r="5492" spans="9:15" x14ac:dyDescent="0.35">
      <c r="I5492" s="35"/>
      <c r="O5492" s="35"/>
    </row>
    <row r="5493" spans="9:15" x14ac:dyDescent="0.35">
      <c r="I5493" s="35"/>
      <c r="O5493" s="35"/>
    </row>
    <row r="5494" spans="9:15" x14ac:dyDescent="0.35">
      <c r="I5494" s="35"/>
      <c r="O5494" s="35"/>
    </row>
    <row r="5495" spans="9:15" x14ac:dyDescent="0.35">
      <c r="I5495" s="35"/>
      <c r="O5495" s="35"/>
    </row>
    <row r="5496" spans="9:15" x14ac:dyDescent="0.35">
      <c r="I5496" s="35"/>
      <c r="O5496" s="35"/>
    </row>
    <row r="5497" spans="9:15" x14ac:dyDescent="0.35">
      <c r="I5497" s="35"/>
      <c r="O5497" s="35"/>
    </row>
    <row r="5498" spans="9:15" x14ac:dyDescent="0.35">
      <c r="I5498" s="35"/>
      <c r="O5498" s="35"/>
    </row>
    <row r="5499" spans="9:15" x14ac:dyDescent="0.35">
      <c r="I5499" s="35"/>
      <c r="O5499" s="35"/>
    </row>
    <row r="5500" spans="9:15" x14ac:dyDescent="0.35">
      <c r="I5500" s="35"/>
      <c r="O5500" s="35"/>
    </row>
    <row r="5501" spans="9:15" x14ac:dyDescent="0.35">
      <c r="I5501" s="35"/>
      <c r="O5501" s="35"/>
    </row>
    <row r="5502" spans="9:15" x14ac:dyDescent="0.35">
      <c r="I5502" s="35"/>
      <c r="O5502" s="35"/>
    </row>
    <row r="5503" spans="9:15" x14ac:dyDescent="0.35">
      <c r="I5503" s="35"/>
      <c r="O5503" s="35"/>
    </row>
    <row r="5504" spans="9:15" x14ac:dyDescent="0.35">
      <c r="I5504" s="35"/>
      <c r="O5504" s="35"/>
    </row>
    <row r="5505" spans="9:15" x14ac:dyDescent="0.35">
      <c r="I5505" s="35"/>
      <c r="O5505" s="35"/>
    </row>
    <row r="5506" spans="9:15" x14ac:dyDescent="0.35">
      <c r="I5506" s="35"/>
      <c r="O5506" s="35"/>
    </row>
    <row r="5507" spans="9:15" x14ac:dyDescent="0.35">
      <c r="I5507" s="35"/>
      <c r="O5507" s="35"/>
    </row>
    <row r="5508" spans="9:15" x14ac:dyDescent="0.35">
      <c r="I5508" s="35"/>
      <c r="O5508" s="35"/>
    </row>
    <row r="5509" spans="9:15" x14ac:dyDescent="0.35">
      <c r="I5509" s="35"/>
      <c r="O5509" s="35"/>
    </row>
    <row r="5510" spans="9:15" x14ac:dyDescent="0.35">
      <c r="I5510" s="35"/>
      <c r="O5510" s="35"/>
    </row>
    <row r="5511" spans="9:15" x14ac:dyDescent="0.35">
      <c r="I5511" s="35"/>
      <c r="O5511" s="35"/>
    </row>
    <row r="5512" spans="9:15" x14ac:dyDescent="0.35">
      <c r="I5512" s="35"/>
      <c r="O5512" s="35"/>
    </row>
    <row r="5513" spans="9:15" x14ac:dyDescent="0.35">
      <c r="I5513" s="35"/>
      <c r="O5513" s="35"/>
    </row>
    <row r="5514" spans="9:15" x14ac:dyDescent="0.35">
      <c r="I5514" s="35"/>
      <c r="O5514" s="35"/>
    </row>
    <row r="5515" spans="9:15" x14ac:dyDescent="0.35">
      <c r="I5515" s="35"/>
      <c r="O5515" s="35"/>
    </row>
    <row r="5516" spans="9:15" x14ac:dyDescent="0.35">
      <c r="I5516" s="35"/>
      <c r="O5516" s="35"/>
    </row>
    <row r="5517" spans="9:15" x14ac:dyDescent="0.35">
      <c r="I5517" s="35"/>
      <c r="O5517" s="35"/>
    </row>
    <row r="5518" spans="9:15" x14ac:dyDescent="0.35">
      <c r="I5518" s="35"/>
      <c r="O5518" s="35"/>
    </row>
    <row r="5519" spans="9:15" x14ac:dyDescent="0.35">
      <c r="I5519" s="35"/>
      <c r="O5519" s="35"/>
    </row>
    <row r="5520" spans="9:15" x14ac:dyDescent="0.35">
      <c r="I5520" s="35"/>
      <c r="O5520" s="35"/>
    </row>
    <row r="5521" spans="9:15" x14ac:dyDescent="0.35">
      <c r="I5521" s="35"/>
      <c r="O5521" s="35"/>
    </row>
    <row r="5522" spans="9:15" x14ac:dyDescent="0.35">
      <c r="I5522" s="35"/>
      <c r="O5522" s="35"/>
    </row>
    <row r="5523" spans="9:15" x14ac:dyDescent="0.35">
      <c r="I5523" s="35"/>
      <c r="O5523" s="35"/>
    </row>
    <row r="5524" spans="9:15" x14ac:dyDescent="0.35">
      <c r="I5524" s="35"/>
      <c r="O5524" s="35"/>
    </row>
    <row r="5525" spans="9:15" x14ac:dyDescent="0.35">
      <c r="I5525" s="35"/>
      <c r="O5525" s="35"/>
    </row>
    <row r="5526" spans="9:15" x14ac:dyDescent="0.35">
      <c r="I5526" s="35"/>
      <c r="O5526" s="35"/>
    </row>
    <row r="5527" spans="9:15" x14ac:dyDescent="0.35">
      <c r="I5527" s="35"/>
      <c r="O5527" s="35"/>
    </row>
    <row r="5528" spans="9:15" x14ac:dyDescent="0.35">
      <c r="I5528" s="35"/>
      <c r="O5528" s="35"/>
    </row>
    <row r="5529" spans="9:15" x14ac:dyDescent="0.35">
      <c r="I5529" s="35"/>
      <c r="O5529" s="35"/>
    </row>
    <row r="5530" spans="9:15" x14ac:dyDescent="0.35">
      <c r="I5530" s="35"/>
      <c r="O5530" s="35"/>
    </row>
    <row r="5531" spans="9:15" x14ac:dyDescent="0.35">
      <c r="I5531" s="35"/>
      <c r="O5531" s="35"/>
    </row>
    <row r="5532" spans="9:15" x14ac:dyDescent="0.35">
      <c r="I5532" s="35"/>
      <c r="O5532" s="35"/>
    </row>
    <row r="5533" spans="9:15" x14ac:dyDescent="0.35">
      <c r="I5533" s="35"/>
      <c r="O5533" s="35"/>
    </row>
    <row r="5534" spans="9:15" x14ac:dyDescent="0.35">
      <c r="I5534" s="35"/>
      <c r="O5534" s="35"/>
    </row>
    <row r="5535" spans="9:15" x14ac:dyDescent="0.35">
      <c r="I5535" s="35"/>
      <c r="O5535" s="35"/>
    </row>
    <row r="5536" spans="9:15" x14ac:dyDescent="0.35">
      <c r="I5536" s="35"/>
      <c r="O5536" s="35"/>
    </row>
    <row r="5537" spans="9:15" x14ac:dyDescent="0.35">
      <c r="I5537" s="35"/>
      <c r="O5537" s="35"/>
    </row>
    <row r="5538" spans="9:15" x14ac:dyDescent="0.35">
      <c r="I5538" s="35"/>
      <c r="O5538" s="35"/>
    </row>
    <row r="5539" spans="9:15" x14ac:dyDescent="0.35">
      <c r="I5539" s="35"/>
      <c r="O5539" s="35"/>
    </row>
    <row r="5540" spans="9:15" x14ac:dyDescent="0.35">
      <c r="I5540" s="35"/>
      <c r="O5540" s="35"/>
    </row>
    <row r="5541" spans="9:15" x14ac:dyDescent="0.35">
      <c r="I5541" s="35"/>
      <c r="O5541" s="35"/>
    </row>
    <row r="5542" spans="9:15" x14ac:dyDescent="0.35">
      <c r="I5542" s="35"/>
      <c r="O5542" s="35"/>
    </row>
    <row r="5543" spans="9:15" x14ac:dyDescent="0.35">
      <c r="I5543" s="35"/>
      <c r="O5543" s="35"/>
    </row>
    <row r="5544" spans="9:15" x14ac:dyDescent="0.35">
      <c r="I5544" s="35"/>
      <c r="O5544" s="35"/>
    </row>
    <row r="5545" spans="9:15" x14ac:dyDescent="0.35">
      <c r="I5545" s="35"/>
      <c r="O5545" s="35"/>
    </row>
    <row r="5546" spans="9:15" x14ac:dyDescent="0.35">
      <c r="I5546" s="35"/>
      <c r="O5546" s="35"/>
    </row>
    <row r="5547" spans="9:15" x14ac:dyDescent="0.35">
      <c r="I5547" s="35"/>
      <c r="O5547" s="35"/>
    </row>
    <row r="5548" spans="9:15" x14ac:dyDescent="0.35">
      <c r="I5548" s="35"/>
      <c r="O5548" s="35"/>
    </row>
    <row r="5549" spans="9:15" x14ac:dyDescent="0.35">
      <c r="I5549" s="35"/>
      <c r="O5549" s="35"/>
    </row>
    <row r="5550" spans="9:15" x14ac:dyDescent="0.35">
      <c r="I5550" s="35"/>
      <c r="O5550" s="35"/>
    </row>
    <row r="5551" spans="9:15" x14ac:dyDescent="0.35">
      <c r="I5551" s="35"/>
      <c r="O5551" s="35"/>
    </row>
    <row r="5552" spans="9:15" x14ac:dyDescent="0.35">
      <c r="I5552" s="35"/>
      <c r="O5552" s="35"/>
    </row>
    <row r="5553" spans="9:15" x14ac:dyDescent="0.35">
      <c r="I5553" s="35"/>
      <c r="O5553" s="35"/>
    </row>
    <row r="5554" spans="9:15" x14ac:dyDescent="0.35">
      <c r="I5554" s="35"/>
      <c r="O5554" s="35"/>
    </row>
    <row r="5555" spans="9:15" x14ac:dyDescent="0.35">
      <c r="I5555" s="35"/>
      <c r="O5555" s="35"/>
    </row>
    <row r="5556" spans="9:15" x14ac:dyDescent="0.35">
      <c r="I5556" s="35"/>
      <c r="O5556" s="35"/>
    </row>
    <row r="5557" spans="9:15" x14ac:dyDescent="0.35">
      <c r="I5557" s="35"/>
      <c r="O5557" s="35"/>
    </row>
    <row r="5558" spans="9:15" x14ac:dyDescent="0.35">
      <c r="I5558" s="35"/>
      <c r="O5558" s="35"/>
    </row>
    <row r="5559" spans="9:15" x14ac:dyDescent="0.35">
      <c r="I5559" s="35"/>
      <c r="O5559" s="35"/>
    </row>
    <row r="5560" spans="9:15" x14ac:dyDescent="0.35">
      <c r="I5560" s="35"/>
      <c r="O5560" s="35"/>
    </row>
    <row r="5561" spans="9:15" x14ac:dyDescent="0.35">
      <c r="I5561" s="35"/>
      <c r="O5561" s="35"/>
    </row>
    <row r="5562" spans="9:15" x14ac:dyDescent="0.35">
      <c r="I5562" s="35"/>
      <c r="O5562" s="35"/>
    </row>
    <row r="5563" spans="9:15" x14ac:dyDescent="0.35">
      <c r="I5563" s="35"/>
      <c r="O5563" s="35"/>
    </row>
    <row r="5564" spans="9:15" x14ac:dyDescent="0.35">
      <c r="I5564" s="35"/>
      <c r="O5564" s="35"/>
    </row>
    <row r="5565" spans="9:15" x14ac:dyDescent="0.35">
      <c r="I5565" s="35"/>
      <c r="O5565" s="35"/>
    </row>
    <row r="5566" spans="9:15" x14ac:dyDescent="0.35">
      <c r="I5566" s="35"/>
      <c r="O5566" s="35"/>
    </row>
    <row r="5567" spans="9:15" x14ac:dyDescent="0.35">
      <c r="I5567" s="35"/>
      <c r="O5567" s="35"/>
    </row>
    <row r="5568" spans="9:15" x14ac:dyDescent="0.35">
      <c r="I5568" s="35"/>
      <c r="O5568" s="35"/>
    </row>
    <row r="5569" spans="9:15" x14ac:dyDescent="0.35">
      <c r="I5569" s="35"/>
      <c r="O5569" s="35"/>
    </row>
    <row r="5570" spans="9:15" x14ac:dyDescent="0.35">
      <c r="I5570" s="35"/>
      <c r="O5570" s="35"/>
    </row>
    <row r="5571" spans="9:15" x14ac:dyDescent="0.35">
      <c r="I5571" s="35"/>
      <c r="O5571" s="35"/>
    </row>
    <row r="5572" spans="9:15" x14ac:dyDescent="0.35">
      <c r="I5572" s="35"/>
      <c r="O5572" s="35"/>
    </row>
    <row r="5573" spans="9:15" x14ac:dyDescent="0.35">
      <c r="I5573" s="35"/>
      <c r="O5573" s="35"/>
    </row>
    <row r="5574" spans="9:15" x14ac:dyDescent="0.35">
      <c r="I5574" s="35"/>
      <c r="O5574" s="35"/>
    </row>
    <row r="5575" spans="9:15" x14ac:dyDescent="0.35">
      <c r="I5575" s="35"/>
      <c r="O5575" s="35"/>
    </row>
    <row r="5576" spans="9:15" x14ac:dyDescent="0.35">
      <c r="I5576" s="35"/>
      <c r="O5576" s="35"/>
    </row>
    <row r="5577" spans="9:15" x14ac:dyDescent="0.35">
      <c r="I5577" s="35"/>
      <c r="O5577" s="35"/>
    </row>
    <row r="5578" spans="9:15" x14ac:dyDescent="0.35">
      <c r="I5578" s="35"/>
      <c r="O5578" s="35"/>
    </row>
    <row r="5579" spans="9:15" x14ac:dyDescent="0.35">
      <c r="I5579" s="35"/>
      <c r="O5579" s="35"/>
    </row>
    <row r="5580" spans="9:15" x14ac:dyDescent="0.35">
      <c r="I5580" s="35"/>
      <c r="O5580" s="35"/>
    </row>
    <row r="5581" spans="9:15" x14ac:dyDescent="0.35">
      <c r="I5581" s="35"/>
      <c r="O5581" s="35"/>
    </row>
    <row r="5582" spans="9:15" x14ac:dyDescent="0.35">
      <c r="I5582" s="35"/>
      <c r="O5582" s="35"/>
    </row>
    <row r="5583" spans="9:15" x14ac:dyDescent="0.35">
      <c r="I5583" s="35"/>
      <c r="O5583" s="35"/>
    </row>
    <row r="5584" spans="9:15" x14ac:dyDescent="0.35">
      <c r="I5584" s="35"/>
      <c r="O5584" s="35"/>
    </row>
    <row r="5585" spans="9:15" x14ac:dyDescent="0.35">
      <c r="I5585" s="35"/>
      <c r="O5585" s="35"/>
    </row>
    <row r="5586" spans="9:15" x14ac:dyDescent="0.35">
      <c r="I5586" s="35"/>
      <c r="O5586" s="35"/>
    </row>
    <row r="5587" spans="9:15" x14ac:dyDescent="0.35">
      <c r="I5587" s="35"/>
      <c r="O5587" s="35"/>
    </row>
    <row r="5588" spans="9:15" x14ac:dyDescent="0.35">
      <c r="I5588" s="35"/>
      <c r="O5588" s="35"/>
    </row>
    <row r="5589" spans="9:15" x14ac:dyDescent="0.35">
      <c r="I5589" s="35"/>
      <c r="O5589" s="35"/>
    </row>
    <row r="5590" spans="9:15" x14ac:dyDescent="0.35">
      <c r="I5590" s="35"/>
      <c r="O5590" s="35"/>
    </row>
    <row r="5591" spans="9:15" x14ac:dyDescent="0.35">
      <c r="I5591" s="35"/>
      <c r="O5591" s="35"/>
    </row>
    <row r="5592" spans="9:15" x14ac:dyDescent="0.35">
      <c r="I5592" s="35"/>
      <c r="O5592" s="35"/>
    </row>
    <row r="5593" spans="9:15" x14ac:dyDescent="0.35">
      <c r="I5593" s="35"/>
      <c r="O5593" s="35"/>
    </row>
    <row r="5594" spans="9:15" x14ac:dyDescent="0.35">
      <c r="I5594" s="35"/>
      <c r="O5594" s="35"/>
    </row>
    <row r="5595" spans="9:15" x14ac:dyDescent="0.35">
      <c r="I5595" s="35"/>
      <c r="O5595" s="35"/>
    </row>
    <row r="5596" spans="9:15" x14ac:dyDescent="0.35">
      <c r="I5596" s="35"/>
      <c r="O5596" s="35"/>
    </row>
    <row r="5597" spans="9:15" x14ac:dyDescent="0.35">
      <c r="I5597" s="35"/>
      <c r="O5597" s="35"/>
    </row>
    <row r="5598" spans="9:15" x14ac:dyDescent="0.35">
      <c r="I5598" s="35"/>
      <c r="O5598" s="35"/>
    </row>
    <row r="5599" spans="9:15" x14ac:dyDescent="0.35">
      <c r="I5599" s="35"/>
      <c r="O5599" s="35"/>
    </row>
    <row r="5600" spans="9:15" x14ac:dyDescent="0.35">
      <c r="I5600" s="35"/>
      <c r="O5600" s="35"/>
    </row>
    <row r="5601" spans="9:15" x14ac:dyDescent="0.35">
      <c r="I5601" s="35"/>
      <c r="O5601" s="35"/>
    </row>
    <row r="5602" spans="9:15" x14ac:dyDescent="0.35">
      <c r="I5602" s="35"/>
      <c r="O5602" s="35"/>
    </row>
    <row r="5603" spans="9:15" x14ac:dyDescent="0.35">
      <c r="I5603" s="35"/>
      <c r="O5603" s="35"/>
    </row>
    <row r="5604" spans="9:15" x14ac:dyDescent="0.35">
      <c r="I5604" s="35"/>
      <c r="O5604" s="35"/>
    </row>
    <row r="5605" spans="9:15" x14ac:dyDescent="0.35">
      <c r="I5605" s="35"/>
      <c r="O5605" s="35"/>
    </row>
    <row r="5606" spans="9:15" x14ac:dyDescent="0.35">
      <c r="I5606" s="35"/>
      <c r="O5606" s="35"/>
    </row>
    <row r="5607" spans="9:15" x14ac:dyDescent="0.35">
      <c r="I5607" s="35"/>
      <c r="O5607" s="35"/>
    </row>
    <row r="5608" spans="9:15" x14ac:dyDescent="0.35">
      <c r="I5608" s="35"/>
      <c r="O5608" s="35"/>
    </row>
    <row r="5609" spans="9:15" x14ac:dyDescent="0.35">
      <c r="I5609" s="35"/>
      <c r="O5609" s="35"/>
    </row>
    <row r="5610" spans="9:15" x14ac:dyDescent="0.35">
      <c r="I5610" s="35"/>
      <c r="O5610" s="35"/>
    </row>
    <row r="5611" spans="9:15" x14ac:dyDescent="0.35">
      <c r="I5611" s="35"/>
      <c r="O5611" s="35"/>
    </row>
    <row r="5612" spans="9:15" x14ac:dyDescent="0.35">
      <c r="I5612" s="35"/>
      <c r="O5612" s="35"/>
    </row>
    <row r="5613" spans="9:15" x14ac:dyDescent="0.35">
      <c r="I5613" s="35"/>
      <c r="O5613" s="35"/>
    </row>
    <row r="5614" spans="9:15" x14ac:dyDescent="0.35">
      <c r="I5614" s="35"/>
      <c r="O5614" s="35"/>
    </row>
    <row r="5615" spans="9:15" x14ac:dyDescent="0.35">
      <c r="I5615" s="35"/>
      <c r="O5615" s="35"/>
    </row>
    <row r="5616" spans="9:15" x14ac:dyDescent="0.35">
      <c r="I5616" s="35"/>
      <c r="O5616" s="35"/>
    </row>
    <row r="5617" spans="9:15" x14ac:dyDescent="0.35">
      <c r="I5617" s="35"/>
      <c r="O5617" s="35"/>
    </row>
    <row r="5618" spans="9:15" x14ac:dyDescent="0.35">
      <c r="I5618" s="35"/>
      <c r="O5618" s="35"/>
    </row>
    <row r="5619" spans="9:15" x14ac:dyDescent="0.35">
      <c r="I5619" s="35"/>
      <c r="O5619" s="35"/>
    </row>
    <row r="5620" spans="9:15" x14ac:dyDescent="0.35">
      <c r="I5620" s="35"/>
      <c r="O5620" s="35"/>
    </row>
    <row r="5621" spans="9:15" x14ac:dyDescent="0.35">
      <c r="I5621" s="35"/>
      <c r="O5621" s="35"/>
    </row>
    <row r="5622" spans="9:15" x14ac:dyDescent="0.35">
      <c r="I5622" s="35"/>
      <c r="O5622" s="35"/>
    </row>
    <row r="5623" spans="9:15" x14ac:dyDescent="0.35">
      <c r="I5623" s="35"/>
      <c r="O5623" s="35"/>
    </row>
    <row r="5624" spans="9:15" x14ac:dyDescent="0.35">
      <c r="I5624" s="35"/>
      <c r="O5624" s="35"/>
    </row>
    <row r="5625" spans="9:15" x14ac:dyDescent="0.35">
      <c r="I5625" s="35"/>
      <c r="O5625" s="35"/>
    </row>
    <row r="5626" spans="9:15" x14ac:dyDescent="0.35">
      <c r="I5626" s="35"/>
      <c r="O5626" s="35"/>
    </row>
    <row r="5627" spans="9:15" x14ac:dyDescent="0.35">
      <c r="I5627" s="35"/>
      <c r="O5627" s="35"/>
    </row>
    <row r="5628" spans="9:15" x14ac:dyDescent="0.35">
      <c r="I5628" s="35"/>
      <c r="O5628" s="35"/>
    </row>
    <row r="5629" spans="9:15" x14ac:dyDescent="0.35">
      <c r="I5629" s="35"/>
      <c r="O5629" s="35"/>
    </row>
    <row r="5630" spans="9:15" x14ac:dyDescent="0.35">
      <c r="I5630" s="35"/>
      <c r="O5630" s="35"/>
    </row>
    <row r="5631" spans="9:15" x14ac:dyDescent="0.35">
      <c r="I5631" s="35"/>
      <c r="O5631" s="35"/>
    </row>
    <row r="5632" spans="9:15" x14ac:dyDescent="0.35">
      <c r="I5632" s="35"/>
      <c r="O5632" s="35"/>
    </row>
    <row r="5633" spans="9:15" x14ac:dyDescent="0.35">
      <c r="I5633" s="35"/>
      <c r="O5633" s="35"/>
    </row>
    <row r="5634" spans="9:15" x14ac:dyDescent="0.35">
      <c r="I5634" s="35"/>
      <c r="O5634" s="35"/>
    </row>
    <row r="5635" spans="9:15" x14ac:dyDescent="0.35">
      <c r="I5635" s="35"/>
      <c r="O5635" s="35"/>
    </row>
    <row r="5636" spans="9:15" x14ac:dyDescent="0.35">
      <c r="I5636" s="35"/>
      <c r="O5636" s="35"/>
    </row>
    <row r="5637" spans="9:15" x14ac:dyDescent="0.35">
      <c r="I5637" s="35"/>
      <c r="O5637" s="35"/>
    </row>
    <row r="5638" spans="9:15" x14ac:dyDescent="0.35">
      <c r="I5638" s="35"/>
      <c r="O5638" s="35"/>
    </row>
    <row r="5639" spans="9:15" x14ac:dyDescent="0.35">
      <c r="I5639" s="35"/>
      <c r="O5639" s="35"/>
    </row>
    <row r="5640" spans="9:15" x14ac:dyDescent="0.35">
      <c r="I5640" s="35"/>
      <c r="O5640" s="35"/>
    </row>
    <row r="5641" spans="9:15" x14ac:dyDescent="0.35">
      <c r="I5641" s="35"/>
      <c r="O5641" s="35"/>
    </row>
    <row r="5642" spans="9:15" x14ac:dyDescent="0.35">
      <c r="I5642" s="35"/>
      <c r="O5642" s="35"/>
    </row>
    <row r="5643" spans="9:15" x14ac:dyDescent="0.35">
      <c r="I5643" s="35"/>
      <c r="O5643" s="35"/>
    </row>
    <row r="5644" spans="9:15" x14ac:dyDescent="0.35">
      <c r="I5644" s="35"/>
      <c r="O5644" s="35"/>
    </row>
    <row r="5645" spans="9:15" x14ac:dyDescent="0.35">
      <c r="I5645" s="35"/>
      <c r="O5645" s="35"/>
    </row>
    <row r="5646" spans="9:15" x14ac:dyDescent="0.35">
      <c r="I5646" s="35"/>
      <c r="O5646" s="35"/>
    </row>
    <row r="5647" spans="9:15" x14ac:dyDescent="0.35">
      <c r="I5647" s="35"/>
      <c r="O5647" s="35"/>
    </row>
    <row r="5648" spans="9:15" x14ac:dyDescent="0.35">
      <c r="I5648" s="35"/>
      <c r="O5648" s="35"/>
    </row>
    <row r="5649" spans="9:15" x14ac:dyDescent="0.35">
      <c r="I5649" s="35"/>
      <c r="O5649" s="35"/>
    </row>
    <row r="5650" spans="9:15" x14ac:dyDescent="0.35">
      <c r="I5650" s="35"/>
      <c r="O5650" s="35"/>
    </row>
    <row r="5651" spans="9:15" x14ac:dyDescent="0.35">
      <c r="I5651" s="35"/>
      <c r="O5651" s="35"/>
    </row>
    <row r="5652" spans="9:15" x14ac:dyDescent="0.35">
      <c r="I5652" s="35"/>
      <c r="O5652" s="35"/>
    </row>
    <row r="5653" spans="9:15" x14ac:dyDescent="0.35">
      <c r="I5653" s="35"/>
      <c r="O5653" s="35"/>
    </row>
    <row r="5654" spans="9:15" x14ac:dyDescent="0.35">
      <c r="I5654" s="35"/>
      <c r="O5654" s="35"/>
    </row>
    <row r="5655" spans="9:15" x14ac:dyDescent="0.35">
      <c r="I5655" s="35"/>
      <c r="O5655" s="35"/>
    </row>
    <row r="5656" spans="9:15" x14ac:dyDescent="0.35">
      <c r="I5656" s="35"/>
      <c r="O5656" s="35"/>
    </row>
    <row r="5657" spans="9:15" x14ac:dyDescent="0.35">
      <c r="I5657" s="35"/>
      <c r="O5657" s="35"/>
    </row>
    <row r="5658" spans="9:15" x14ac:dyDescent="0.35">
      <c r="I5658" s="35"/>
      <c r="O5658" s="35"/>
    </row>
    <row r="5659" spans="9:15" x14ac:dyDescent="0.35">
      <c r="I5659" s="35"/>
      <c r="O5659" s="35"/>
    </row>
    <row r="5660" spans="9:15" x14ac:dyDescent="0.35">
      <c r="I5660" s="35"/>
      <c r="O5660" s="35"/>
    </row>
    <row r="5661" spans="9:15" x14ac:dyDescent="0.35">
      <c r="I5661" s="35"/>
      <c r="O5661" s="35"/>
    </row>
    <row r="5662" spans="9:15" x14ac:dyDescent="0.35">
      <c r="I5662" s="35"/>
      <c r="O5662" s="35"/>
    </row>
    <row r="5663" spans="9:15" x14ac:dyDescent="0.35">
      <c r="I5663" s="35"/>
      <c r="O5663" s="35"/>
    </row>
    <row r="5664" spans="9:15" x14ac:dyDescent="0.35">
      <c r="I5664" s="35"/>
      <c r="O5664" s="35"/>
    </row>
    <row r="5665" spans="9:15" x14ac:dyDescent="0.35">
      <c r="I5665" s="35"/>
      <c r="O5665" s="35"/>
    </row>
    <row r="5666" spans="9:15" x14ac:dyDescent="0.35">
      <c r="I5666" s="35"/>
      <c r="O5666" s="35"/>
    </row>
    <row r="5667" spans="9:15" x14ac:dyDescent="0.35">
      <c r="I5667" s="35"/>
      <c r="O5667" s="35"/>
    </row>
    <row r="5668" spans="9:15" x14ac:dyDescent="0.35">
      <c r="I5668" s="35"/>
      <c r="O5668" s="35"/>
    </row>
    <row r="5669" spans="9:15" x14ac:dyDescent="0.35">
      <c r="I5669" s="35"/>
      <c r="O5669" s="35"/>
    </row>
    <row r="5670" spans="9:15" x14ac:dyDescent="0.35">
      <c r="I5670" s="35"/>
      <c r="O5670" s="35"/>
    </row>
    <row r="5671" spans="9:15" x14ac:dyDescent="0.35">
      <c r="I5671" s="35"/>
      <c r="O5671" s="35"/>
    </row>
    <row r="5672" spans="9:15" x14ac:dyDescent="0.35">
      <c r="I5672" s="35"/>
      <c r="O5672" s="35"/>
    </row>
    <row r="5673" spans="9:15" x14ac:dyDescent="0.35">
      <c r="I5673" s="35"/>
      <c r="O5673" s="35"/>
    </row>
    <row r="5674" spans="9:15" x14ac:dyDescent="0.35">
      <c r="I5674" s="35"/>
      <c r="O5674" s="35"/>
    </row>
    <row r="5675" spans="9:15" x14ac:dyDescent="0.35">
      <c r="I5675" s="35"/>
      <c r="O5675" s="35"/>
    </row>
    <row r="5676" spans="9:15" x14ac:dyDescent="0.35">
      <c r="I5676" s="35"/>
      <c r="O5676" s="35"/>
    </row>
    <row r="5677" spans="9:15" x14ac:dyDescent="0.35">
      <c r="I5677" s="35"/>
      <c r="O5677" s="35"/>
    </row>
    <row r="5678" spans="9:15" x14ac:dyDescent="0.35">
      <c r="I5678" s="35"/>
      <c r="O5678" s="35"/>
    </row>
    <row r="5679" spans="9:15" x14ac:dyDescent="0.35">
      <c r="I5679" s="35"/>
      <c r="O5679" s="35"/>
    </row>
    <row r="5680" spans="9:15" x14ac:dyDescent="0.35">
      <c r="I5680" s="35"/>
      <c r="O5680" s="35"/>
    </row>
    <row r="5681" spans="9:15" x14ac:dyDescent="0.35">
      <c r="I5681" s="35"/>
      <c r="O5681" s="35"/>
    </row>
    <row r="5682" spans="9:15" x14ac:dyDescent="0.35">
      <c r="I5682" s="35"/>
      <c r="O5682" s="35"/>
    </row>
    <row r="5683" spans="9:15" x14ac:dyDescent="0.35">
      <c r="I5683" s="35"/>
      <c r="O5683" s="35"/>
    </row>
    <row r="5684" spans="9:15" x14ac:dyDescent="0.35">
      <c r="I5684" s="35"/>
      <c r="O5684" s="35"/>
    </row>
    <row r="5685" spans="9:15" x14ac:dyDescent="0.35">
      <c r="I5685" s="35"/>
      <c r="O5685" s="35"/>
    </row>
    <row r="5686" spans="9:15" x14ac:dyDescent="0.35">
      <c r="I5686" s="35"/>
      <c r="O5686" s="35"/>
    </row>
    <row r="5687" spans="9:15" x14ac:dyDescent="0.35">
      <c r="I5687" s="35"/>
      <c r="O5687" s="35"/>
    </row>
    <row r="5688" spans="9:15" x14ac:dyDescent="0.35">
      <c r="I5688" s="35"/>
      <c r="O5688" s="35"/>
    </row>
    <row r="5689" spans="9:15" x14ac:dyDescent="0.35">
      <c r="I5689" s="35"/>
      <c r="O5689" s="35"/>
    </row>
    <row r="5690" spans="9:15" x14ac:dyDescent="0.35">
      <c r="I5690" s="35"/>
      <c r="O5690" s="35"/>
    </row>
    <row r="5691" spans="9:15" x14ac:dyDescent="0.35">
      <c r="I5691" s="35"/>
      <c r="O5691" s="35"/>
    </row>
    <row r="5692" spans="9:15" x14ac:dyDescent="0.35">
      <c r="I5692" s="35"/>
      <c r="O5692" s="35"/>
    </row>
    <row r="5693" spans="9:15" x14ac:dyDescent="0.35">
      <c r="I5693" s="35"/>
      <c r="O5693" s="35"/>
    </row>
    <row r="5694" spans="9:15" x14ac:dyDescent="0.35">
      <c r="I5694" s="35"/>
      <c r="O5694" s="35"/>
    </row>
    <row r="5695" spans="9:15" x14ac:dyDescent="0.35">
      <c r="I5695" s="35"/>
      <c r="O5695" s="35"/>
    </row>
    <row r="5696" spans="9:15" x14ac:dyDescent="0.35">
      <c r="I5696" s="35"/>
      <c r="O5696" s="35"/>
    </row>
    <row r="5697" spans="9:15" x14ac:dyDescent="0.35">
      <c r="I5697" s="35"/>
      <c r="O5697" s="35"/>
    </row>
    <row r="5698" spans="9:15" x14ac:dyDescent="0.35">
      <c r="I5698" s="35"/>
      <c r="O5698" s="35"/>
    </row>
    <row r="5699" spans="9:15" x14ac:dyDescent="0.35">
      <c r="I5699" s="35"/>
      <c r="O5699" s="35"/>
    </row>
    <row r="5700" spans="9:15" x14ac:dyDescent="0.35">
      <c r="I5700" s="35"/>
      <c r="O5700" s="35"/>
    </row>
    <row r="5701" spans="9:15" x14ac:dyDescent="0.35">
      <c r="I5701" s="35"/>
      <c r="O5701" s="35"/>
    </row>
    <row r="5702" spans="9:15" x14ac:dyDescent="0.35">
      <c r="I5702" s="35"/>
      <c r="O5702" s="35"/>
    </row>
    <row r="5703" spans="9:15" x14ac:dyDescent="0.35">
      <c r="I5703" s="35"/>
      <c r="O5703" s="35"/>
    </row>
    <row r="5704" spans="9:15" x14ac:dyDescent="0.35">
      <c r="I5704" s="35"/>
      <c r="O5704" s="35"/>
    </row>
    <row r="5705" spans="9:15" x14ac:dyDescent="0.35">
      <c r="I5705" s="35"/>
      <c r="O5705" s="35"/>
    </row>
    <row r="5706" spans="9:15" x14ac:dyDescent="0.35">
      <c r="I5706" s="35"/>
      <c r="O5706" s="35"/>
    </row>
    <row r="5707" spans="9:15" x14ac:dyDescent="0.35">
      <c r="I5707" s="35"/>
      <c r="O5707" s="35"/>
    </row>
    <row r="5708" spans="9:15" x14ac:dyDescent="0.35">
      <c r="I5708" s="35"/>
      <c r="O5708" s="35"/>
    </row>
    <row r="5709" spans="9:15" x14ac:dyDescent="0.35">
      <c r="I5709" s="35"/>
      <c r="O5709" s="35"/>
    </row>
    <row r="5710" spans="9:15" x14ac:dyDescent="0.35">
      <c r="I5710" s="35"/>
      <c r="O5710" s="35"/>
    </row>
    <row r="5711" spans="9:15" x14ac:dyDescent="0.35">
      <c r="I5711" s="35"/>
      <c r="O5711" s="35"/>
    </row>
    <row r="5712" spans="9:15" x14ac:dyDescent="0.35">
      <c r="I5712" s="35"/>
      <c r="O5712" s="35"/>
    </row>
    <row r="5713" spans="9:15" x14ac:dyDescent="0.35">
      <c r="I5713" s="35"/>
      <c r="O5713" s="35"/>
    </row>
    <row r="5714" spans="9:15" x14ac:dyDescent="0.35">
      <c r="I5714" s="35"/>
      <c r="O5714" s="35"/>
    </row>
    <row r="5715" spans="9:15" x14ac:dyDescent="0.35">
      <c r="I5715" s="35"/>
      <c r="O5715" s="35"/>
    </row>
    <row r="5716" spans="9:15" x14ac:dyDescent="0.35">
      <c r="I5716" s="35"/>
      <c r="O5716" s="35"/>
    </row>
    <row r="5717" spans="9:15" x14ac:dyDescent="0.35">
      <c r="I5717" s="35"/>
      <c r="O5717" s="35"/>
    </row>
    <row r="5718" spans="9:15" x14ac:dyDescent="0.35">
      <c r="I5718" s="35"/>
      <c r="O5718" s="35"/>
    </row>
    <row r="5719" spans="9:15" x14ac:dyDescent="0.35">
      <c r="I5719" s="35"/>
      <c r="O5719" s="35"/>
    </row>
    <row r="5720" spans="9:15" x14ac:dyDescent="0.35">
      <c r="I5720" s="35"/>
      <c r="O5720" s="35"/>
    </row>
    <row r="5721" spans="9:15" x14ac:dyDescent="0.35">
      <c r="I5721" s="35"/>
      <c r="O5721" s="35"/>
    </row>
    <row r="5722" spans="9:15" x14ac:dyDescent="0.35">
      <c r="I5722" s="35"/>
      <c r="O5722" s="35"/>
    </row>
    <row r="5723" spans="9:15" x14ac:dyDescent="0.35">
      <c r="I5723" s="35"/>
      <c r="O5723" s="35"/>
    </row>
    <row r="5724" spans="9:15" x14ac:dyDescent="0.35">
      <c r="I5724" s="35"/>
      <c r="O5724" s="35"/>
    </row>
    <row r="5725" spans="9:15" x14ac:dyDescent="0.35">
      <c r="I5725" s="35"/>
      <c r="O5725" s="35"/>
    </row>
    <row r="5726" spans="9:15" x14ac:dyDescent="0.35">
      <c r="I5726" s="35"/>
      <c r="O5726" s="35"/>
    </row>
    <row r="5727" spans="9:15" x14ac:dyDescent="0.35">
      <c r="I5727" s="35"/>
      <c r="O5727" s="35"/>
    </row>
    <row r="5728" spans="9:15" x14ac:dyDescent="0.35">
      <c r="I5728" s="35"/>
      <c r="O5728" s="35"/>
    </row>
    <row r="5729" spans="9:15" x14ac:dyDescent="0.35">
      <c r="I5729" s="35"/>
      <c r="O5729" s="35"/>
    </row>
    <row r="5730" spans="9:15" x14ac:dyDescent="0.35">
      <c r="I5730" s="35"/>
      <c r="O5730" s="35"/>
    </row>
    <row r="5731" spans="9:15" x14ac:dyDescent="0.35">
      <c r="I5731" s="35"/>
      <c r="O5731" s="35"/>
    </row>
    <row r="5732" spans="9:15" x14ac:dyDescent="0.35">
      <c r="I5732" s="35"/>
      <c r="O5732" s="35"/>
    </row>
    <row r="5733" spans="9:15" x14ac:dyDescent="0.35">
      <c r="I5733" s="35"/>
      <c r="O5733" s="35"/>
    </row>
    <row r="5734" spans="9:15" x14ac:dyDescent="0.35">
      <c r="I5734" s="35"/>
      <c r="O5734" s="35"/>
    </row>
    <row r="5735" spans="9:15" x14ac:dyDescent="0.35">
      <c r="I5735" s="35"/>
      <c r="O5735" s="35"/>
    </row>
    <row r="5736" spans="9:15" x14ac:dyDescent="0.35">
      <c r="I5736" s="35"/>
      <c r="O5736" s="35"/>
    </row>
    <row r="5737" spans="9:15" x14ac:dyDescent="0.35">
      <c r="I5737" s="35"/>
      <c r="O5737" s="35"/>
    </row>
    <row r="5738" spans="9:15" x14ac:dyDescent="0.35">
      <c r="I5738" s="35"/>
      <c r="O5738" s="35"/>
    </row>
    <row r="5739" spans="9:15" x14ac:dyDescent="0.35">
      <c r="I5739" s="35"/>
      <c r="O5739" s="35"/>
    </row>
    <row r="5740" spans="9:15" x14ac:dyDescent="0.35">
      <c r="I5740" s="35"/>
      <c r="O5740" s="35"/>
    </row>
    <row r="5741" spans="9:15" x14ac:dyDescent="0.35">
      <c r="I5741" s="35"/>
      <c r="O5741" s="35"/>
    </row>
    <row r="5742" spans="9:15" x14ac:dyDescent="0.35">
      <c r="I5742" s="35"/>
      <c r="O5742" s="35"/>
    </row>
    <row r="5743" spans="9:15" x14ac:dyDescent="0.35">
      <c r="I5743" s="35"/>
      <c r="O5743" s="35"/>
    </row>
    <row r="5744" spans="9:15" x14ac:dyDescent="0.35">
      <c r="I5744" s="35"/>
      <c r="O5744" s="35"/>
    </row>
    <row r="5745" spans="9:15" x14ac:dyDescent="0.35">
      <c r="I5745" s="35"/>
      <c r="O5745" s="35"/>
    </row>
    <row r="5746" spans="9:15" x14ac:dyDescent="0.35">
      <c r="I5746" s="35"/>
      <c r="O5746" s="35"/>
    </row>
    <row r="5747" spans="9:15" x14ac:dyDescent="0.35">
      <c r="I5747" s="35"/>
      <c r="O5747" s="35"/>
    </row>
    <row r="5748" spans="9:15" x14ac:dyDescent="0.35">
      <c r="I5748" s="35"/>
      <c r="O5748" s="35"/>
    </row>
    <row r="5749" spans="9:15" x14ac:dyDescent="0.35">
      <c r="I5749" s="35"/>
      <c r="O5749" s="35"/>
    </row>
    <row r="5750" spans="9:15" x14ac:dyDescent="0.35">
      <c r="I5750" s="35"/>
      <c r="O5750" s="35"/>
    </row>
    <row r="5751" spans="9:15" x14ac:dyDescent="0.35">
      <c r="I5751" s="35"/>
      <c r="O5751" s="35"/>
    </row>
    <row r="5752" spans="9:15" x14ac:dyDescent="0.35">
      <c r="I5752" s="35"/>
      <c r="O5752" s="35"/>
    </row>
    <row r="5753" spans="9:15" x14ac:dyDescent="0.35">
      <c r="I5753" s="35"/>
      <c r="O5753" s="35"/>
    </row>
    <row r="5754" spans="9:15" x14ac:dyDescent="0.35">
      <c r="I5754" s="35"/>
      <c r="O5754" s="35"/>
    </row>
    <row r="5755" spans="9:15" x14ac:dyDescent="0.35">
      <c r="I5755" s="35"/>
      <c r="O5755" s="35"/>
    </row>
    <row r="5756" spans="9:15" x14ac:dyDescent="0.35">
      <c r="I5756" s="35"/>
      <c r="O5756" s="35"/>
    </row>
    <row r="5757" spans="9:15" x14ac:dyDescent="0.35">
      <c r="I5757" s="35"/>
      <c r="O5757" s="35"/>
    </row>
    <row r="5758" spans="9:15" x14ac:dyDescent="0.35">
      <c r="I5758" s="35"/>
      <c r="O5758" s="35"/>
    </row>
    <row r="5759" spans="9:15" x14ac:dyDescent="0.35">
      <c r="I5759" s="35"/>
      <c r="O5759" s="35"/>
    </row>
    <row r="5760" spans="9:15" x14ac:dyDescent="0.35">
      <c r="I5760" s="35"/>
      <c r="O5760" s="35"/>
    </row>
    <row r="5761" spans="9:15" x14ac:dyDescent="0.35">
      <c r="I5761" s="35"/>
      <c r="O5761" s="35"/>
    </row>
    <row r="5762" spans="9:15" x14ac:dyDescent="0.35">
      <c r="I5762" s="35"/>
      <c r="O5762" s="35"/>
    </row>
    <row r="5763" spans="9:15" x14ac:dyDescent="0.35">
      <c r="I5763" s="35"/>
      <c r="O5763" s="35"/>
    </row>
    <row r="5764" spans="9:15" x14ac:dyDescent="0.35">
      <c r="I5764" s="35"/>
      <c r="O5764" s="35"/>
    </row>
    <row r="5765" spans="9:15" x14ac:dyDescent="0.35">
      <c r="I5765" s="35"/>
      <c r="O5765" s="35"/>
    </row>
    <row r="5766" spans="9:15" x14ac:dyDescent="0.35">
      <c r="I5766" s="35"/>
      <c r="O5766" s="35"/>
    </row>
    <row r="5767" spans="9:15" x14ac:dyDescent="0.35">
      <c r="I5767" s="35"/>
      <c r="O5767" s="35"/>
    </row>
    <row r="5768" spans="9:15" x14ac:dyDescent="0.35">
      <c r="I5768" s="35"/>
      <c r="O5768" s="35"/>
    </row>
    <row r="5769" spans="9:15" x14ac:dyDescent="0.35">
      <c r="I5769" s="35"/>
      <c r="O5769" s="35"/>
    </row>
    <row r="5770" spans="9:15" x14ac:dyDescent="0.35">
      <c r="I5770" s="35"/>
      <c r="O5770" s="35"/>
    </row>
    <row r="5771" spans="9:15" x14ac:dyDescent="0.35">
      <c r="I5771" s="35"/>
      <c r="O5771" s="35"/>
    </row>
    <row r="5772" spans="9:15" x14ac:dyDescent="0.35">
      <c r="I5772" s="35"/>
      <c r="O5772" s="35"/>
    </row>
    <row r="5773" spans="9:15" x14ac:dyDescent="0.35">
      <c r="I5773" s="35"/>
      <c r="O5773" s="35"/>
    </row>
    <row r="5774" spans="9:15" x14ac:dyDescent="0.35">
      <c r="I5774" s="35"/>
      <c r="O5774" s="35"/>
    </row>
    <row r="5775" spans="9:15" x14ac:dyDescent="0.35">
      <c r="I5775" s="35"/>
      <c r="O5775" s="35"/>
    </row>
    <row r="5776" spans="9:15" x14ac:dyDescent="0.35">
      <c r="I5776" s="35"/>
      <c r="O5776" s="35"/>
    </row>
    <row r="5777" spans="9:15" x14ac:dyDescent="0.35">
      <c r="I5777" s="35"/>
      <c r="O5777" s="35"/>
    </row>
    <row r="5778" spans="9:15" x14ac:dyDescent="0.35">
      <c r="I5778" s="35"/>
      <c r="O5778" s="35"/>
    </row>
    <row r="5779" spans="9:15" x14ac:dyDescent="0.35">
      <c r="I5779" s="35"/>
      <c r="O5779" s="35"/>
    </row>
    <row r="5780" spans="9:15" x14ac:dyDescent="0.35">
      <c r="I5780" s="35"/>
      <c r="O5780" s="35"/>
    </row>
    <row r="5781" spans="9:15" x14ac:dyDescent="0.35">
      <c r="I5781" s="35"/>
      <c r="O5781" s="35"/>
    </row>
    <row r="5782" spans="9:15" x14ac:dyDescent="0.35">
      <c r="I5782" s="35"/>
      <c r="O5782" s="35"/>
    </row>
    <row r="5783" spans="9:15" x14ac:dyDescent="0.35">
      <c r="I5783" s="35"/>
      <c r="O5783" s="35"/>
    </row>
    <row r="5784" spans="9:15" x14ac:dyDescent="0.35">
      <c r="I5784" s="35"/>
      <c r="O5784" s="35"/>
    </row>
    <row r="5785" spans="9:15" x14ac:dyDescent="0.35">
      <c r="I5785" s="35"/>
      <c r="O5785" s="35"/>
    </row>
    <row r="5786" spans="9:15" x14ac:dyDescent="0.35">
      <c r="I5786" s="35"/>
      <c r="O5786" s="35"/>
    </row>
    <row r="5787" spans="9:15" x14ac:dyDescent="0.35">
      <c r="I5787" s="35"/>
      <c r="O5787" s="35"/>
    </row>
    <row r="5788" spans="9:15" x14ac:dyDescent="0.35">
      <c r="I5788" s="35"/>
      <c r="O5788" s="35"/>
    </row>
    <row r="5789" spans="9:15" x14ac:dyDescent="0.35">
      <c r="I5789" s="35"/>
      <c r="O5789" s="35"/>
    </row>
    <row r="5790" spans="9:15" x14ac:dyDescent="0.35">
      <c r="I5790" s="35"/>
      <c r="O5790" s="35"/>
    </row>
    <row r="5791" spans="9:15" x14ac:dyDescent="0.35">
      <c r="I5791" s="35"/>
      <c r="O5791" s="35"/>
    </row>
    <row r="5792" spans="9:15" x14ac:dyDescent="0.35">
      <c r="I5792" s="35"/>
      <c r="O5792" s="35"/>
    </row>
    <row r="5793" spans="9:15" x14ac:dyDescent="0.35">
      <c r="I5793" s="35"/>
      <c r="O5793" s="35"/>
    </row>
    <row r="5794" spans="9:15" x14ac:dyDescent="0.35">
      <c r="I5794" s="35"/>
      <c r="O5794" s="35"/>
    </row>
    <row r="5795" spans="9:15" x14ac:dyDescent="0.35">
      <c r="I5795" s="35"/>
      <c r="O5795" s="35"/>
    </row>
    <row r="5796" spans="9:15" x14ac:dyDescent="0.35">
      <c r="I5796" s="35"/>
      <c r="O5796" s="35"/>
    </row>
    <row r="5797" spans="9:15" x14ac:dyDescent="0.35">
      <c r="I5797" s="35"/>
      <c r="O5797" s="35"/>
    </row>
    <row r="5798" spans="9:15" x14ac:dyDescent="0.35">
      <c r="I5798" s="35"/>
      <c r="O5798" s="35"/>
    </row>
    <row r="5799" spans="9:15" x14ac:dyDescent="0.35">
      <c r="I5799" s="35"/>
      <c r="O5799" s="35"/>
    </row>
    <row r="5800" spans="9:15" x14ac:dyDescent="0.35">
      <c r="I5800" s="35"/>
      <c r="O5800" s="35"/>
    </row>
    <row r="5801" spans="9:15" x14ac:dyDescent="0.35">
      <c r="I5801" s="35"/>
      <c r="O5801" s="35"/>
    </row>
    <row r="5802" spans="9:15" x14ac:dyDescent="0.35">
      <c r="I5802" s="35"/>
      <c r="O5802" s="35"/>
    </row>
    <row r="5803" spans="9:15" x14ac:dyDescent="0.35">
      <c r="I5803" s="35"/>
      <c r="O5803" s="35"/>
    </row>
    <row r="5804" spans="9:15" x14ac:dyDescent="0.35">
      <c r="I5804" s="35"/>
      <c r="O5804" s="35"/>
    </row>
    <row r="5805" spans="9:15" x14ac:dyDescent="0.35">
      <c r="I5805" s="35"/>
      <c r="O5805" s="35"/>
    </row>
    <row r="5806" spans="9:15" x14ac:dyDescent="0.35">
      <c r="I5806" s="35"/>
      <c r="O5806" s="35"/>
    </row>
    <row r="5807" spans="9:15" x14ac:dyDescent="0.35">
      <c r="I5807" s="35"/>
      <c r="O5807" s="35"/>
    </row>
    <row r="5808" spans="9:15" x14ac:dyDescent="0.35">
      <c r="I5808" s="35"/>
      <c r="O5808" s="35"/>
    </row>
    <row r="5809" spans="9:15" x14ac:dyDescent="0.35">
      <c r="I5809" s="35"/>
      <c r="O5809" s="35"/>
    </row>
    <row r="5810" spans="9:15" x14ac:dyDescent="0.35">
      <c r="I5810" s="35"/>
      <c r="O5810" s="35"/>
    </row>
    <row r="5811" spans="9:15" x14ac:dyDescent="0.35">
      <c r="I5811" s="35"/>
      <c r="O5811" s="35"/>
    </row>
    <row r="5812" spans="9:15" x14ac:dyDescent="0.35">
      <c r="I5812" s="35"/>
      <c r="O5812" s="35"/>
    </row>
    <row r="5813" spans="9:15" x14ac:dyDescent="0.35">
      <c r="I5813" s="35"/>
      <c r="O5813" s="35"/>
    </row>
    <row r="5814" spans="9:15" x14ac:dyDescent="0.35">
      <c r="I5814" s="35"/>
      <c r="O5814" s="35"/>
    </row>
    <row r="5815" spans="9:15" x14ac:dyDescent="0.35">
      <c r="I5815" s="35"/>
      <c r="O5815" s="35"/>
    </row>
    <row r="5816" spans="9:15" x14ac:dyDescent="0.35">
      <c r="I5816" s="35"/>
      <c r="O5816" s="35"/>
    </row>
    <row r="5817" spans="9:15" x14ac:dyDescent="0.35">
      <c r="I5817" s="35"/>
      <c r="O5817" s="35"/>
    </row>
    <row r="5818" spans="9:15" x14ac:dyDescent="0.35">
      <c r="I5818" s="35"/>
      <c r="O5818" s="35"/>
    </row>
    <row r="5819" spans="9:15" x14ac:dyDescent="0.35">
      <c r="I5819" s="35"/>
      <c r="O5819" s="35"/>
    </row>
    <row r="5820" spans="9:15" x14ac:dyDescent="0.35">
      <c r="I5820" s="35"/>
      <c r="O5820" s="35"/>
    </row>
    <row r="5821" spans="9:15" x14ac:dyDescent="0.35">
      <c r="I5821" s="35"/>
      <c r="O5821" s="35"/>
    </row>
    <row r="5822" spans="9:15" x14ac:dyDescent="0.35">
      <c r="I5822" s="35"/>
      <c r="O5822" s="35"/>
    </row>
    <row r="5823" spans="9:15" x14ac:dyDescent="0.35">
      <c r="I5823" s="35"/>
      <c r="O5823" s="35"/>
    </row>
    <row r="5824" spans="9:15" x14ac:dyDescent="0.35">
      <c r="I5824" s="35"/>
      <c r="O5824" s="35"/>
    </row>
    <row r="5825" spans="9:15" x14ac:dyDescent="0.35">
      <c r="I5825" s="35"/>
      <c r="O5825" s="35"/>
    </row>
    <row r="5826" spans="9:15" x14ac:dyDescent="0.35">
      <c r="I5826" s="35"/>
      <c r="O5826" s="35"/>
    </row>
    <row r="5827" spans="9:15" x14ac:dyDescent="0.35">
      <c r="I5827" s="35"/>
      <c r="O5827" s="35"/>
    </row>
    <row r="5828" spans="9:15" x14ac:dyDescent="0.35">
      <c r="I5828" s="35"/>
      <c r="O5828" s="35"/>
    </row>
    <row r="5829" spans="9:15" x14ac:dyDescent="0.35">
      <c r="I5829" s="35"/>
      <c r="O5829" s="35"/>
    </row>
    <row r="5830" spans="9:15" x14ac:dyDescent="0.35">
      <c r="I5830" s="35"/>
      <c r="O5830" s="35"/>
    </row>
    <row r="5831" spans="9:15" x14ac:dyDescent="0.35">
      <c r="I5831" s="35"/>
      <c r="O5831" s="35"/>
    </row>
    <row r="5832" spans="9:15" x14ac:dyDescent="0.35">
      <c r="I5832" s="35"/>
      <c r="O5832" s="35"/>
    </row>
    <row r="5833" spans="9:15" x14ac:dyDescent="0.35">
      <c r="I5833" s="35"/>
      <c r="O5833" s="35"/>
    </row>
    <row r="5834" spans="9:15" x14ac:dyDescent="0.35">
      <c r="I5834" s="35"/>
      <c r="O5834" s="35"/>
    </row>
    <row r="5835" spans="9:15" x14ac:dyDescent="0.35">
      <c r="I5835" s="35"/>
      <c r="O5835" s="35"/>
    </row>
    <row r="5836" spans="9:15" x14ac:dyDescent="0.35">
      <c r="I5836" s="35"/>
      <c r="O5836" s="35"/>
    </row>
    <row r="5837" spans="9:15" x14ac:dyDescent="0.35">
      <c r="I5837" s="35"/>
      <c r="O5837" s="35"/>
    </row>
    <row r="5838" spans="9:15" x14ac:dyDescent="0.35">
      <c r="I5838" s="35"/>
      <c r="O5838" s="35"/>
    </row>
    <row r="5839" spans="9:15" x14ac:dyDescent="0.35">
      <c r="I5839" s="35"/>
      <c r="O5839" s="35"/>
    </row>
    <row r="5840" spans="9:15" x14ac:dyDescent="0.35">
      <c r="I5840" s="35"/>
      <c r="O5840" s="35"/>
    </row>
    <row r="5841" spans="9:15" x14ac:dyDescent="0.35">
      <c r="I5841" s="35"/>
      <c r="O5841" s="35"/>
    </row>
    <row r="5842" spans="9:15" x14ac:dyDescent="0.35">
      <c r="I5842" s="35"/>
      <c r="O5842" s="35"/>
    </row>
    <row r="5843" spans="9:15" x14ac:dyDescent="0.35">
      <c r="I5843" s="35"/>
      <c r="O5843" s="35"/>
    </row>
    <row r="5844" spans="9:15" x14ac:dyDescent="0.35">
      <c r="I5844" s="35"/>
      <c r="O5844" s="35"/>
    </row>
    <row r="5845" spans="9:15" x14ac:dyDescent="0.35">
      <c r="I5845" s="35"/>
      <c r="O5845" s="35"/>
    </row>
    <row r="5846" spans="9:15" x14ac:dyDescent="0.35">
      <c r="I5846" s="35"/>
      <c r="O5846" s="35"/>
    </row>
    <row r="5847" spans="9:15" x14ac:dyDescent="0.35">
      <c r="I5847" s="35"/>
      <c r="O5847" s="35"/>
    </row>
    <row r="5848" spans="9:15" x14ac:dyDescent="0.35">
      <c r="I5848" s="35"/>
      <c r="O5848" s="35"/>
    </row>
    <row r="5849" spans="9:15" x14ac:dyDescent="0.35">
      <c r="I5849" s="35"/>
      <c r="O5849" s="35"/>
    </row>
    <row r="5850" spans="9:15" x14ac:dyDescent="0.35">
      <c r="I5850" s="35"/>
      <c r="O5850" s="35"/>
    </row>
    <row r="5851" spans="9:15" x14ac:dyDescent="0.35">
      <c r="I5851" s="35"/>
      <c r="O5851" s="35"/>
    </row>
    <row r="5852" spans="9:15" x14ac:dyDescent="0.35">
      <c r="I5852" s="35"/>
      <c r="O5852" s="35"/>
    </row>
    <row r="5853" spans="9:15" x14ac:dyDescent="0.35">
      <c r="I5853" s="35"/>
      <c r="O5853" s="35"/>
    </row>
    <row r="5854" spans="9:15" x14ac:dyDescent="0.35">
      <c r="I5854" s="35"/>
      <c r="O5854" s="35"/>
    </row>
    <row r="5855" spans="9:15" x14ac:dyDescent="0.35">
      <c r="I5855" s="35"/>
      <c r="O5855" s="35"/>
    </row>
    <row r="5856" spans="9:15" x14ac:dyDescent="0.35">
      <c r="I5856" s="35"/>
      <c r="O5856" s="35"/>
    </row>
    <row r="5857" spans="9:15" x14ac:dyDescent="0.35">
      <c r="I5857" s="35"/>
      <c r="O5857" s="35"/>
    </row>
    <row r="5858" spans="9:15" x14ac:dyDescent="0.35">
      <c r="I5858" s="35"/>
      <c r="O5858" s="35"/>
    </row>
    <row r="5859" spans="9:15" x14ac:dyDescent="0.35">
      <c r="I5859" s="35"/>
      <c r="O5859" s="35"/>
    </row>
    <row r="5860" spans="9:15" x14ac:dyDescent="0.35">
      <c r="I5860" s="35"/>
      <c r="O5860" s="35"/>
    </row>
    <row r="5861" spans="9:15" x14ac:dyDescent="0.35">
      <c r="I5861" s="35"/>
      <c r="O5861" s="35"/>
    </row>
    <row r="5862" spans="9:15" x14ac:dyDescent="0.35">
      <c r="I5862" s="35"/>
      <c r="O5862" s="35"/>
    </row>
    <row r="5863" spans="9:15" x14ac:dyDescent="0.35">
      <c r="I5863" s="35"/>
      <c r="O5863" s="35"/>
    </row>
    <row r="5864" spans="9:15" x14ac:dyDescent="0.35">
      <c r="I5864" s="35"/>
      <c r="O5864" s="35"/>
    </row>
    <row r="5865" spans="9:15" x14ac:dyDescent="0.35">
      <c r="I5865" s="35"/>
      <c r="O5865" s="35"/>
    </row>
    <row r="5866" spans="9:15" x14ac:dyDescent="0.35">
      <c r="I5866" s="35"/>
      <c r="O5866" s="35"/>
    </row>
    <row r="5867" spans="9:15" x14ac:dyDescent="0.35">
      <c r="I5867" s="35"/>
      <c r="O5867" s="35"/>
    </row>
    <row r="5868" spans="9:15" x14ac:dyDescent="0.35">
      <c r="I5868" s="35"/>
      <c r="O5868" s="35"/>
    </row>
    <row r="5869" spans="9:15" x14ac:dyDescent="0.35">
      <c r="I5869" s="35"/>
      <c r="O5869" s="35"/>
    </row>
    <row r="5870" spans="9:15" x14ac:dyDescent="0.35">
      <c r="I5870" s="35"/>
      <c r="O5870" s="35"/>
    </row>
    <row r="5871" spans="9:15" x14ac:dyDescent="0.35">
      <c r="I5871" s="35"/>
      <c r="O5871" s="35"/>
    </row>
    <row r="5872" spans="9:15" x14ac:dyDescent="0.35">
      <c r="I5872" s="35"/>
      <c r="O5872" s="35"/>
    </row>
    <row r="5873" spans="9:15" x14ac:dyDescent="0.35">
      <c r="I5873" s="35"/>
      <c r="O5873" s="35"/>
    </row>
    <row r="5874" spans="9:15" x14ac:dyDescent="0.35">
      <c r="I5874" s="35"/>
      <c r="O5874" s="35"/>
    </row>
    <row r="5875" spans="9:15" x14ac:dyDescent="0.35">
      <c r="I5875" s="35"/>
      <c r="O5875" s="35"/>
    </row>
    <row r="5876" spans="9:15" x14ac:dyDescent="0.35">
      <c r="I5876" s="35"/>
      <c r="O5876" s="35"/>
    </row>
    <row r="5877" spans="9:15" x14ac:dyDescent="0.35">
      <c r="I5877" s="35"/>
      <c r="O5877" s="35"/>
    </row>
    <row r="5878" spans="9:15" x14ac:dyDescent="0.35">
      <c r="I5878" s="35"/>
      <c r="O5878" s="35"/>
    </row>
    <row r="5879" spans="9:15" x14ac:dyDescent="0.35">
      <c r="I5879" s="35"/>
      <c r="O5879" s="35"/>
    </row>
    <row r="5880" spans="9:15" x14ac:dyDescent="0.35">
      <c r="I5880" s="35"/>
      <c r="O5880" s="35"/>
    </row>
    <row r="5881" spans="9:15" x14ac:dyDescent="0.35">
      <c r="I5881" s="35"/>
      <c r="O5881" s="35"/>
    </row>
    <row r="5882" spans="9:15" x14ac:dyDescent="0.35">
      <c r="I5882" s="35"/>
      <c r="O5882" s="35"/>
    </row>
    <row r="5883" spans="9:15" x14ac:dyDescent="0.35">
      <c r="I5883" s="35"/>
      <c r="O5883" s="35"/>
    </row>
    <row r="5884" spans="9:15" x14ac:dyDescent="0.35">
      <c r="I5884" s="35"/>
      <c r="O5884" s="35"/>
    </row>
    <row r="5885" spans="9:15" x14ac:dyDescent="0.35">
      <c r="I5885" s="35"/>
      <c r="O5885" s="35"/>
    </row>
    <row r="5886" spans="9:15" x14ac:dyDescent="0.35">
      <c r="I5886" s="35"/>
      <c r="O5886" s="35"/>
    </row>
    <row r="5887" spans="9:15" x14ac:dyDescent="0.35">
      <c r="I5887" s="35"/>
      <c r="O5887" s="35"/>
    </row>
    <row r="5888" spans="9:15" x14ac:dyDescent="0.35">
      <c r="I5888" s="35"/>
      <c r="O5888" s="35"/>
    </row>
    <row r="5889" spans="9:15" x14ac:dyDescent="0.35">
      <c r="I5889" s="35"/>
      <c r="O5889" s="35"/>
    </row>
    <row r="5890" spans="9:15" x14ac:dyDescent="0.35">
      <c r="I5890" s="35"/>
      <c r="O5890" s="35"/>
    </row>
    <row r="5891" spans="9:15" x14ac:dyDescent="0.35">
      <c r="I5891" s="35"/>
      <c r="O5891" s="35"/>
    </row>
    <row r="5892" spans="9:15" x14ac:dyDescent="0.35">
      <c r="I5892" s="35"/>
      <c r="O5892" s="35"/>
    </row>
    <row r="5893" spans="9:15" x14ac:dyDescent="0.35">
      <c r="I5893" s="35"/>
      <c r="O5893" s="35"/>
    </row>
    <row r="5894" spans="9:15" x14ac:dyDescent="0.35">
      <c r="I5894" s="35"/>
      <c r="O5894" s="35"/>
    </row>
    <row r="5895" spans="9:15" x14ac:dyDescent="0.35">
      <c r="I5895" s="35"/>
      <c r="O5895" s="35"/>
    </row>
    <row r="5896" spans="9:15" x14ac:dyDescent="0.35">
      <c r="I5896" s="35"/>
      <c r="O5896" s="35"/>
    </row>
    <row r="5897" spans="9:15" x14ac:dyDescent="0.35">
      <c r="I5897" s="35"/>
      <c r="O5897" s="35"/>
    </row>
    <row r="5898" spans="9:15" x14ac:dyDescent="0.35">
      <c r="I5898" s="35"/>
      <c r="O5898" s="35"/>
    </row>
    <row r="5899" spans="9:15" x14ac:dyDescent="0.35">
      <c r="I5899" s="35"/>
      <c r="O5899" s="35"/>
    </row>
    <row r="5900" spans="9:15" x14ac:dyDescent="0.35">
      <c r="I5900" s="35"/>
      <c r="O5900" s="35"/>
    </row>
    <row r="5901" spans="9:15" x14ac:dyDescent="0.35">
      <c r="I5901" s="35"/>
      <c r="O5901" s="35"/>
    </row>
    <row r="5902" spans="9:15" x14ac:dyDescent="0.35">
      <c r="I5902" s="35"/>
      <c r="O5902" s="35"/>
    </row>
    <row r="5903" spans="9:15" x14ac:dyDescent="0.35">
      <c r="I5903" s="35"/>
      <c r="O5903" s="35"/>
    </row>
    <row r="5904" spans="9:15" x14ac:dyDescent="0.35">
      <c r="I5904" s="35"/>
      <c r="O5904" s="35"/>
    </row>
    <row r="5905" spans="9:15" x14ac:dyDescent="0.35">
      <c r="I5905" s="35"/>
      <c r="O5905" s="35"/>
    </row>
    <row r="5906" spans="9:15" x14ac:dyDescent="0.35">
      <c r="I5906" s="35"/>
      <c r="O5906" s="35"/>
    </row>
    <row r="5907" spans="9:15" x14ac:dyDescent="0.35">
      <c r="I5907" s="35"/>
      <c r="O5907" s="35"/>
    </row>
    <row r="5908" spans="9:15" x14ac:dyDescent="0.35">
      <c r="I5908" s="35"/>
      <c r="O5908" s="35"/>
    </row>
    <row r="5909" spans="9:15" x14ac:dyDescent="0.35">
      <c r="I5909" s="35"/>
      <c r="O5909" s="35"/>
    </row>
    <row r="5910" spans="9:15" x14ac:dyDescent="0.35">
      <c r="I5910" s="35"/>
      <c r="O5910" s="35"/>
    </row>
    <row r="5911" spans="9:15" x14ac:dyDescent="0.35">
      <c r="I5911" s="35"/>
      <c r="O5911" s="35"/>
    </row>
    <row r="5912" spans="9:15" x14ac:dyDescent="0.35">
      <c r="I5912" s="35"/>
      <c r="O5912" s="35"/>
    </row>
    <row r="5913" spans="9:15" x14ac:dyDescent="0.35">
      <c r="I5913" s="35"/>
      <c r="O5913" s="35"/>
    </row>
    <row r="5914" spans="9:15" x14ac:dyDescent="0.35">
      <c r="I5914" s="35"/>
      <c r="O5914" s="35"/>
    </row>
    <row r="5915" spans="9:15" x14ac:dyDescent="0.35">
      <c r="I5915" s="35"/>
      <c r="O5915" s="35"/>
    </row>
    <row r="5916" spans="9:15" x14ac:dyDescent="0.35">
      <c r="I5916" s="35"/>
      <c r="O5916" s="35"/>
    </row>
    <row r="5917" spans="9:15" x14ac:dyDescent="0.35">
      <c r="I5917" s="35"/>
      <c r="O5917" s="35"/>
    </row>
    <row r="5918" spans="9:15" x14ac:dyDescent="0.35">
      <c r="I5918" s="35"/>
      <c r="O5918" s="35"/>
    </row>
    <row r="5919" spans="9:15" x14ac:dyDescent="0.35">
      <c r="I5919" s="35"/>
      <c r="O5919" s="35"/>
    </row>
    <row r="5920" spans="9:15" x14ac:dyDescent="0.35">
      <c r="I5920" s="35"/>
      <c r="O5920" s="35"/>
    </row>
    <row r="5921" spans="9:15" x14ac:dyDescent="0.35">
      <c r="I5921" s="35"/>
      <c r="O5921" s="35"/>
    </row>
    <row r="5922" spans="9:15" x14ac:dyDescent="0.35">
      <c r="I5922" s="35"/>
      <c r="O5922" s="35"/>
    </row>
    <row r="5923" spans="9:15" x14ac:dyDescent="0.35">
      <c r="I5923" s="35"/>
      <c r="O5923" s="35"/>
    </row>
    <row r="5924" spans="9:15" x14ac:dyDescent="0.35">
      <c r="I5924" s="35"/>
      <c r="O5924" s="35"/>
    </row>
    <row r="5925" spans="9:15" x14ac:dyDescent="0.35">
      <c r="I5925" s="35"/>
      <c r="O5925" s="35"/>
    </row>
    <row r="5926" spans="9:15" x14ac:dyDescent="0.35">
      <c r="I5926" s="35"/>
      <c r="O5926" s="35"/>
    </row>
    <row r="5927" spans="9:15" x14ac:dyDescent="0.35">
      <c r="I5927" s="35"/>
      <c r="O5927" s="35"/>
    </row>
    <row r="5928" spans="9:15" x14ac:dyDescent="0.35">
      <c r="I5928" s="35"/>
      <c r="O5928" s="35"/>
    </row>
    <row r="5929" spans="9:15" x14ac:dyDescent="0.35">
      <c r="I5929" s="35"/>
      <c r="O5929" s="35"/>
    </row>
    <row r="5930" spans="9:15" x14ac:dyDescent="0.35">
      <c r="I5930" s="35"/>
      <c r="O5930" s="35"/>
    </row>
    <row r="5931" spans="9:15" x14ac:dyDescent="0.35">
      <c r="I5931" s="35"/>
      <c r="O5931" s="35"/>
    </row>
    <row r="5932" spans="9:15" x14ac:dyDescent="0.35">
      <c r="I5932" s="35"/>
      <c r="O5932" s="35"/>
    </row>
    <row r="5933" spans="9:15" x14ac:dyDescent="0.35">
      <c r="I5933" s="35"/>
      <c r="O5933" s="35"/>
    </row>
    <row r="5934" spans="9:15" x14ac:dyDescent="0.35">
      <c r="I5934" s="35"/>
      <c r="O5934" s="35"/>
    </row>
    <row r="5935" spans="9:15" x14ac:dyDescent="0.35">
      <c r="I5935" s="35"/>
      <c r="O5935" s="35"/>
    </row>
    <row r="5936" spans="9:15" x14ac:dyDescent="0.35">
      <c r="I5936" s="35"/>
      <c r="O5936" s="35"/>
    </row>
    <row r="5937" spans="9:15" x14ac:dyDescent="0.35">
      <c r="I5937" s="35"/>
      <c r="O5937" s="35"/>
    </row>
    <row r="5938" spans="9:15" x14ac:dyDescent="0.35">
      <c r="I5938" s="35"/>
      <c r="O5938" s="35"/>
    </row>
    <row r="5939" spans="9:15" x14ac:dyDescent="0.35">
      <c r="I5939" s="35"/>
      <c r="O5939" s="35"/>
    </row>
    <row r="5940" spans="9:15" x14ac:dyDescent="0.35">
      <c r="I5940" s="35"/>
      <c r="O5940" s="35"/>
    </row>
    <row r="5941" spans="9:15" x14ac:dyDescent="0.35">
      <c r="I5941" s="35"/>
      <c r="O5941" s="35"/>
    </row>
    <row r="5942" spans="9:15" x14ac:dyDescent="0.35">
      <c r="I5942" s="35"/>
      <c r="O5942" s="35"/>
    </row>
    <row r="5943" spans="9:15" x14ac:dyDescent="0.35">
      <c r="I5943" s="35"/>
      <c r="O5943" s="35"/>
    </row>
    <row r="5944" spans="9:15" x14ac:dyDescent="0.35">
      <c r="I5944" s="35"/>
      <c r="O5944" s="35"/>
    </row>
    <row r="5945" spans="9:15" x14ac:dyDescent="0.35">
      <c r="I5945" s="35"/>
      <c r="O5945" s="35"/>
    </row>
    <row r="5946" spans="9:15" x14ac:dyDescent="0.35">
      <c r="I5946" s="35"/>
      <c r="O5946" s="35"/>
    </row>
    <row r="5947" spans="9:15" x14ac:dyDescent="0.35">
      <c r="I5947" s="35"/>
      <c r="O5947" s="35"/>
    </row>
    <row r="5948" spans="9:15" x14ac:dyDescent="0.35">
      <c r="I5948" s="35"/>
      <c r="O5948" s="35"/>
    </row>
    <row r="5949" spans="9:15" x14ac:dyDescent="0.35">
      <c r="I5949" s="35"/>
      <c r="O5949" s="35"/>
    </row>
    <row r="5950" spans="9:15" x14ac:dyDescent="0.35">
      <c r="I5950" s="35"/>
      <c r="O5950" s="35"/>
    </row>
    <row r="5951" spans="9:15" x14ac:dyDescent="0.35">
      <c r="I5951" s="35"/>
      <c r="O5951" s="35"/>
    </row>
    <row r="5952" spans="9:15" x14ac:dyDescent="0.35">
      <c r="I5952" s="35"/>
      <c r="O5952" s="35"/>
    </row>
    <row r="5953" spans="9:15" x14ac:dyDescent="0.35">
      <c r="I5953" s="35"/>
      <c r="O5953" s="35"/>
    </row>
    <row r="5954" spans="9:15" x14ac:dyDescent="0.35">
      <c r="I5954" s="35"/>
      <c r="O5954" s="35"/>
    </row>
    <row r="5955" spans="9:15" x14ac:dyDescent="0.35">
      <c r="I5955" s="35"/>
      <c r="O5955" s="35"/>
    </row>
    <row r="5956" spans="9:15" x14ac:dyDescent="0.35">
      <c r="I5956" s="35"/>
      <c r="O5956" s="35"/>
    </row>
    <row r="5957" spans="9:15" x14ac:dyDescent="0.35">
      <c r="I5957" s="35"/>
      <c r="O5957" s="35"/>
    </row>
    <row r="5958" spans="9:15" x14ac:dyDescent="0.35">
      <c r="I5958" s="35"/>
      <c r="O5958" s="35"/>
    </row>
    <row r="5959" spans="9:15" x14ac:dyDescent="0.35">
      <c r="I5959" s="35"/>
      <c r="O5959" s="35"/>
    </row>
    <row r="5960" spans="9:15" x14ac:dyDescent="0.35">
      <c r="I5960" s="35"/>
      <c r="O5960" s="35"/>
    </row>
    <row r="5961" spans="9:15" x14ac:dyDescent="0.35">
      <c r="I5961" s="35"/>
      <c r="O5961" s="35"/>
    </row>
    <row r="5962" spans="9:15" x14ac:dyDescent="0.35">
      <c r="I5962" s="35"/>
      <c r="O5962" s="35"/>
    </row>
    <row r="5963" spans="9:15" x14ac:dyDescent="0.35">
      <c r="I5963" s="35"/>
      <c r="O5963" s="35"/>
    </row>
    <row r="5964" spans="9:15" x14ac:dyDescent="0.35">
      <c r="I5964" s="35"/>
      <c r="O5964" s="35"/>
    </row>
    <row r="5965" spans="9:15" x14ac:dyDescent="0.35">
      <c r="I5965" s="35"/>
      <c r="O5965" s="35"/>
    </row>
    <row r="5966" spans="9:15" x14ac:dyDescent="0.35">
      <c r="I5966" s="35"/>
      <c r="O5966" s="35"/>
    </row>
    <row r="5967" spans="9:15" x14ac:dyDescent="0.35">
      <c r="I5967" s="35"/>
      <c r="O5967" s="35"/>
    </row>
    <row r="5968" spans="9:15" x14ac:dyDescent="0.35">
      <c r="I5968" s="35"/>
      <c r="O5968" s="35"/>
    </row>
    <row r="5969" spans="9:15" x14ac:dyDescent="0.35">
      <c r="I5969" s="35"/>
      <c r="O5969" s="35"/>
    </row>
    <row r="5970" spans="9:15" x14ac:dyDescent="0.35">
      <c r="I5970" s="35"/>
      <c r="O5970" s="35"/>
    </row>
    <row r="5971" spans="9:15" x14ac:dyDescent="0.35">
      <c r="I5971" s="35"/>
      <c r="O5971" s="35"/>
    </row>
    <row r="5972" spans="9:15" x14ac:dyDescent="0.35">
      <c r="I5972" s="35"/>
      <c r="O5972" s="35"/>
    </row>
    <row r="5973" spans="9:15" x14ac:dyDescent="0.35">
      <c r="I5973" s="35"/>
      <c r="O5973" s="35"/>
    </row>
    <row r="5974" spans="9:15" x14ac:dyDescent="0.35">
      <c r="I5974" s="35"/>
      <c r="O5974" s="35"/>
    </row>
    <row r="5975" spans="9:15" x14ac:dyDescent="0.35">
      <c r="I5975" s="35"/>
      <c r="O5975" s="35"/>
    </row>
    <row r="5976" spans="9:15" x14ac:dyDescent="0.35">
      <c r="I5976" s="35"/>
      <c r="O5976" s="35"/>
    </row>
    <row r="5977" spans="9:15" x14ac:dyDescent="0.35">
      <c r="I5977" s="35"/>
      <c r="O5977" s="35"/>
    </row>
    <row r="5978" spans="9:15" x14ac:dyDescent="0.35">
      <c r="I5978" s="35"/>
      <c r="O5978" s="35"/>
    </row>
    <row r="5979" spans="9:15" x14ac:dyDescent="0.35">
      <c r="I5979" s="35"/>
      <c r="O5979" s="35"/>
    </row>
    <row r="5980" spans="9:15" x14ac:dyDescent="0.35">
      <c r="I5980" s="35"/>
      <c r="O5980" s="35"/>
    </row>
    <row r="5981" spans="9:15" x14ac:dyDescent="0.35">
      <c r="I5981" s="35"/>
      <c r="O5981" s="35"/>
    </row>
    <row r="5982" spans="9:15" x14ac:dyDescent="0.35">
      <c r="I5982" s="35"/>
      <c r="O5982" s="35"/>
    </row>
    <row r="5983" spans="9:15" x14ac:dyDescent="0.35">
      <c r="I5983" s="35"/>
      <c r="O5983" s="35"/>
    </row>
    <row r="5984" spans="9:15" x14ac:dyDescent="0.35">
      <c r="I5984" s="35"/>
      <c r="O5984" s="35"/>
    </row>
    <row r="5985" spans="9:15" x14ac:dyDescent="0.35">
      <c r="I5985" s="35"/>
      <c r="O5985" s="35"/>
    </row>
    <row r="5986" spans="9:15" x14ac:dyDescent="0.35">
      <c r="I5986" s="35"/>
      <c r="O5986" s="35"/>
    </row>
    <row r="5987" spans="9:15" x14ac:dyDescent="0.35">
      <c r="I5987" s="35"/>
      <c r="O5987" s="35"/>
    </row>
    <row r="5988" spans="9:15" x14ac:dyDescent="0.35">
      <c r="I5988" s="35"/>
      <c r="O5988" s="35"/>
    </row>
    <row r="5989" spans="9:15" x14ac:dyDescent="0.35">
      <c r="I5989" s="35"/>
      <c r="O5989" s="35"/>
    </row>
    <row r="5990" spans="9:15" x14ac:dyDescent="0.35">
      <c r="I5990" s="35"/>
      <c r="O5990" s="35"/>
    </row>
    <row r="5991" spans="9:15" x14ac:dyDescent="0.35">
      <c r="I5991" s="35"/>
      <c r="O5991" s="35"/>
    </row>
    <row r="5992" spans="9:15" x14ac:dyDescent="0.35">
      <c r="I5992" s="35"/>
      <c r="O5992" s="35"/>
    </row>
    <row r="5993" spans="9:15" x14ac:dyDescent="0.35">
      <c r="I5993" s="35"/>
      <c r="O5993" s="35"/>
    </row>
    <row r="5994" spans="9:15" x14ac:dyDescent="0.35">
      <c r="I5994" s="35"/>
      <c r="O5994" s="35"/>
    </row>
    <row r="5995" spans="9:15" x14ac:dyDescent="0.35">
      <c r="I5995" s="35"/>
      <c r="O5995" s="35"/>
    </row>
    <row r="5996" spans="9:15" x14ac:dyDescent="0.35">
      <c r="I5996" s="35"/>
      <c r="O5996" s="35"/>
    </row>
    <row r="5997" spans="9:15" x14ac:dyDescent="0.35">
      <c r="I5997" s="35"/>
      <c r="O5997" s="35"/>
    </row>
    <row r="5998" spans="9:15" x14ac:dyDescent="0.35">
      <c r="I5998" s="35"/>
      <c r="O5998" s="35"/>
    </row>
    <row r="5999" spans="9:15" x14ac:dyDescent="0.35">
      <c r="I5999" s="35"/>
      <c r="O5999" s="35"/>
    </row>
    <row r="6000" spans="9:15" x14ac:dyDescent="0.35">
      <c r="I6000" s="35"/>
      <c r="O6000" s="35"/>
    </row>
    <row r="6001" spans="9:15" x14ac:dyDescent="0.35">
      <c r="I6001" s="35"/>
      <c r="O6001" s="35"/>
    </row>
    <row r="6002" spans="9:15" x14ac:dyDescent="0.35">
      <c r="I6002" s="35"/>
      <c r="O6002" s="35"/>
    </row>
    <row r="6003" spans="9:15" x14ac:dyDescent="0.35">
      <c r="I6003" s="35"/>
      <c r="O6003" s="35"/>
    </row>
    <row r="6004" spans="9:15" x14ac:dyDescent="0.35">
      <c r="I6004" s="35"/>
      <c r="O6004" s="35"/>
    </row>
    <row r="6005" spans="9:15" x14ac:dyDescent="0.35">
      <c r="I6005" s="35"/>
      <c r="O6005" s="35"/>
    </row>
    <row r="6006" spans="9:15" x14ac:dyDescent="0.35">
      <c r="I6006" s="35"/>
      <c r="O6006" s="35"/>
    </row>
    <row r="6007" spans="9:15" x14ac:dyDescent="0.35">
      <c r="I6007" s="35"/>
      <c r="O6007" s="35"/>
    </row>
    <row r="6008" spans="9:15" x14ac:dyDescent="0.35">
      <c r="I6008" s="35"/>
      <c r="O6008" s="35"/>
    </row>
    <row r="6009" spans="9:15" x14ac:dyDescent="0.35">
      <c r="I6009" s="35"/>
      <c r="O6009" s="35"/>
    </row>
    <row r="6010" spans="9:15" x14ac:dyDescent="0.35">
      <c r="I6010" s="35"/>
      <c r="O6010" s="35"/>
    </row>
    <row r="6011" spans="9:15" x14ac:dyDescent="0.35">
      <c r="I6011" s="35"/>
      <c r="O6011" s="35"/>
    </row>
    <row r="6012" spans="9:15" x14ac:dyDescent="0.35">
      <c r="I6012" s="35"/>
      <c r="O6012" s="35"/>
    </row>
    <row r="6013" spans="9:15" x14ac:dyDescent="0.35">
      <c r="I6013" s="35"/>
      <c r="O6013" s="35"/>
    </row>
    <row r="6014" spans="9:15" x14ac:dyDescent="0.35">
      <c r="I6014" s="35"/>
      <c r="O6014" s="35"/>
    </row>
    <row r="6015" spans="9:15" x14ac:dyDescent="0.35">
      <c r="I6015" s="35"/>
      <c r="O6015" s="35"/>
    </row>
    <row r="6016" spans="9:15" x14ac:dyDescent="0.35">
      <c r="I6016" s="35"/>
      <c r="O6016" s="35"/>
    </row>
    <row r="6017" spans="9:15" x14ac:dyDescent="0.35">
      <c r="I6017" s="35"/>
      <c r="O6017" s="35"/>
    </row>
    <row r="6018" spans="9:15" x14ac:dyDescent="0.35">
      <c r="I6018" s="35"/>
      <c r="O6018" s="35"/>
    </row>
    <row r="6019" spans="9:15" x14ac:dyDescent="0.35">
      <c r="I6019" s="35"/>
      <c r="O6019" s="35"/>
    </row>
    <row r="6020" spans="9:15" x14ac:dyDescent="0.35">
      <c r="I6020" s="35"/>
      <c r="O6020" s="35"/>
    </row>
    <row r="6021" spans="9:15" x14ac:dyDescent="0.35">
      <c r="I6021" s="35"/>
      <c r="O6021" s="35"/>
    </row>
    <row r="6022" spans="9:15" x14ac:dyDescent="0.35">
      <c r="I6022" s="35"/>
      <c r="O6022" s="35"/>
    </row>
    <row r="6023" spans="9:15" x14ac:dyDescent="0.35">
      <c r="I6023" s="35"/>
      <c r="O6023" s="35"/>
    </row>
    <row r="6024" spans="9:15" x14ac:dyDescent="0.35">
      <c r="I6024" s="35"/>
      <c r="O6024" s="35"/>
    </row>
    <row r="6025" spans="9:15" x14ac:dyDescent="0.35">
      <c r="I6025" s="35"/>
      <c r="O6025" s="35"/>
    </row>
    <row r="6026" spans="9:15" x14ac:dyDescent="0.35">
      <c r="I6026" s="35"/>
      <c r="O6026" s="35"/>
    </row>
    <row r="6027" spans="9:15" x14ac:dyDescent="0.35">
      <c r="I6027" s="35"/>
      <c r="O6027" s="35"/>
    </row>
    <row r="6028" spans="9:15" x14ac:dyDescent="0.35">
      <c r="I6028" s="35"/>
      <c r="O6028" s="35"/>
    </row>
    <row r="6029" spans="9:15" x14ac:dyDescent="0.35">
      <c r="I6029" s="35"/>
      <c r="O6029" s="35"/>
    </row>
    <row r="6030" spans="9:15" x14ac:dyDescent="0.35">
      <c r="I6030" s="35"/>
      <c r="O6030" s="35"/>
    </row>
    <row r="6031" spans="9:15" x14ac:dyDescent="0.35">
      <c r="I6031" s="35"/>
      <c r="O6031" s="35"/>
    </row>
    <row r="6032" spans="9:15" x14ac:dyDescent="0.35">
      <c r="I6032" s="35"/>
      <c r="O6032" s="35"/>
    </row>
    <row r="6033" spans="9:15" x14ac:dyDescent="0.35">
      <c r="I6033" s="35"/>
      <c r="O6033" s="35"/>
    </row>
    <row r="6034" spans="9:15" x14ac:dyDescent="0.35">
      <c r="I6034" s="35"/>
      <c r="O6034" s="35"/>
    </row>
    <row r="6035" spans="9:15" x14ac:dyDescent="0.35">
      <c r="I6035" s="35"/>
      <c r="O6035" s="35"/>
    </row>
    <row r="6036" spans="9:15" x14ac:dyDescent="0.35">
      <c r="I6036" s="35"/>
      <c r="O6036" s="35"/>
    </row>
    <row r="6037" spans="9:15" x14ac:dyDescent="0.35">
      <c r="I6037" s="35"/>
      <c r="O6037" s="35"/>
    </row>
    <row r="6038" spans="9:15" x14ac:dyDescent="0.35">
      <c r="I6038" s="35"/>
      <c r="O6038" s="35"/>
    </row>
    <row r="6039" spans="9:15" x14ac:dyDescent="0.35">
      <c r="I6039" s="35"/>
      <c r="O6039" s="35"/>
    </row>
    <row r="6040" spans="9:15" x14ac:dyDescent="0.35">
      <c r="I6040" s="35"/>
      <c r="O6040" s="35"/>
    </row>
    <row r="6041" spans="9:15" x14ac:dyDescent="0.35">
      <c r="I6041" s="35"/>
      <c r="O6041" s="35"/>
    </row>
    <row r="6042" spans="9:15" x14ac:dyDescent="0.35">
      <c r="I6042" s="35"/>
      <c r="O6042" s="35"/>
    </row>
    <row r="6043" spans="9:15" x14ac:dyDescent="0.35">
      <c r="I6043" s="35"/>
      <c r="O6043" s="35"/>
    </row>
    <row r="6044" spans="9:15" x14ac:dyDescent="0.35">
      <c r="I6044" s="35"/>
      <c r="O6044" s="35"/>
    </row>
    <row r="6045" spans="9:15" x14ac:dyDescent="0.35">
      <c r="I6045" s="35"/>
      <c r="O6045" s="35"/>
    </row>
    <row r="6046" spans="9:15" x14ac:dyDescent="0.35">
      <c r="I6046" s="35"/>
      <c r="O6046" s="35"/>
    </row>
    <row r="6047" spans="9:15" x14ac:dyDescent="0.35">
      <c r="I6047" s="35"/>
      <c r="O6047" s="35"/>
    </row>
    <row r="6048" spans="9:15" x14ac:dyDescent="0.35">
      <c r="I6048" s="35"/>
      <c r="O6048" s="35"/>
    </row>
    <row r="6049" spans="9:15" x14ac:dyDescent="0.35">
      <c r="I6049" s="35"/>
      <c r="O6049" s="35"/>
    </row>
    <row r="6050" spans="9:15" x14ac:dyDescent="0.35">
      <c r="I6050" s="35"/>
      <c r="O6050" s="35"/>
    </row>
    <row r="6051" spans="9:15" x14ac:dyDescent="0.35">
      <c r="I6051" s="35"/>
      <c r="O6051" s="35"/>
    </row>
    <row r="6052" spans="9:15" x14ac:dyDescent="0.35">
      <c r="I6052" s="35"/>
      <c r="O6052" s="35"/>
    </row>
    <row r="6053" spans="9:15" x14ac:dyDescent="0.35">
      <c r="I6053" s="35"/>
      <c r="O6053" s="35"/>
    </row>
    <row r="6054" spans="9:15" x14ac:dyDescent="0.35">
      <c r="I6054" s="35"/>
      <c r="O6054" s="35"/>
    </row>
    <row r="6055" spans="9:15" x14ac:dyDescent="0.35">
      <c r="I6055" s="35"/>
      <c r="O6055" s="35"/>
    </row>
    <row r="6056" spans="9:15" x14ac:dyDescent="0.35">
      <c r="I6056" s="35"/>
      <c r="O6056" s="35"/>
    </row>
    <row r="6057" spans="9:15" x14ac:dyDescent="0.35">
      <c r="I6057" s="35"/>
      <c r="O6057" s="35"/>
    </row>
    <row r="6058" spans="9:15" x14ac:dyDescent="0.35">
      <c r="I6058" s="35"/>
      <c r="O6058" s="35"/>
    </row>
    <row r="6059" spans="9:15" x14ac:dyDescent="0.35">
      <c r="I6059" s="35"/>
      <c r="O6059" s="35"/>
    </row>
    <row r="6060" spans="9:15" x14ac:dyDescent="0.35">
      <c r="I6060" s="35"/>
      <c r="O6060" s="35"/>
    </row>
    <row r="6061" spans="9:15" x14ac:dyDescent="0.35">
      <c r="I6061" s="35"/>
      <c r="O6061" s="35"/>
    </row>
    <row r="6062" spans="9:15" x14ac:dyDescent="0.35">
      <c r="I6062" s="35"/>
      <c r="O6062" s="35"/>
    </row>
    <row r="6063" spans="9:15" x14ac:dyDescent="0.35">
      <c r="I6063" s="35"/>
      <c r="O6063" s="35"/>
    </row>
    <row r="6064" spans="9:15" x14ac:dyDescent="0.35">
      <c r="I6064" s="35"/>
      <c r="O6064" s="35"/>
    </row>
    <row r="6065" spans="9:15" x14ac:dyDescent="0.35">
      <c r="I6065" s="35"/>
      <c r="O6065" s="35"/>
    </row>
    <row r="6066" spans="9:15" x14ac:dyDescent="0.35">
      <c r="I6066" s="35"/>
      <c r="O6066" s="35"/>
    </row>
    <row r="6067" spans="9:15" x14ac:dyDescent="0.35">
      <c r="I6067" s="35"/>
      <c r="O6067" s="35"/>
    </row>
    <row r="6068" spans="9:15" x14ac:dyDescent="0.35">
      <c r="I6068" s="35"/>
      <c r="O6068" s="35"/>
    </row>
    <row r="6069" spans="9:15" x14ac:dyDescent="0.35">
      <c r="I6069" s="35"/>
      <c r="O6069" s="35"/>
    </row>
    <row r="6070" spans="9:15" x14ac:dyDescent="0.35">
      <c r="I6070" s="35"/>
      <c r="O6070" s="35"/>
    </row>
    <row r="6071" spans="9:15" x14ac:dyDescent="0.35">
      <c r="I6071" s="35"/>
      <c r="O6071" s="35"/>
    </row>
    <row r="6072" spans="9:15" x14ac:dyDescent="0.35">
      <c r="I6072" s="35"/>
      <c r="O6072" s="35"/>
    </row>
    <row r="6073" spans="9:15" x14ac:dyDescent="0.35">
      <c r="I6073" s="35"/>
      <c r="O6073" s="35"/>
    </row>
    <row r="6074" spans="9:15" x14ac:dyDescent="0.35">
      <c r="I6074" s="35"/>
      <c r="O6074" s="35"/>
    </row>
    <row r="6075" spans="9:15" x14ac:dyDescent="0.35">
      <c r="I6075" s="35"/>
      <c r="O6075" s="35"/>
    </row>
    <row r="6076" spans="9:15" x14ac:dyDescent="0.35">
      <c r="I6076" s="35"/>
      <c r="O6076" s="35"/>
    </row>
    <row r="6077" spans="9:15" x14ac:dyDescent="0.35">
      <c r="I6077" s="35"/>
      <c r="O6077" s="35"/>
    </row>
    <row r="6078" spans="9:15" x14ac:dyDescent="0.35">
      <c r="I6078" s="35"/>
      <c r="O6078" s="35"/>
    </row>
    <row r="6079" spans="9:15" x14ac:dyDescent="0.35">
      <c r="I6079" s="35"/>
      <c r="O6079" s="35"/>
    </row>
    <row r="6080" spans="9:15" x14ac:dyDescent="0.35">
      <c r="I6080" s="35"/>
      <c r="O6080" s="35"/>
    </row>
    <row r="6081" spans="9:15" x14ac:dyDescent="0.35">
      <c r="I6081" s="35"/>
      <c r="O6081" s="35"/>
    </row>
    <row r="6082" spans="9:15" x14ac:dyDescent="0.35">
      <c r="I6082" s="35"/>
      <c r="O6082" s="35"/>
    </row>
    <row r="6083" spans="9:15" x14ac:dyDescent="0.35">
      <c r="I6083" s="35"/>
      <c r="O6083" s="35"/>
    </row>
    <row r="6084" spans="9:15" x14ac:dyDescent="0.35">
      <c r="I6084" s="35"/>
      <c r="O6084" s="35"/>
    </row>
    <row r="6085" spans="9:15" x14ac:dyDescent="0.35">
      <c r="I6085" s="35"/>
      <c r="O6085" s="35"/>
    </row>
    <row r="6086" spans="9:15" x14ac:dyDescent="0.35">
      <c r="I6086" s="35"/>
      <c r="O6086" s="35"/>
    </row>
    <row r="6087" spans="9:15" x14ac:dyDescent="0.35">
      <c r="I6087" s="35"/>
      <c r="O6087" s="35"/>
    </row>
    <row r="6088" spans="9:15" x14ac:dyDescent="0.35">
      <c r="I6088" s="35"/>
      <c r="O6088" s="35"/>
    </row>
    <row r="6089" spans="9:15" x14ac:dyDescent="0.35">
      <c r="I6089" s="35"/>
      <c r="O6089" s="35"/>
    </row>
    <row r="6090" spans="9:15" x14ac:dyDescent="0.35">
      <c r="I6090" s="35"/>
      <c r="O6090" s="35"/>
    </row>
    <row r="6091" spans="9:15" x14ac:dyDescent="0.35">
      <c r="I6091" s="35"/>
      <c r="O6091" s="35"/>
    </row>
    <row r="6092" spans="9:15" x14ac:dyDescent="0.35">
      <c r="I6092" s="35"/>
      <c r="O6092" s="35"/>
    </row>
    <row r="6093" spans="9:15" x14ac:dyDescent="0.35">
      <c r="I6093" s="35"/>
      <c r="O6093" s="35"/>
    </row>
    <row r="6094" spans="9:15" x14ac:dyDescent="0.35">
      <c r="I6094" s="35"/>
      <c r="O6094" s="35"/>
    </row>
    <row r="6095" spans="9:15" x14ac:dyDescent="0.35">
      <c r="I6095" s="35"/>
      <c r="O6095" s="35"/>
    </row>
    <row r="6096" spans="9:15" x14ac:dyDescent="0.35">
      <c r="I6096" s="35"/>
      <c r="O6096" s="35"/>
    </row>
    <row r="6097" spans="9:15" x14ac:dyDescent="0.35">
      <c r="I6097" s="35"/>
      <c r="O6097" s="35"/>
    </row>
    <row r="6098" spans="9:15" x14ac:dyDescent="0.35">
      <c r="I6098" s="35"/>
      <c r="O6098" s="35"/>
    </row>
    <row r="6099" spans="9:15" x14ac:dyDescent="0.35">
      <c r="I6099" s="35"/>
      <c r="O6099" s="35"/>
    </row>
    <row r="6100" spans="9:15" x14ac:dyDescent="0.35">
      <c r="I6100" s="35"/>
      <c r="O6100" s="35"/>
    </row>
    <row r="6101" spans="9:15" x14ac:dyDescent="0.35">
      <c r="I6101" s="35"/>
      <c r="O6101" s="35"/>
    </row>
    <row r="6102" spans="9:15" x14ac:dyDescent="0.35">
      <c r="I6102" s="35"/>
      <c r="O6102" s="35"/>
    </row>
    <row r="6103" spans="9:15" x14ac:dyDescent="0.35">
      <c r="I6103" s="35"/>
      <c r="O6103" s="35"/>
    </row>
    <row r="6104" spans="9:15" x14ac:dyDescent="0.35">
      <c r="I6104" s="35"/>
      <c r="O6104" s="35"/>
    </row>
    <row r="6105" spans="9:15" x14ac:dyDescent="0.35">
      <c r="I6105" s="35"/>
      <c r="O6105" s="35"/>
    </row>
    <row r="6106" spans="9:15" x14ac:dyDescent="0.35">
      <c r="I6106" s="35"/>
      <c r="O6106" s="35"/>
    </row>
    <row r="6107" spans="9:15" x14ac:dyDescent="0.35">
      <c r="I6107" s="35"/>
      <c r="O6107" s="35"/>
    </row>
    <row r="6108" spans="9:15" x14ac:dyDescent="0.35">
      <c r="I6108" s="35"/>
      <c r="O6108" s="35"/>
    </row>
    <row r="6109" spans="9:15" x14ac:dyDescent="0.35">
      <c r="I6109" s="35"/>
      <c r="O6109" s="35"/>
    </row>
    <row r="6110" spans="9:15" x14ac:dyDescent="0.35">
      <c r="I6110" s="35"/>
      <c r="O6110" s="35"/>
    </row>
    <row r="6111" spans="9:15" x14ac:dyDescent="0.35">
      <c r="I6111" s="35"/>
      <c r="O6111" s="35"/>
    </row>
    <row r="6112" spans="9:15" x14ac:dyDescent="0.35">
      <c r="I6112" s="35"/>
      <c r="O6112" s="35"/>
    </row>
    <row r="6113" spans="9:15" x14ac:dyDescent="0.35">
      <c r="I6113" s="35"/>
      <c r="O6113" s="35"/>
    </row>
    <row r="6114" spans="9:15" x14ac:dyDescent="0.35">
      <c r="I6114" s="35"/>
      <c r="O6114" s="35"/>
    </row>
    <row r="6115" spans="9:15" x14ac:dyDescent="0.35">
      <c r="I6115" s="35"/>
      <c r="O6115" s="35"/>
    </row>
    <row r="6116" spans="9:15" x14ac:dyDescent="0.35">
      <c r="I6116" s="35"/>
      <c r="O6116" s="35"/>
    </row>
    <row r="6117" spans="9:15" x14ac:dyDescent="0.35">
      <c r="I6117" s="35"/>
      <c r="O6117" s="35"/>
    </row>
    <row r="6118" spans="9:15" x14ac:dyDescent="0.35">
      <c r="I6118" s="35"/>
      <c r="O6118" s="35"/>
    </row>
    <row r="6119" spans="9:15" x14ac:dyDescent="0.35">
      <c r="I6119" s="35"/>
      <c r="O6119" s="35"/>
    </row>
    <row r="6120" spans="9:15" x14ac:dyDescent="0.35">
      <c r="I6120" s="35"/>
      <c r="O6120" s="35"/>
    </row>
    <row r="6121" spans="9:15" x14ac:dyDescent="0.35">
      <c r="I6121" s="35"/>
      <c r="O6121" s="35"/>
    </row>
    <row r="6122" spans="9:15" x14ac:dyDescent="0.35">
      <c r="I6122" s="35"/>
      <c r="O6122" s="35"/>
    </row>
    <row r="6123" spans="9:15" x14ac:dyDescent="0.35">
      <c r="I6123" s="35"/>
      <c r="O6123" s="35"/>
    </row>
    <row r="6124" spans="9:15" x14ac:dyDescent="0.35">
      <c r="I6124" s="35"/>
      <c r="O6124" s="35"/>
    </row>
    <row r="6125" spans="9:15" x14ac:dyDescent="0.35">
      <c r="I6125" s="35"/>
      <c r="O6125" s="35"/>
    </row>
    <row r="6126" spans="9:15" x14ac:dyDescent="0.35">
      <c r="I6126" s="35"/>
      <c r="O6126" s="35"/>
    </row>
    <row r="6127" spans="9:15" x14ac:dyDescent="0.35">
      <c r="I6127" s="35"/>
      <c r="O6127" s="35"/>
    </row>
    <row r="6128" spans="9:15" x14ac:dyDescent="0.35">
      <c r="I6128" s="35"/>
      <c r="O6128" s="35"/>
    </row>
    <row r="6129" spans="9:15" x14ac:dyDescent="0.35">
      <c r="I6129" s="35"/>
      <c r="O6129" s="35"/>
    </row>
    <row r="6130" spans="9:15" x14ac:dyDescent="0.35">
      <c r="I6130" s="35"/>
      <c r="O6130" s="35"/>
    </row>
    <row r="6131" spans="9:15" x14ac:dyDescent="0.35">
      <c r="I6131" s="35"/>
      <c r="O6131" s="35"/>
    </row>
    <row r="6132" spans="9:15" x14ac:dyDescent="0.35">
      <c r="I6132" s="35"/>
      <c r="O6132" s="35"/>
    </row>
    <row r="6133" spans="9:15" x14ac:dyDescent="0.35">
      <c r="I6133" s="35"/>
      <c r="O6133" s="35"/>
    </row>
    <row r="6134" spans="9:15" x14ac:dyDescent="0.35">
      <c r="I6134" s="35"/>
      <c r="O6134" s="35"/>
    </row>
    <row r="6135" spans="9:15" x14ac:dyDescent="0.35">
      <c r="I6135" s="35"/>
      <c r="O6135" s="35"/>
    </row>
    <row r="6136" spans="9:15" x14ac:dyDescent="0.35">
      <c r="I6136" s="35"/>
      <c r="O6136" s="35"/>
    </row>
    <row r="6137" spans="9:15" x14ac:dyDescent="0.35">
      <c r="I6137" s="35"/>
      <c r="O6137" s="35"/>
    </row>
    <row r="6138" spans="9:15" x14ac:dyDescent="0.35">
      <c r="I6138" s="35"/>
      <c r="O6138" s="35"/>
    </row>
    <row r="6139" spans="9:15" x14ac:dyDescent="0.35">
      <c r="I6139" s="35"/>
      <c r="O6139" s="35"/>
    </row>
    <row r="6140" spans="9:15" x14ac:dyDescent="0.35">
      <c r="I6140" s="35"/>
      <c r="O6140" s="35"/>
    </row>
    <row r="6141" spans="9:15" x14ac:dyDescent="0.35">
      <c r="I6141" s="35"/>
      <c r="O6141" s="35"/>
    </row>
    <row r="6142" spans="9:15" x14ac:dyDescent="0.35">
      <c r="I6142" s="35"/>
      <c r="O6142" s="35"/>
    </row>
    <row r="6143" spans="9:15" x14ac:dyDescent="0.35">
      <c r="I6143" s="35"/>
      <c r="O6143" s="35"/>
    </row>
    <row r="6144" spans="9:15" x14ac:dyDescent="0.35">
      <c r="I6144" s="35"/>
      <c r="O6144" s="35"/>
    </row>
    <row r="6145" spans="9:15" x14ac:dyDescent="0.35">
      <c r="I6145" s="35"/>
      <c r="O6145" s="35"/>
    </row>
    <row r="6146" spans="9:15" x14ac:dyDescent="0.35">
      <c r="I6146" s="35"/>
      <c r="O6146" s="35"/>
    </row>
    <row r="6147" spans="9:15" x14ac:dyDescent="0.35">
      <c r="I6147" s="35"/>
      <c r="O6147" s="35"/>
    </row>
    <row r="6148" spans="9:15" x14ac:dyDescent="0.35">
      <c r="I6148" s="35"/>
      <c r="O6148" s="35"/>
    </row>
    <row r="6149" spans="9:15" x14ac:dyDescent="0.35">
      <c r="I6149" s="35"/>
      <c r="O6149" s="35"/>
    </row>
    <row r="6150" spans="9:15" x14ac:dyDescent="0.35">
      <c r="I6150" s="35"/>
      <c r="O6150" s="35"/>
    </row>
    <row r="6151" spans="9:15" x14ac:dyDescent="0.35">
      <c r="I6151" s="35"/>
      <c r="O6151" s="35"/>
    </row>
    <row r="6152" spans="9:15" x14ac:dyDescent="0.35">
      <c r="I6152" s="35"/>
      <c r="O6152" s="35"/>
    </row>
    <row r="6153" spans="9:15" x14ac:dyDescent="0.35">
      <c r="I6153" s="35"/>
      <c r="O6153" s="35"/>
    </row>
    <row r="6154" spans="9:15" x14ac:dyDescent="0.35">
      <c r="I6154" s="35"/>
      <c r="O6154" s="35"/>
    </row>
    <row r="6155" spans="9:15" x14ac:dyDescent="0.35">
      <c r="I6155" s="35"/>
      <c r="O6155" s="35"/>
    </row>
    <row r="6156" spans="9:15" x14ac:dyDescent="0.35">
      <c r="I6156" s="35"/>
      <c r="O6156" s="35"/>
    </row>
    <row r="6157" spans="9:15" x14ac:dyDescent="0.35">
      <c r="I6157" s="35"/>
      <c r="O6157" s="35"/>
    </row>
    <row r="6158" spans="9:15" x14ac:dyDescent="0.35">
      <c r="I6158" s="35"/>
      <c r="O6158" s="35"/>
    </row>
    <row r="6159" spans="9:15" x14ac:dyDescent="0.35">
      <c r="I6159" s="35"/>
      <c r="O6159" s="35"/>
    </row>
    <row r="6160" spans="9:15" x14ac:dyDescent="0.35">
      <c r="I6160" s="35"/>
      <c r="O6160" s="35"/>
    </row>
    <row r="6161" spans="9:15" x14ac:dyDescent="0.35">
      <c r="I6161" s="35"/>
      <c r="O6161" s="35"/>
    </row>
    <row r="6162" spans="9:15" x14ac:dyDescent="0.35">
      <c r="I6162" s="35"/>
      <c r="O6162" s="35"/>
    </row>
    <row r="6163" spans="9:15" x14ac:dyDescent="0.35">
      <c r="I6163" s="35"/>
      <c r="O6163" s="35"/>
    </row>
    <row r="6164" spans="9:15" x14ac:dyDescent="0.35">
      <c r="I6164" s="35"/>
      <c r="O6164" s="35"/>
    </row>
    <row r="6165" spans="9:15" x14ac:dyDescent="0.35">
      <c r="I6165" s="35"/>
      <c r="O6165" s="35"/>
    </row>
    <row r="6166" spans="9:15" x14ac:dyDescent="0.35">
      <c r="I6166" s="35"/>
      <c r="O6166" s="35"/>
    </row>
    <row r="6167" spans="9:15" x14ac:dyDescent="0.35">
      <c r="I6167" s="35"/>
      <c r="O6167" s="35"/>
    </row>
    <row r="6168" spans="9:15" x14ac:dyDescent="0.35">
      <c r="I6168" s="35"/>
      <c r="O6168" s="35"/>
    </row>
    <row r="6169" spans="9:15" x14ac:dyDescent="0.35">
      <c r="I6169" s="35"/>
      <c r="O6169" s="35"/>
    </row>
    <row r="6170" spans="9:15" x14ac:dyDescent="0.35">
      <c r="I6170" s="35"/>
      <c r="O6170" s="35"/>
    </row>
    <row r="6171" spans="9:15" x14ac:dyDescent="0.35">
      <c r="I6171" s="35"/>
      <c r="O6171" s="35"/>
    </row>
    <row r="6172" spans="9:15" x14ac:dyDescent="0.35">
      <c r="I6172" s="35"/>
      <c r="O6172" s="35"/>
    </row>
    <row r="6173" spans="9:15" x14ac:dyDescent="0.35">
      <c r="I6173" s="35"/>
      <c r="O6173" s="35"/>
    </row>
    <row r="6174" spans="9:15" x14ac:dyDescent="0.35">
      <c r="I6174" s="35"/>
      <c r="O6174" s="35"/>
    </row>
    <row r="6175" spans="9:15" x14ac:dyDescent="0.35">
      <c r="I6175" s="35"/>
      <c r="O6175" s="35"/>
    </row>
    <row r="6176" spans="9:15" x14ac:dyDescent="0.35">
      <c r="I6176" s="35"/>
      <c r="O6176" s="35"/>
    </row>
    <row r="6177" spans="9:15" x14ac:dyDescent="0.35">
      <c r="I6177" s="35"/>
      <c r="O6177" s="35"/>
    </row>
    <row r="6178" spans="9:15" x14ac:dyDescent="0.35">
      <c r="I6178" s="35"/>
      <c r="O6178" s="35"/>
    </row>
    <row r="6179" spans="9:15" x14ac:dyDescent="0.35">
      <c r="I6179" s="35"/>
      <c r="O6179" s="35"/>
    </row>
    <row r="6180" spans="9:15" x14ac:dyDescent="0.35">
      <c r="I6180" s="35"/>
      <c r="O6180" s="35"/>
    </row>
    <row r="6181" spans="9:15" x14ac:dyDescent="0.35">
      <c r="I6181" s="35"/>
      <c r="O6181" s="35"/>
    </row>
    <row r="6182" spans="9:15" x14ac:dyDescent="0.35">
      <c r="I6182" s="35"/>
      <c r="O6182" s="35"/>
    </row>
    <row r="6183" spans="9:15" x14ac:dyDescent="0.35">
      <c r="I6183" s="35"/>
      <c r="O6183" s="35"/>
    </row>
    <row r="6184" spans="9:15" x14ac:dyDescent="0.35">
      <c r="I6184" s="35"/>
      <c r="O6184" s="35"/>
    </row>
    <row r="6185" spans="9:15" x14ac:dyDescent="0.35">
      <c r="I6185" s="35"/>
      <c r="O6185" s="35"/>
    </row>
    <row r="6186" spans="9:15" x14ac:dyDescent="0.35">
      <c r="I6186" s="35"/>
      <c r="O6186" s="35"/>
    </row>
    <row r="6187" spans="9:15" x14ac:dyDescent="0.35">
      <c r="I6187" s="35"/>
      <c r="O6187" s="35"/>
    </row>
    <row r="6188" spans="9:15" x14ac:dyDescent="0.35">
      <c r="I6188" s="35"/>
      <c r="O6188" s="35"/>
    </row>
    <row r="6189" spans="9:15" x14ac:dyDescent="0.35">
      <c r="I6189" s="35"/>
      <c r="O6189" s="35"/>
    </row>
    <row r="6190" spans="9:15" x14ac:dyDescent="0.35">
      <c r="I6190" s="35"/>
      <c r="O6190" s="35"/>
    </row>
    <row r="6191" spans="9:15" x14ac:dyDescent="0.35">
      <c r="I6191" s="35"/>
      <c r="O6191" s="35"/>
    </row>
    <row r="6192" spans="9:15" x14ac:dyDescent="0.35">
      <c r="I6192" s="35"/>
      <c r="O6192" s="35"/>
    </row>
    <row r="6193" spans="9:15" x14ac:dyDescent="0.35">
      <c r="I6193" s="35"/>
      <c r="O6193" s="35"/>
    </row>
    <row r="6194" spans="9:15" x14ac:dyDescent="0.35">
      <c r="I6194" s="35"/>
      <c r="O6194" s="35"/>
    </row>
    <row r="6195" spans="9:15" x14ac:dyDescent="0.35">
      <c r="I6195" s="35"/>
      <c r="O6195" s="35"/>
    </row>
    <row r="6196" spans="9:15" x14ac:dyDescent="0.35">
      <c r="I6196" s="35"/>
      <c r="O6196" s="35"/>
    </row>
    <row r="6197" spans="9:15" x14ac:dyDescent="0.35">
      <c r="I6197" s="35"/>
      <c r="O6197" s="35"/>
    </row>
    <row r="6198" spans="9:15" x14ac:dyDescent="0.35">
      <c r="I6198" s="35"/>
      <c r="O6198" s="35"/>
    </row>
    <row r="6199" spans="9:15" x14ac:dyDescent="0.35">
      <c r="I6199" s="35"/>
      <c r="O6199" s="35"/>
    </row>
    <row r="6200" spans="9:15" x14ac:dyDescent="0.35">
      <c r="I6200" s="35"/>
      <c r="O6200" s="35"/>
    </row>
    <row r="6201" spans="9:15" x14ac:dyDescent="0.35">
      <c r="I6201" s="35"/>
      <c r="O6201" s="35"/>
    </row>
    <row r="6202" spans="9:15" x14ac:dyDescent="0.35">
      <c r="I6202" s="35"/>
      <c r="O6202" s="35"/>
    </row>
    <row r="6203" spans="9:15" x14ac:dyDescent="0.35">
      <c r="I6203" s="35"/>
      <c r="O6203" s="35"/>
    </row>
    <row r="6204" spans="9:15" x14ac:dyDescent="0.35">
      <c r="I6204" s="35"/>
      <c r="O6204" s="35"/>
    </row>
    <row r="6205" spans="9:15" x14ac:dyDescent="0.35">
      <c r="I6205" s="35"/>
      <c r="O6205" s="35"/>
    </row>
    <row r="6206" spans="9:15" x14ac:dyDescent="0.35">
      <c r="I6206" s="35"/>
      <c r="O6206" s="35"/>
    </row>
    <row r="6207" spans="9:15" x14ac:dyDescent="0.35">
      <c r="I6207" s="35"/>
      <c r="O6207" s="35"/>
    </row>
    <row r="6208" spans="9:15" x14ac:dyDescent="0.35">
      <c r="I6208" s="35"/>
      <c r="O6208" s="35"/>
    </row>
    <row r="6209" spans="9:15" x14ac:dyDescent="0.35">
      <c r="I6209" s="35"/>
      <c r="O6209" s="35"/>
    </row>
    <row r="6210" spans="9:15" x14ac:dyDescent="0.35">
      <c r="I6210" s="35"/>
      <c r="O6210" s="35"/>
    </row>
    <row r="6211" spans="9:15" x14ac:dyDescent="0.35">
      <c r="I6211" s="35"/>
      <c r="O6211" s="35"/>
    </row>
    <row r="6212" spans="9:15" x14ac:dyDescent="0.35">
      <c r="I6212" s="35"/>
      <c r="O6212" s="35"/>
    </row>
    <row r="6213" spans="9:15" x14ac:dyDescent="0.35">
      <c r="I6213" s="35"/>
      <c r="O6213" s="35"/>
    </row>
    <row r="6214" spans="9:15" x14ac:dyDescent="0.35">
      <c r="I6214" s="35"/>
      <c r="O6214" s="35"/>
    </row>
    <row r="6215" spans="9:15" x14ac:dyDescent="0.35">
      <c r="I6215" s="35"/>
      <c r="O6215" s="35"/>
    </row>
    <row r="6216" spans="9:15" x14ac:dyDescent="0.35">
      <c r="I6216" s="35"/>
      <c r="O6216" s="35"/>
    </row>
    <row r="6217" spans="9:15" x14ac:dyDescent="0.35">
      <c r="I6217" s="35"/>
      <c r="O6217" s="35"/>
    </row>
    <row r="6218" spans="9:15" x14ac:dyDescent="0.35">
      <c r="I6218" s="35"/>
      <c r="O6218" s="35"/>
    </row>
    <row r="6219" spans="9:15" x14ac:dyDescent="0.35">
      <c r="I6219" s="35"/>
      <c r="O6219" s="35"/>
    </row>
    <row r="6220" spans="9:15" x14ac:dyDescent="0.35">
      <c r="I6220" s="35"/>
      <c r="O6220" s="35"/>
    </row>
    <row r="6221" spans="9:15" x14ac:dyDescent="0.35">
      <c r="I6221" s="35"/>
      <c r="O6221" s="35"/>
    </row>
    <row r="6222" spans="9:15" x14ac:dyDescent="0.35">
      <c r="I6222" s="35"/>
      <c r="O6222" s="35"/>
    </row>
    <row r="6223" spans="9:15" x14ac:dyDescent="0.35">
      <c r="I6223" s="35"/>
      <c r="O6223" s="35"/>
    </row>
    <row r="6224" spans="9:15" x14ac:dyDescent="0.35">
      <c r="I6224" s="35"/>
      <c r="O6224" s="35"/>
    </row>
    <row r="6225" spans="9:15" x14ac:dyDescent="0.35">
      <c r="I6225" s="35"/>
      <c r="O6225" s="35"/>
    </row>
    <row r="6226" spans="9:15" x14ac:dyDescent="0.35">
      <c r="I6226" s="35"/>
      <c r="O6226" s="35"/>
    </row>
    <row r="6227" spans="9:15" x14ac:dyDescent="0.35">
      <c r="I6227" s="35"/>
      <c r="O6227" s="35"/>
    </row>
    <row r="6228" spans="9:15" x14ac:dyDescent="0.35">
      <c r="I6228" s="35"/>
      <c r="O6228" s="35"/>
    </row>
    <row r="6229" spans="9:15" x14ac:dyDescent="0.35">
      <c r="I6229" s="35"/>
      <c r="O6229" s="35"/>
    </row>
    <row r="6230" spans="9:15" x14ac:dyDescent="0.35">
      <c r="I6230" s="35"/>
      <c r="O6230" s="35"/>
    </row>
    <row r="6231" spans="9:15" x14ac:dyDescent="0.35">
      <c r="I6231" s="35"/>
      <c r="O6231" s="35"/>
    </row>
    <row r="6232" spans="9:15" x14ac:dyDescent="0.35">
      <c r="I6232" s="35"/>
      <c r="O6232" s="35"/>
    </row>
    <row r="6233" spans="9:15" x14ac:dyDescent="0.35">
      <c r="I6233" s="35"/>
      <c r="O6233" s="35"/>
    </row>
    <row r="6234" spans="9:15" x14ac:dyDescent="0.35">
      <c r="I6234" s="35"/>
      <c r="O6234" s="35"/>
    </row>
    <row r="6235" spans="9:15" x14ac:dyDescent="0.35">
      <c r="I6235" s="35"/>
      <c r="O6235" s="35"/>
    </row>
    <row r="6236" spans="9:15" x14ac:dyDescent="0.35">
      <c r="I6236" s="35"/>
      <c r="O6236" s="35"/>
    </row>
    <row r="6237" spans="9:15" x14ac:dyDescent="0.35">
      <c r="I6237" s="35"/>
      <c r="O6237" s="35"/>
    </row>
    <row r="6238" spans="9:15" x14ac:dyDescent="0.35">
      <c r="I6238" s="35"/>
      <c r="O6238" s="35"/>
    </row>
    <row r="6239" spans="9:15" x14ac:dyDescent="0.35">
      <c r="I6239" s="35"/>
      <c r="O6239" s="35"/>
    </row>
    <row r="6240" spans="9:15" x14ac:dyDescent="0.35">
      <c r="I6240" s="35"/>
      <c r="O6240" s="35"/>
    </row>
    <row r="6241" spans="9:15" x14ac:dyDescent="0.35">
      <c r="I6241" s="35"/>
      <c r="O6241" s="35"/>
    </row>
    <row r="6242" spans="9:15" x14ac:dyDescent="0.35">
      <c r="I6242" s="35"/>
      <c r="O6242" s="35"/>
    </row>
    <row r="6243" spans="9:15" x14ac:dyDescent="0.35">
      <c r="I6243" s="35"/>
      <c r="O6243" s="35"/>
    </row>
    <row r="6244" spans="9:15" x14ac:dyDescent="0.35">
      <c r="I6244" s="35"/>
      <c r="O6244" s="35"/>
    </row>
    <row r="6245" spans="9:15" x14ac:dyDescent="0.35">
      <c r="I6245" s="35"/>
      <c r="O6245" s="35"/>
    </row>
    <row r="6246" spans="9:15" x14ac:dyDescent="0.35">
      <c r="I6246" s="35"/>
      <c r="O6246" s="35"/>
    </row>
    <row r="6247" spans="9:15" x14ac:dyDescent="0.35">
      <c r="I6247" s="35"/>
      <c r="O6247" s="35"/>
    </row>
    <row r="6248" spans="9:15" x14ac:dyDescent="0.35">
      <c r="I6248" s="35"/>
      <c r="O6248" s="35"/>
    </row>
    <row r="6249" spans="9:15" x14ac:dyDescent="0.35">
      <c r="I6249" s="35"/>
      <c r="O6249" s="35"/>
    </row>
    <row r="6250" spans="9:15" x14ac:dyDescent="0.35">
      <c r="I6250" s="35"/>
      <c r="O6250" s="35"/>
    </row>
    <row r="6251" spans="9:15" x14ac:dyDescent="0.35">
      <c r="I6251" s="35"/>
      <c r="O6251" s="35"/>
    </row>
    <row r="6252" spans="9:15" x14ac:dyDescent="0.35">
      <c r="I6252" s="35"/>
      <c r="O6252" s="35"/>
    </row>
    <row r="6253" spans="9:15" x14ac:dyDescent="0.35">
      <c r="I6253" s="35"/>
      <c r="O6253" s="35"/>
    </row>
    <row r="6254" spans="9:15" x14ac:dyDescent="0.35">
      <c r="I6254" s="35"/>
      <c r="O6254" s="35"/>
    </row>
    <row r="6255" spans="9:15" x14ac:dyDescent="0.35">
      <c r="I6255" s="35"/>
      <c r="O6255" s="35"/>
    </row>
    <row r="6256" spans="9:15" x14ac:dyDescent="0.35">
      <c r="I6256" s="35"/>
      <c r="O6256" s="35"/>
    </row>
    <row r="6257" spans="9:15" x14ac:dyDescent="0.35">
      <c r="I6257" s="35"/>
      <c r="O6257" s="35"/>
    </row>
    <row r="6258" spans="9:15" x14ac:dyDescent="0.35">
      <c r="I6258" s="35"/>
      <c r="O6258" s="35"/>
    </row>
    <row r="6259" spans="9:15" x14ac:dyDescent="0.35">
      <c r="I6259" s="35"/>
      <c r="O6259" s="35"/>
    </row>
    <row r="6260" spans="9:15" x14ac:dyDescent="0.35">
      <c r="I6260" s="35"/>
      <c r="O6260" s="35"/>
    </row>
    <row r="6261" spans="9:15" x14ac:dyDescent="0.35">
      <c r="I6261" s="35"/>
      <c r="O6261" s="35"/>
    </row>
    <row r="6262" spans="9:15" x14ac:dyDescent="0.35">
      <c r="I6262" s="35"/>
      <c r="O6262" s="35"/>
    </row>
    <row r="6263" spans="9:15" x14ac:dyDescent="0.35">
      <c r="I6263" s="35"/>
      <c r="O6263" s="35"/>
    </row>
    <row r="6264" spans="9:15" x14ac:dyDescent="0.35">
      <c r="I6264" s="35"/>
      <c r="O6264" s="35"/>
    </row>
    <row r="6265" spans="9:15" x14ac:dyDescent="0.35">
      <c r="I6265" s="35"/>
      <c r="O6265" s="35"/>
    </row>
    <row r="6266" spans="9:15" x14ac:dyDescent="0.35">
      <c r="I6266" s="35"/>
      <c r="O6266" s="35"/>
    </row>
    <row r="6267" spans="9:15" x14ac:dyDescent="0.35">
      <c r="I6267" s="35"/>
      <c r="O6267" s="35"/>
    </row>
    <row r="6268" spans="9:15" x14ac:dyDescent="0.35">
      <c r="I6268" s="35"/>
      <c r="O6268" s="35"/>
    </row>
    <row r="6269" spans="9:15" x14ac:dyDescent="0.35">
      <c r="I6269" s="35"/>
      <c r="O6269" s="35"/>
    </row>
    <row r="6270" spans="9:15" x14ac:dyDescent="0.35">
      <c r="I6270" s="35"/>
      <c r="O6270" s="35"/>
    </row>
    <row r="6271" spans="9:15" x14ac:dyDescent="0.35">
      <c r="I6271" s="35"/>
      <c r="O6271" s="35"/>
    </row>
    <row r="6272" spans="9:15" x14ac:dyDescent="0.35">
      <c r="I6272" s="35"/>
      <c r="O6272" s="35"/>
    </row>
    <row r="6273" spans="9:15" x14ac:dyDescent="0.35">
      <c r="I6273" s="35"/>
      <c r="O6273" s="35"/>
    </row>
    <row r="6274" spans="9:15" x14ac:dyDescent="0.35">
      <c r="I6274" s="35"/>
      <c r="O6274" s="35"/>
    </row>
    <row r="6275" spans="9:15" x14ac:dyDescent="0.35">
      <c r="I6275" s="35"/>
      <c r="O6275" s="35"/>
    </row>
    <row r="6276" spans="9:15" x14ac:dyDescent="0.35">
      <c r="I6276" s="35"/>
      <c r="O6276" s="35"/>
    </row>
    <row r="6277" spans="9:15" x14ac:dyDescent="0.35">
      <c r="I6277" s="35"/>
      <c r="O6277" s="35"/>
    </row>
    <row r="6278" spans="9:15" x14ac:dyDescent="0.35">
      <c r="I6278" s="35"/>
      <c r="O6278" s="35"/>
    </row>
    <row r="6279" spans="9:15" x14ac:dyDescent="0.35">
      <c r="I6279" s="35"/>
      <c r="O6279" s="35"/>
    </row>
    <row r="6280" spans="9:15" x14ac:dyDescent="0.35">
      <c r="I6280" s="35"/>
      <c r="O6280" s="35"/>
    </row>
    <row r="6281" spans="9:15" x14ac:dyDescent="0.35">
      <c r="I6281" s="35"/>
      <c r="O6281" s="35"/>
    </row>
    <row r="6282" spans="9:15" x14ac:dyDescent="0.35">
      <c r="I6282" s="35"/>
      <c r="O6282" s="35"/>
    </row>
    <row r="6283" spans="9:15" x14ac:dyDescent="0.35">
      <c r="I6283" s="35"/>
      <c r="O6283" s="35"/>
    </row>
    <row r="6284" spans="9:15" x14ac:dyDescent="0.35">
      <c r="I6284" s="35"/>
      <c r="O6284" s="35"/>
    </row>
    <row r="6285" spans="9:15" x14ac:dyDescent="0.35">
      <c r="I6285" s="35"/>
      <c r="O6285" s="35"/>
    </row>
    <row r="6286" spans="9:15" x14ac:dyDescent="0.35">
      <c r="I6286" s="35"/>
      <c r="O6286" s="35"/>
    </row>
    <row r="6287" spans="9:15" x14ac:dyDescent="0.35">
      <c r="I6287" s="35"/>
      <c r="O6287" s="35"/>
    </row>
    <row r="6288" spans="9:15" x14ac:dyDescent="0.35">
      <c r="I6288" s="35"/>
      <c r="O6288" s="35"/>
    </row>
    <row r="6289" spans="9:15" x14ac:dyDescent="0.35">
      <c r="I6289" s="35"/>
      <c r="O6289" s="35"/>
    </row>
    <row r="6290" spans="9:15" x14ac:dyDescent="0.35">
      <c r="I6290" s="35"/>
      <c r="O6290" s="35"/>
    </row>
    <row r="6291" spans="9:15" x14ac:dyDescent="0.35">
      <c r="I6291" s="35"/>
      <c r="O6291" s="35"/>
    </row>
    <row r="6292" spans="9:15" x14ac:dyDescent="0.35">
      <c r="I6292" s="35"/>
      <c r="O6292" s="35"/>
    </row>
    <row r="6293" spans="9:15" x14ac:dyDescent="0.35">
      <c r="I6293" s="35"/>
      <c r="O6293" s="35"/>
    </row>
    <row r="6294" spans="9:15" x14ac:dyDescent="0.35">
      <c r="I6294" s="35"/>
      <c r="O6294" s="35"/>
    </row>
    <row r="6295" spans="9:15" x14ac:dyDescent="0.35">
      <c r="I6295" s="35"/>
      <c r="O6295" s="35"/>
    </row>
    <row r="6296" spans="9:15" x14ac:dyDescent="0.35">
      <c r="I6296" s="35"/>
      <c r="O6296" s="35"/>
    </row>
    <row r="6297" spans="9:15" x14ac:dyDescent="0.35">
      <c r="I6297" s="35"/>
      <c r="O6297" s="35"/>
    </row>
    <row r="6298" spans="9:15" x14ac:dyDescent="0.35">
      <c r="I6298" s="35"/>
      <c r="O6298" s="35"/>
    </row>
    <row r="6299" spans="9:15" x14ac:dyDescent="0.35">
      <c r="I6299" s="35"/>
      <c r="O6299" s="35"/>
    </row>
    <row r="6300" spans="9:15" x14ac:dyDescent="0.35">
      <c r="I6300" s="35"/>
      <c r="O6300" s="35"/>
    </row>
    <row r="6301" spans="9:15" x14ac:dyDescent="0.35">
      <c r="I6301" s="35"/>
      <c r="O6301" s="35"/>
    </row>
    <row r="6302" spans="9:15" x14ac:dyDescent="0.35">
      <c r="I6302" s="35"/>
      <c r="O6302" s="35"/>
    </row>
    <row r="6303" spans="9:15" x14ac:dyDescent="0.35">
      <c r="I6303" s="35"/>
      <c r="O6303" s="35"/>
    </row>
    <row r="6304" spans="9:15" x14ac:dyDescent="0.35">
      <c r="I6304" s="35"/>
      <c r="O6304" s="35"/>
    </row>
    <row r="6305" spans="9:15" x14ac:dyDescent="0.35">
      <c r="I6305" s="35"/>
      <c r="O6305" s="35"/>
    </row>
    <row r="6306" spans="9:15" x14ac:dyDescent="0.35">
      <c r="I6306" s="35"/>
      <c r="O6306" s="35"/>
    </row>
    <row r="6307" spans="9:15" x14ac:dyDescent="0.35">
      <c r="I6307" s="35"/>
      <c r="O6307" s="35"/>
    </row>
    <row r="6308" spans="9:15" x14ac:dyDescent="0.35">
      <c r="I6308" s="35"/>
      <c r="O6308" s="35"/>
    </row>
    <row r="6309" spans="9:15" x14ac:dyDescent="0.35">
      <c r="I6309" s="35"/>
      <c r="O6309" s="35"/>
    </row>
    <row r="6310" spans="9:15" x14ac:dyDescent="0.35">
      <c r="I6310" s="35"/>
      <c r="O6310" s="35"/>
    </row>
    <row r="6311" spans="9:15" x14ac:dyDescent="0.35">
      <c r="I6311" s="35"/>
      <c r="O6311" s="35"/>
    </row>
    <row r="6312" spans="9:15" x14ac:dyDescent="0.35">
      <c r="I6312" s="35"/>
      <c r="O6312" s="35"/>
    </row>
    <row r="6313" spans="9:15" x14ac:dyDescent="0.35">
      <c r="I6313" s="35"/>
      <c r="O6313" s="35"/>
    </row>
    <row r="6314" spans="9:15" x14ac:dyDescent="0.35">
      <c r="I6314" s="35"/>
      <c r="O6314" s="35"/>
    </row>
    <row r="6315" spans="9:15" x14ac:dyDescent="0.35">
      <c r="I6315" s="35"/>
      <c r="O6315" s="35"/>
    </row>
    <row r="6316" spans="9:15" x14ac:dyDescent="0.35">
      <c r="I6316" s="35"/>
      <c r="O6316" s="35"/>
    </row>
    <row r="6317" spans="9:15" x14ac:dyDescent="0.35">
      <c r="I6317" s="35"/>
      <c r="O6317" s="35"/>
    </row>
    <row r="6318" spans="9:15" x14ac:dyDescent="0.35">
      <c r="I6318" s="35"/>
      <c r="O6318" s="35"/>
    </row>
    <row r="6319" spans="9:15" x14ac:dyDescent="0.35">
      <c r="I6319" s="35"/>
      <c r="O6319" s="35"/>
    </row>
    <row r="6320" spans="9:15" x14ac:dyDescent="0.35">
      <c r="I6320" s="35"/>
      <c r="O6320" s="35"/>
    </row>
    <row r="6321" spans="9:15" x14ac:dyDescent="0.35">
      <c r="I6321" s="35"/>
      <c r="O6321" s="35"/>
    </row>
    <row r="6322" spans="9:15" x14ac:dyDescent="0.35">
      <c r="I6322" s="35"/>
      <c r="O6322" s="35"/>
    </row>
    <row r="6323" spans="9:15" x14ac:dyDescent="0.35">
      <c r="I6323" s="35"/>
      <c r="O6323" s="35"/>
    </row>
    <row r="6324" spans="9:15" x14ac:dyDescent="0.35">
      <c r="I6324" s="35"/>
      <c r="O6324" s="35"/>
    </row>
    <row r="6325" spans="9:15" x14ac:dyDescent="0.35">
      <c r="I6325" s="35"/>
      <c r="O6325" s="35"/>
    </row>
    <row r="6326" spans="9:15" x14ac:dyDescent="0.35">
      <c r="I6326" s="35"/>
      <c r="O6326" s="35"/>
    </row>
    <row r="6327" spans="9:15" x14ac:dyDescent="0.35">
      <c r="I6327" s="35"/>
      <c r="O6327" s="35"/>
    </row>
    <row r="6328" spans="9:15" x14ac:dyDescent="0.35">
      <c r="I6328" s="35"/>
      <c r="O6328" s="35"/>
    </row>
    <row r="6329" spans="9:15" x14ac:dyDescent="0.35">
      <c r="I6329" s="35"/>
      <c r="O6329" s="35"/>
    </row>
    <row r="6330" spans="9:15" x14ac:dyDescent="0.35">
      <c r="I6330" s="35"/>
      <c r="O6330" s="35"/>
    </row>
    <row r="6331" spans="9:15" x14ac:dyDescent="0.35">
      <c r="I6331" s="35"/>
      <c r="O6331" s="35"/>
    </row>
    <row r="6332" spans="9:15" x14ac:dyDescent="0.35">
      <c r="I6332" s="35"/>
      <c r="O6332" s="35"/>
    </row>
    <row r="6333" spans="9:15" x14ac:dyDescent="0.35">
      <c r="I6333" s="35"/>
      <c r="O6333" s="35"/>
    </row>
    <row r="6334" spans="9:15" x14ac:dyDescent="0.35">
      <c r="I6334" s="35"/>
      <c r="O6334" s="35"/>
    </row>
    <row r="6335" spans="9:15" x14ac:dyDescent="0.35">
      <c r="I6335" s="35"/>
      <c r="O6335" s="35"/>
    </row>
    <row r="6336" spans="9:15" x14ac:dyDescent="0.35">
      <c r="I6336" s="35"/>
      <c r="O6336" s="35"/>
    </row>
    <row r="6337" spans="9:15" x14ac:dyDescent="0.35">
      <c r="I6337" s="35"/>
      <c r="O6337" s="35"/>
    </row>
    <row r="6338" spans="9:15" x14ac:dyDescent="0.35">
      <c r="I6338" s="35"/>
      <c r="O6338" s="35"/>
    </row>
    <row r="6339" spans="9:15" x14ac:dyDescent="0.35">
      <c r="I6339" s="35"/>
      <c r="O6339" s="35"/>
    </row>
    <row r="6340" spans="9:15" x14ac:dyDescent="0.35">
      <c r="I6340" s="35"/>
      <c r="O6340" s="35"/>
    </row>
    <row r="6341" spans="9:15" x14ac:dyDescent="0.35">
      <c r="I6341" s="35"/>
      <c r="O6341" s="35"/>
    </row>
    <row r="6342" spans="9:15" x14ac:dyDescent="0.35">
      <c r="I6342" s="35"/>
      <c r="O6342" s="35"/>
    </row>
    <row r="6343" spans="9:15" x14ac:dyDescent="0.35">
      <c r="I6343" s="35"/>
      <c r="O6343" s="35"/>
    </row>
    <row r="6344" spans="9:15" x14ac:dyDescent="0.35">
      <c r="I6344" s="35"/>
      <c r="O6344" s="35"/>
    </row>
    <row r="6345" spans="9:15" x14ac:dyDescent="0.35">
      <c r="I6345" s="35"/>
      <c r="O6345" s="35"/>
    </row>
    <row r="6346" spans="9:15" x14ac:dyDescent="0.35">
      <c r="I6346" s="35"/>
      <c r="O6346" s="35"/>
    </row>
    <row r="6347" spans="9:15" x14ac:dyDescent="0.35">
      <c r="I6347" s="35"/>
      <c r="O6347" s="35"/>
    </row>
    <row r="6348" spans="9:15" x14ac:dyDescent="0.35">
      <c r="I6348" s="35"/>
      <c r="O6348" s="35"/>
    </row>
    <row r="6349" spans="9:15" x14ac:dyDescent="0.35">
      <c r="I6349" s="35"/>
      <c r="O6349" s="35"/>
    </row>
    <row r="6350" spans="9:15" x14ac:dyDescent="0.35">
      <c r="I6350" s="35"/>
      <c r="O6350" s="35"/>
    </row>
    <row r="6351" spans="9:15" x14ac:dyDescent="0.35">
      <c r="I6351" s="35"/>
      <c r="O6351" s="35"/>
    </row>
    <row r="6352" spans="9:15" x14ac:dyDescent="0.35">
      <c r="I6352" s="35"/>
      <c r="O6352" s="35"/>
    </row>
    <row r="6353" spans="9:15" x14ac:dyDescent="0.35">
      <c r="I6353" s="35"/>
      <c r="O6353" s="35"/>
    </row>
    <row r="6354" spans="9:15" x14ac:dyDescent="0.35">
      <c r="I6354" s="35"/>
      <c r="O6354" s="35"/>
    </row>
    <row r="6355" spans="9:15" x14ac:dyDescent="0.35">
      <c r="I6355" s="35"/>
      <c r="O6355" s="35"/>
    </row>
    <row r="6356" spans="9:15" x14ac:dyDescent="0.35">
      <c r="I6356" s="35"/>
      <c r="O6356" s="35"/>
    </row>
    <row r="6357" spans="9:15" x14ac:dyDescent="0.35">
      <c r="I6357" s="35"/>
      <c r="O6357" s="35"/>
    </row>
    <row r="6358" spans="9:15" x14ac:dyDescent="0.35">
      <c r="I6358" s="35"/>
      <c r="O6358" s="35"/>
    </row>
    <row r="6359" spans="9:15" x14ac:dyDescent="0.35">
      <c r="I6359" s="35"/>
      <c r="O6359" s="35"/>
    </row>
    <row r="6360" spans="9:15" x14ac:dyDescent="0.35">
      <c r="I6360" s="35"/>
      <c r="O6360" s="35"/>
    </row>
    <row r="6361" spans="9:15" x14ac:dyDescent="0.35">
      <c r="I6361" s="35"/>
      <c r="O6361" s="35"/>
    </row>
    <row r="6362" spans="9:15" x14ac:dyDescent="0.35">
      <c r="I6362" s="35"/>
      <c r="O6362" s="35"/>
    </row>
    <row r="6363" spans="9:15" x14ac:dyDescent="0.35">
      <c r="I6363" s="35"/>
      <c r="O6363" s="35"/>
    </row>
    <row r="6364" spans="9:15" x14ac:dyDescent="0.35">
      <c r="I6364" s="35"/>
      <c r="O6364" s="35"/>
    </row>
    <row r="6365" spans="9:15" x14ac:dyDescent="0.35">
      <c r="I6365" s="35"/>
      <c r="O6365" s="35"/>
    </row>
    <row r="6366" spans="9:15" x14ac:dyDescent="0.35">
      <c r="I6366" s="35"/>
      <c r="O6366" s="35"/>
    </row>
    <row r="6367" spans="9:15" x14ac:dyDescent="0.35">
      <c r="I6367" s="35"/>
      <c r="O6367" s="35"/>
    </row>
    <row r="6368" spans="9:15" x14ac:dyDescent="0.35">
      <c r="I6368" s="35"/>
      <c r="O6368" s="35"/>
    </row>
    <row r="6369" spans="9:15" x14ac:dyDescent="0.35">
      <c r="I6369" s="35"/>
      <c r="O6369" s="35"/>
    </row>
    <row r="6370" spans="9:15" x14ac:dyDescent="0.35">
      <c r="I6370" s="35"/>
      <c r="O6370" s="35"/>
    </row>
    <row r="6371" spans="9:15" x14ac:dyDescent="0.35">
      <c r="I6371" s="35"/>
      <c r="O6371" s="35"/>
    </row>
    <row r="6372" spans="9:15" x14ac:dyDescent="0.35">
      <c r="I6372" s="35"/>
      <c r="O6372" s="35"/>
    </row>
    <row r="6373" spans="9:15" x14ac:dyDescent="0.35">
      <c r="I6373" s="35"/>
      <c r="O6373" s="35"/>
    </row>
    <row r="6374" spans="9:15" x14ac:dyDescent="0.35">
      <c r="I6374" s="35"/>
      <c r="O6374" s="35"/>
    </row>
    <row r="6375" spans="9:15" x14ac:dyDescent="0.35">
      <c r="I6375" s="35"/>
      <c r="O6375" s="35"/>
    </row>
    <row r="6376" spans="9:15" x14ac:dyDescent="0.35">
      <c r="I6376" s="35"/>
      <c r="O6376" s="35"/>
    </row>
    <row r="6377" spans="9:15" x14ac:dyDescent="0.35">
      <c r="I6377" s="35"/>
      <c r="O6377" s="35"/>
    </row>
    <row r="6378" spans="9:15" x14ac:dyDescent="0.35">
      <c r="I6378" s="35"/>
      <c r="O6378" s="35"/>
    </row>
    <row r="6379" spans="9:15" x14ac:dyDescent="0.35">
      <c r="I6379" s="35"/>
      <c r="O6379" s="35"/>
    </row>
    <row r="6380" spans="9:15" x14ac:dyDescent="0.35">
      <c r="I6380" s="35"/>
      <c r="O6380" s="35"/>
    </row>
    <row r="6381" spans="9:15" x14ac:dyDescent="0.35">
      <c r="I6381" s="35"/>
      <c r="O6381" s="35"/>
    </row>
    <row r="6382" spans="9:15" x14ac:dyDescent="0.35">
      <c r="I6382" s="35"/>
      <c r="O6382" s="35"/>
    </row>
    <row r="6383" spans="9:15" x14ac:dyDescent="0.35">
      <c r="I6383" s="35"/>
      <c r="O6383" s="35"/>
    </row>
    <row r="6384" spans="9:15" x14ac:dyDescent="0.35">
      <c r="I6384" s="35"/>
      <c r="O6384" s="35"/>
    </row>
    <row r="6385" spans="9:15" x14ac:dyDescent="0.35">
      <c r="I6385" s="35"/>
      <c r="O6385" s="35"/>
    </row>
    <row r="6386" spans="9:15" x14ac:dyDescent="0.35">
      <c r="I6386" s="35"/>
      <c r="O6386" s="35"/>
    </row>
    <row r="6387" spans="9:15" x14ac:dyDescent="0.35">
      <c r="I6387" s="35"/>
      <c r="O6387" s="35"/>
    </row>
    <row r="6388" spans="9:15" x14ac:dyDescent="0.35">
      <c r="I6388" s="35"/>
      <c r="O6388" s="35"/>
    </row>
    <row r="6389" spans="9:15" x14ac:dyDescent="0.35">
      <c r="I6389" s="35"/>
      <c r="O6389" s="35"/>
    </row>
    <row r="6390" spans="9:15" x14ac:dyDescent="0.35">
      <c r="I6390" s="35"/>
      <c r="O6390" s="35"/>
    </row>
    <row r="6391" spans="9:15" x14ac:dyDescent="0.35">
      <c r="I6391" s="35"/>
      <c r="O6391" s="35"/>
    </row>
    <row r="6392" spans="9:15" x14ac:dyDescent="0.35">
      <c r="I6392" s="35"/>
      <c r="O6392" s="35"/>
    </row>
    <row r="6393" spans="9:15" x14ac:dyDescent="0.35">
      <c r="I6393" s="35"/>
      <c r="O6393" s="35"/>
    </row>
    <row r="6394" spans="9:15" x14ac:dyDescent="0.35">
      <c r="I6394" s="35"/>
      <c r="O6394" s="35"/>
    </row>
    <row r="6395" spans="9:15" x14ac:dyDescent="0.35">
      <c r="I6395" s="35"/>
      <c r="O6395" s="35"/>
    </row>
    <row r="6396" spans="9:15" x14ac:dyDescent="0.35">
      <c r="I6396" s="35"/>
      <c r="O6396" s="35"/>
    </row>
    <row r="6397" spans="9:15" x14ac:dyDescent="0.35">
      <c r="I6397" s="35"/>
      <c r="O6397" s="35"/>
    </row>
    <row r="6398" spans="9:15" x14ac:dyDescent="0.35">
      <c r="I6398" s="35"/>
      <c r="O6398" s="35"/>
    </row>
    <row r="6399" spans="9:15" x14ac:dyDescent="0.35">
      <c r="I6399" s="35"/>
      <c r="O6399" s="35"/>
    </row>
    <row r="6400" spans="9:15" x14ac:dyDescent="0.35">
      <c r="I6400" s="35"/>
      <c r="O6400" s="35"/>
    </row>
    <row r="6401" spans="9:15" x14ac:dyDescent="0.35">
      <c r="I6401" s="35"/>
      <c r="O6401" s="35"/>
    </row>
    <row r="6402" spans="9:15" x14ac:dyDescent="0.35">
      <c r="I6402" s="35"/>
      <c r="O6402" s="35"/>
    </row>
    <row r="6403" spans="9:15" x14ac:dyDescent="0.35">
      <c r="I6403" s="35"/>
      <c r="O6403" s="35"/>
    </row>
    <row r="6404" spans="9:15" x14ac:dyDescent="0.35">
      <c r="I6404" s="35"/>
      <c r="O6404" s="35"/>
    </row>
    <row r="6405" spans="9:15" x14ac:dyDescent="0.35">
      <c r="I6405" s="35"/>
      <c r="O6405" s="35"/>
    </row>
    <row r="6406" spans="9:15" x14ac:dyDescent="0.35">
      <c r="I6406" s="35"/>
      <c r="O6406" s="35"/>
    </row>
    <row r="6407" spans="9:15" x14ac:dyDescent="0.35">
      <c r="I6407" s="35"/>
      <c r="O6407" s="35"/>
    </row>
    <row r="6408" spans="9:15" x14ac:dyDescent="0.35">
      <c r="I6408" s="35"/>
      <c r="O6408" s="35"/>
    </row>
    <row r="6409" spans="9:15" x14ac:dyDescent="0.35">
      <c r="I6409" s="35"/>
      <c r="O6409" s="35"/>
    </row>
    <row r="6410" spans="9:15" x14ac:dyDescent="0.35">
      <c r="I6410" s="35"/>
      <c r="O6410" s="35"/>
    </row>
    <row r="6411" spans="9:15" x14ac:dyDescent="0.35">
      <c r="I6411" s="35"/>
      <c r="O6411" s="35"/>
    </row>
    <row r="6412" spans="9:15" x14ac:dyDescent="0.35">
      <c r="I6412" s="35"/>
      <c r="O6412" s="35"/>
    </row>
    <row r="6413" spans="9:15" x14ac:dyDescent="0.35">
      <c r="I6413" s="35"/>
      <c r="O6413" s="35"/>
    </row>
    <row r="6414" spans="9:15" x14ac:dyDescent="0.35">
      <c r="I6414" s="35"/>
      <c r="O6414" s="35"/>
    </row>
    <row r="6415" spans="9:15" x14ac:dyDescent="0.35">
      <c r="I6415" s="35"/>
      <c r="O6415" s="35"/>
    </row>
    <row r="6416" spans="9:15" x14ac:dyDescent="0.35">
      <c r="I6416" s="35"/>
      <c r="O6416" s="35"/>
    </row>
    <row r="6417" spans="9:15" x14ac:dyDescent="0.35">
      <c r="I6417" s="35"/>
      <c r="O6417" s="35"/>
    </row>
    <row r="6418" spans="9:15" x14ac:dyDescent="0.35">
      <c r="I6418" s="35"/>
      <c r="O6418" s="35"/>
    </row>
    <row r="6419" spans="9:15" x14ac:dyDescent="0.35">
      <c r="I6419" s="35"/>
      <c r="O6419" s="35"/>
    </row>
    <row r="6420" spans="9:15" x14ac:dyDescent="0.35">
      <c r="I6420" s="35"/>
      <c r="O6420" s="35"/>
    </row>
    <row r="6421" spans="9:15" x14ac:dyDescent="0.35">
      <c r="I6421" s="35"/>
      <c r="O6421" s="35"/>
    </row>
    <row r="6422" spans="9:15" x14ac:dyDescent="0.35">
      <c r="I6422" s="35"/>
      <c r="O6422" s="35"/>
    </row>
    <row r="6423" spans="9:15" x14ac:dyDescent="0.35">
      <c r="I6423" s="35"/>
      <c r="O6423" s="35"/>
    </row>
    <row r="6424" spans="9:15" x14ac:dyDescent="0.35">
      <c r="I6424" s="35"/>
      <c r="O6424" s="35"/>
    </row>
    <row r="6425" spans="9:15" x14ac:dyDescent="0.35">
      <c r="I6425" s="35"/>
      <c r="O6425" s="35"/>
    </row>
    <row r="6426" spans="9:15" x14ac:dyDescent="0.35">
      <c r="I6426" s="35"/>
      <c r="O6426" s="35"/>
    </row>
    <row r="6427" spans="9:15" x14ac:dyDescent="0.35">
      <c r="I6427" s="35"/>
      <c r="O6427" s="35"/>
    </row>
    <row r="6428" spans="9:15" x14ac:dyDescent="0.35">
      <c r="I6428" s="35"/>
      <c r="O6428" s="35"/>
    </row>
    <row r="6429" spans="9:15" x14ac:dyDescent="0.35">
      <c r="I6429" s="35"/>
      <c r="O6429" s="35"/>
    </row>
    <row r="6430" spans="9:15" x14ac:dyDescent="0.35">
      <c r="I6430" s="35"/>
      <c r="O6430" s="35"/>
    </row>
    <row r="6431" spans="9:15" x14ac:dyDescent="0.35">
      <c r="I6431" s="35"/>
      <c r="O6431" s="35"/>
    </row>
    <row r="6432" spans="9:15" x14ac:dyDescent="0.35">
      <c r="I6432" s="35"/>
      <c r="O6432" s="35"/>
    </row>
    <row r="6433" spans="9:15" x14ac:dyDescent="0.35">
      <c r="I6433" s="35"/>
      <c r="O6433" s="35"/>
    </row>
    <row r="6434" spans="9:15" x14ac:dyDescent="0.35">
      <c r="I6434" s="35"/>
      <c r="O6434" s="35"/>
    </row>
    <row r="6435" spans="9:15" x14ac:dyDescent="0.35">
      <c r="I6435" s="35"/>
      <c r="O6435" s="35"/>
    </row>
    <row r="6436" spans="9:15" x14ac:dyDescent="0.35">
      <c r="I6436" s="35"/>
      <c r="O6436" s="35"/>
    </row>
    <row r="6437" spans="9:15" x14ac:dyDescent="0.35">
      <c r="I6437" s="35"/>
      <c r="O6437" s="35"/>
    </row>
    <row r="6438" spans="9:15" x14ac:dyDescent="0.35">
      <c r="I6438" s="35"/>
      <c r="O6438" s="35"/>
    </row>
    <row r="6439" spans="9:15" x14ac:dyDescent="0.35">
      <c r="I6439" s="35"/>
      <c r="O6439" s="35"/>
    </row>
    <row r="6440" spans="9:15" x14ac:dyDescent="0.35">
      <c r="I6440" s="35"/>
      <c r="O6440" s="35"/>
    </row>
    <row r="6441" spans="9:15" x14ac:dyDescent="0.35">
      <c r="I6441" s="35"/>
      <c r="O6441" s="35"/>
    </row>
    <row r="6442" spans="9:15" x14ac:dyDescent="0.35">
      <c r="I6442" s="35"/>
      <c r="O6442" s="35"/>
    </row>
    <row r="6443" spans="9:15" x14ac:dyDescent="0.35">
      <c r="I6443" s="35"/>
      <c r="O6443" s="35"/>
    </row>
    <row r="6444" spans="9:15" x14ac:dyDescent="0.35">
      <c r="I6444" s="35"/>
      <c r="O6444" s="35"/>
    </row>
    <row r="6445" spans="9:15" x14ac:dyDescent="0.35">
      <c r="I6445" s="35"/>
      <c r="O6445" s="35"/>
    </row>
    <row r="6446" spans="9:15" x14ac:dyDescent="0.35">
      <c r="I6446" s="35"/>
      <c r="O6446" s="35"/>
    </row>
    <row r="6447" spans="9:15" x14ac:dyDescent="0.35">
      <c r="I6447" s="35"/>
      <c r="O6447" s="35"/>
    </row>
    <row r="6448" spans="9:15" x14ac:dyDescent="0.35">
      <c r="I6448" s="35"/>
      <c r="O6448" s="35"/>
    </row>
    <row r="6449" spans="9:15" x14ac:dyDescent="0.35">
      <c r="I6449" s="35"/>
      <c r="O6449" s="35"/>
    </row>
    <row r="6450" spans="9:15" x14ac:dyDescent="0.35">
      <c r="I6450" s="35"/>
      <c r="O6450" s="35"/>
    </row>
    <row r="6451" spans="9:15" x14ac:dyDescent="0.35">
      <c r="I6451" s="35"/>
      <c r="O6451" s="35"/>
    </row>
    <row r="6452" spans="9:15" x14ac:dyDescent="0.35">
      <c r="I6452" s="35"/>
      <c r="O6452" s="35"/>
    </row>
    <row r="6453" spans="9:15" x14ac:dyDescent="0.35">
      <c r="I6453" s="35"/>
      <c r="O6453" s="35"/>
    </row>
    <row r="6454" spans="9:15" x14ac:dyDescent="0.35">
      <c r="I6454" s="35"/>
      <c r="O6454" s="35"/>
    </row>
    <row r="6455" spans="9:15" x14ac:dyDescent="0.35">
      <c r="I6455" s="35"/>
      <c r="O6455" s="35"/>
    </row>
    <row r="6456" spans="9:15" x14ac:dyDescent="0.35">
      <c r="I6456" s="35"/>
      <c r="O6456" s="35"/>
    </row>
    <row r="6457" spans="9:15" x14ac:dyDescent="0.35">
      <c r="I6457" s="35"/>
      <c r="O6457" s="35"/>
    </row>
    <row r="6458" spans="9:15" x14ac:dyDescent="0.35">
      <c r="I6458" s="35"/>
      <c r="O6458" s="35"/>
    </row>
    <row r="6459" spans="9:15" x14ac:dyDescent="0.35">
      <c r="I6459" s="35"/>
      <c r="O6459" s="35"/>
    </row>
    <row r="6460" spans="9:15" x14ac:dyDescent="0.35">
      <c r="I6460" s="35"/>
      <c r="O6460" s="35"/>
    </row>
    <row r="6461" spans="9:15" x14ac:dyDescent="0.35">
      <c r="I6461" s="35"/>
      <c r="O6461" s="35"/>
    </row>
    <row r="6462" spans="9:15" x14ac:dyDescent="0.35">
      <c r="I6462" s="35"/>
      <c r="O6462" s="35"/>
    </row>
    <row r="6463" spans="9:15" x14ac:dyDescent="0.35">
      <c r="I6463" s="35"/>
      <c r="O6463" s="35"/>
    </row>
    <row r="6464" spans="9:15" x14ac:dyDescent="0.35">
      <c r="I6464" s="35"/>
      <c r="O6464" s="35"/>
    </row>
    <row r="6465" spans="9:15" x14ac:dyDescent="0.35">
      <c r="I6465" s="35"/>
      <c r="O6465" s="35"/>
    </row>
    <row r="6466" spans="9:15" x14ac:dyDescent="0.35">
      <c r="I6466" s="35"/>
      <c r="O6466" s="35"/>
    </row>
    <row r="6467" spans="9:15" x14ac:dyDescent="0.35">
      <c r="I6467" s="35"/>
      <c r="O6467" s="35"/>
    </row>
    <row r="6468" spans="9:15" x14ac:dyDescent="0.35">
      <c r="I6468" s="35"/>
      <c r="O6468" s="35"/>
    </row>
    <row r="6469" spans="9:15" x14ac:dyDescent="0.35">
      <c r="I6469" s="35"/>
      <c r="O6469" s="35"/>
    </row>
    <row r="6470" spans="9:15" x14ac:dyDescent="0.35">
      <c r="I6470" s="35"/>
      <c r="O6470" s="35"/>
    </row>
    <row r="6471" spans="9:15" x14ac:dyDescent="0.35">
      <c r="I6471" s="35"/>
      <c r="O6471" s="35"/>
    </row>
    <row r="6472" spans="9:15" x14ac:dyDescent="0.35">
      <c r="I6472" s="35"/>
      <c r="O6472" s="35"/>
    </row>
    <row r="6473" spans="9:15" x14ac:dyDescent="0.35">
      <c r="I6473" s="35"/>
      <c r="O6473" s="35"/>
    </row>
    <row r="6474" spans="9:15" x14ac:dyDescent="0.35">
      <c r="I6474" s="35"/>
      <c r="O6474" s="35"/>
    </row>
    <row r="6475" spans="9:15" x14ac:dyDescent="0.35">
      <c r="I6475" s="35"/>
      <c r="O6475" s="35"/>
    </row>
    <row r="6476" spans="9:15" x14ac:dyDescent="0.35">
      <c r="I6476" s="35"/>
      <c r="O6476" s="35"/>
    </row>
    <row r="6477" spans="9:15" x14ac:dyDescent="0.35">
      <c r="I6477" s="35"/>
      <c r="O6477" s="35"/>
    </row>
    <row r="6478" spans="9:15" x14ac:dyDescent="0.35">
      <c r="I6478" s="35"/>
      <c r="O6478" s="35"/>
    </row>
    <row r="6479" spans="9:15" x14ac:dyDescent="0.35">
      <c r="I6479" s="35"/>
      <c r="O6479" s="35"/>
    </row>
    <row r="6480" spans="9:15" x14ac:dyDescent="0.35">
      <c r="I6480" s="35"/>
      <c r="O6480" s="35"/>
    </row>
    <row r="6481" spans="9:15" x14ac:dyDescent="0.35">
      <c r="I6481" s="35"/>
      <c r="O6481" s="35"/>
    </row>
    <row r="6482" spans="9:15" x14ac:dyDescent="0.35">
      <c r="I6482" s="35"/>
      <c r="O6482" s="35"/>
    </row>
    <row r="6483" spans="9:15" x14ac:dyDescent="0.35">
      <c r="I6483" s="35"/>
      <c r="O6483" s="35"/>
    </row>
    <row r="6484" spans="9:15" x14ac:dyDescent="0.35">
      <c r="I6484" s="35"/>
      <c r="O6484" s="35"/>
    </row>
    <row r="6485" spans="9:15" x14ac:dyDescent="0.35">
      <c r="I6485" s="35"/>
      <c r="O6485" s="35"/>
    </row>
    <row r="6486" spans="9:15" x14ac:dyDescent="0.35">
      <c r="I6486" s="35"/>
      <c r="O6486" s="35"/>
    </row>
    <row r="6487" spans="9:15" x14ac:dyDescent="0.35">
      <c r="I6487" s="35"/>
      <c r="O6487" s="35"/>
    </row>
    <row r="6488" spans="9:15" x14ac:dyDescent="0.35">
      <c r="I6488" s="35"/>
      <c r="O6488" s="35"/>
    </row>
    <row r="6489" spans="9:15" x14ac:dyDescent="0.35">
      <c r="I6489" s="35"/>
      <c r="O6489" s="35"/>
    </row>
    <row r="6490" spans="9:15" x14ac:dyDescent="0.35">
      <c r="I6490" s="35"/>
      <c r="O6490" s="35"/>
    </row>
    <row r="6491" spans="9:15" x14ac:dyDescent="0.35">
      <c r="I6491" s="35"/>
      <c r="O6491" s="35"/>
    </row>
    <row r="6492" spans="9:15" x14ac:dyDescent="0.35">
      <c r="I6492" s="35"/>
      <c r="O6492" s="35"/>
    </row>
    <row r="6493" spans="9:15" x14ac:dyDescent="0.35">
      <c r="I6493" s="35"/>
      <c r="O6493" s="35"/>
    </row>
    <row r="6494" spans="9:15" x14ac:dyDescent="0.35">
      <c r="I6494" s="35"/>
      <c r="O6494" s="35"/>
    </row>
    <row r="6495" spans="9:15" x14ac:dyDescent="0.35">
      <c r="I6495" s="35"/>
      <c r="O6495" s="35"/>
    </row>
    <row r="6496" spans="9:15" x14ac:dyDescent="0.35">
      <c r="I6496" s="35"/>
      <c r="O6496" s="35"/>
    </row>
    <row r="6497" spans="9:15" x14ac:dyDescent="0.35">
      <c r="I6497" s="35"/>
      <c r="O6497" s="35"/>
    </row>
    <row r="6498" spans="9:15" x14ac:dyDescent="0.35">
      <c r="I6498" s="35"/>
      <c r="O6498" s="35"/>
    </row>
    <row r="6499" spans="9:15" x14ac:dyDescent="0.35">
      <c r="I6499" s="35"/>
      <c r="O6499" s="35"/>
    </row>
    <row r="6500" spans="9:15" x14ac:dyDescent="0.35">
      <c r="I6500" s="35"/>
      <c r="O6500" s="35"/>
    </row>
    <row r="6501" spans="9:15" x14ac:dyDescent="0.35">
      <c r="I6501" s="35"/>
      <c r="O6501" s="35"/>
    </row>
    <row r="6502" spans="9:15" x14ac:dyDescent="0.35">
      <c r="I6502" s="35"/>
      <c r="O6502" s="35"/>
    </row>
    <row r="6503" spans="9:15" x14ac:dyDescent="0.35">
      <c r="I6503" s="35"/>
      <c r="O6503" s="35"/>
    </row>
    <row r="6504" spans="9:15" x14ac:dyDescent="0.35">
      <c r="I6504" s="35"/>
      <c r="O6504" s="35"/>
    </row>
    <row r="6505" spans="9:15" x14ac:dyDescent="0.35">
      <c r="I6505" s="35"/>
      <c r="O6505" s="35"/>
    </row>
    <row r="6506" spans="9:15" x14ac:dyDescent="0.35">
      <c r="I6506" s="35"/>
      <c r="O6506" s="35"/>
    </row>
    <row r="6507" spans="9:15" x14ac:dyDescent="0.35">
      <c r="I6507" s="35"/>
      <c r="O6507" s="35"/>
    </row>
    <row r="6508" spans="9:15" x14ac:dyDescent="0.35">
      <c r="I6508" s="35"/>
      <c r="O6508" s="35"/>
    </row>
    <row r="6509" spans="9:15" x14ac:dyDescent="0.35">
      <c r="I6509" s="35"/>
      <c r="O6509" s="35"/>
    </row>
    <row r="6510" spans="9:15" x14ac:dyDescent="0.35">
      <c r="I6510" s="35"/>
      <c r="O6510" s="35"/>
    </row>
    <row r="6511" spans="9:15" x14ac:dyDescent="0.35">
      <c r="I6511" s="35"/>
      <c r="O6511" s="35"/>
    </row>
    <row r="6512" spans="9:15" x14ac:dyDescent="0.35">
      <c r="I6512" s="35"/>
      <c r="O6512" s="35"/>
    </row>
    <row r="6513" spans="9:15" x14ac:dyDescent="0.35">
      <c r="I6513" s="35"/>
      <c r="O6513" s="35"/>
    </row>
    <row r="6514" spans="9:15" x14ac:dyDescent="0.35">
      <c r="I6514" s="35"/>
      <c r="O6514" s="35"/>
    </row>
    <row r="6515" spans="9:15" x14ac:dyDescent="0.35">
      <c r="I6515" s="35"/>
      <c r="O6515" s="35"/>
    </row>
    <row r="6516" spans="9:15" x14ac:dyDescent="0.35">
      <c r="I6516" s="35"/>
      <c r="O6516" s="35"/>
    </row>
    <row r="6517" spans="9:15" x14ac:dyDescent="0.35">
      <c r="I6517" s="35"/>
      <c r="O6517" s="35"/>
    </row>
    <row r="6518" spans="9:15" x14ac:dyDescent="0.35">
      <c r="I6518" s="35"/>
      <c r="O6518" s="35"/>
    </row>
    <row r="6519" spans="9:15" x14ac:dyDescent="0.35">
      <c r="I6519" s="35"/>
      <c r="O6519" s="35"/>
    </row>
    <row r="6520" spans="9:15" x14ac:dyDescent="0.35">
      <c r="I6520" s="35"/>
      <c r="O6520" s="35"/>
    </row>
    <row r="6521" spans="9:15" x14ac:dyDescent="0.35">
      <c r="I6521" s="35"/>
      <c r="O6521" s="35"/>
    </row>
    <row r="6522" spans="9:15" x14ac:dyDescent="0.35">
      <c r="I6522" s="35"/>
      <c r="O6522" s="35"/>
    </row>
    <row r="6523" spans="9:15" x14ac:dyDescent="0.35">
      <c r="I6523" s="35"/>
      <c r="O6523" s="35"/>
    </row>
    <row r="6524" spans="9:15" x14ac:dyDescent="0.35">
      <c r="I6524" s="35"/>
      <c r="O6524" s="35"/>
    </row>
    <row r="6525" spans="9:15" x14ac:dyDescent="0.35">
      <c r="I6525" s="35"/>
      <c r="O6525" s="35"/>
    </row>
    <row r="6526" spans="9:15" x14ac:dyDescent="0.35">
      <c r="I6526" s="35"/>
      <c r="O6526" s="35"/>
    </row>
    <row r="6527" spans="9:15" x14ac:dyDescent="0.35">
      <c r="I6527" s="35"/>
      <c r="O6527" s="35"/>
    </row>
    <row r="6528" spans="9:15" x14ac:dyDescent="0.35">
      <c r="I6528" s="35"/>
      <c r="O6528" s="35"/>
    </row>
    <row r="6529" spans="9:15" x14ac:dyDescent="0.35">
      <c r="I6529" s="35"/>
      <c r="O6529" s="35"/>
    </row>
    <row r="6530" spans="9:15" x14ac:dyDescent="0.35">
      <c r="I6530" s="35"/>
      <c r="O6530" s="35"/>
    </row>
    <row r="6531" spans="9:15" x14ac:dyDescent="0.35">
      <c r="I6531" s="35"/>
      <c r="O6531" s="35"/>
    </row>
    <row r="6532" spans="9:15" x14ac:dyDescent="0.35">
      <c r="I6532" s="35"/>
      <c r="O6532" s="35"/>
    </row>
    <row r="6533" spans="9:15" x14ac:dyDescent="0.35">
      <c r="I6533" s="35"/>
      <c r="O6533" s="35"/>
    </row>
    <row r="6534" spans="9:15" x14ac:dyDescent="0.35">
      <c r="I6534" s="35"/>
      <c r="O6534" s="35"/>
    </row>
    <row r="6535" spans="9:15" x14ac:dyDescent="0.35">
      <c r="I6535" s="35"/>
      <c r="O6535" s="35"/>
    </row>
    <row r="6536" spans="9:15" x14ac:dyDescent="0.35">
      <c r="I6536" s="35"/>
      <c r="O6536" s="35"/>
    </row>
    <row r="6537" spans="9:15" x14ac:dyDescent="0.35">
      <c r="I6537" s="35"/>
      <c r="O6537" s="35"/>
    </row>
    <row r="6538" spans="9:15" x14ac:dyDescent="0.35">
      <c r="I6538" s="35"/>
      <c r="O6538" s="35"/>
    </row>
    <row r="6539" spans="9:15" x14ac:dyDescent="0.35">
      <c r="I6539" s="35"/>
      <c r="O6539" s="35"/>
    </row>
    <row r="6540" spans="9:15" x14ac:dyDescent="0.35">
      <c r="I6540" s="35"/>
      <c r="O6540" s="35"/>
    </row>
    <row r="6541" spans="9:15" x14ac:dyDescent="0.35">
      <c r="I6541" s="35"/>
      <c r="O6541" s="35"/>
    </row>
    <row r="6542" spans="9:15" x14ac:dyDescent="0.35">
      <c r="I6542" s="35"/>
      <c r="O6542" s="35"/>
    </row>
    <row r="6543" spans="9:15" x14ac:dyDescent="0.35">
      <c r="I6543" s="35"/>
      <c r="O6543" s="35"/>
    </row>
    <row r="6544" spans="9:15" x14ac:dyDescent="0.35">
      <c r="I6544" s="35"/>
      <c r="O6544" s="35"/>
    </row>
    <row r="6545" spans="9:15" x14ac:dyDescent="0.35">
      <c r="I6545" s="35"/>
      <c r="O6545" s="35"/>
    </row>
    <row r="6546" spans="9:15" x14ac:dyDescent="0.35">
      <c r="I6546" s="35"/>
      <c r="O6546" s="35"/>
    </row>
    <row r="6547" spans="9:15" x14ac:dyDescent="0.35">
      <c r="I6547" s="35"/>
      <c r="O6547" s="35"/>
    </row>
    <row r="6548" spans="9:15" x14ac:dyDescent="0.35">
      <c r="I6548" s="35"/>
      <c r="O6548" s="35"/>
    </row>
    <row r="6549" spans="9:15" x14ac:dyDescent="0.35">
      <c r="I6549" s="35"/>
      <c r="O6549" s="35"/>
    </row>
    <row r="6550" spans="9:15" x14ac:dyDescent="0.35">
      <c r="I6550" s="35"/>
      <c r="O6550" s="35"/>
    </row>
    <row r="6551" spans="9:15" x14ac:dyDescent="0.35">
      <c r="I6551" s="35"/>
      <c r="O6551" s="35"/>
    </row>
    <row r="6552" spans="9:15" x14ac:dyDescent="0.35">
      <c r="I6552" s="35"/>
      <c r="O6552" s="35"/>
    </row>
    <row r="6553" spans="9:15" x14ac:dyDescent="0.35">
      <c r="I6553" s="35"/>
      <c r="O6553" s="35"/>
    </row>
    <row r="6554" spans="9:15" x14ac:dyDescent="0.35">
      <c r="I6554" s="35"/>
      <c r="O6554" s="35"/>
    </row>
    <row r="6555" spans="9:15" x14ac:dyDescent="0.35">
      <c r="I6555" s="35"/>
      <c r="O6555" s="35"/>
    </row>
    <row r="6556" spans="9:15" x14ac:dyDescent="0.35">
      <c r="I6556" s="35"/>
      <c r="O6556" s="35"/>
    </row>
    <row r="6557" spans="9:15" x14ac:dyDescent="0.35">
      <c r="I6557" s="35"/>
      <c r="O6557" s="35"/>
    </row>
    <row r="6558" spans="9:15" x14ac:dyDescent="0.35">
      <c r="I6558" s="35"/>
      <c r="O6558" s="35"/>
    </row>
    <row r="6559" spans="9:15" x14ac:dyDescent="0.35">
      <c r="I6559" s="35"/>
      <c r="O6559" s="35"/>
    </row>
    <row r="6560" spans="9:15" x14ac:dyDescent="0.35">
      <c r="I6560" s="35"/>
      <c r="O6560" s="35"/>
    </row>
    <row r="6561" spans="9:15" x14ac:dyDescent="0.35">
      <c r="I6561" s="35"/>
      <c r="O6561" s="35"/>
    </row>
    <row r="6562" spans="9:15" x14ac:dyDescent="0.35">
      <c r="I6562" s="35"/>
      <c r="O6562" s="35"/>
    </row>
    <row r="6563" spans="9:15" x14ac:dyDescent="0.35">
      <c r="I6563" s="35"/>
      <c r="O6563" s="35"/>
    </row>
    <row r="6564" spans="9:15" x14ac:dyDescent="0.35">
      <c r="I6564" s="35"/>
      <c r="O6564" s="35"/>
    </row>
    <row r="6565" spans="9:15" x14ac:dyDescent="0.35">
      <c r="I6565" s="35"/>
      <c r="O6565" s="35"/>
    </row>
    <row r="6566" spans="9:15" x14ac:dyDescent="0.35">
      <c r="I6566" s="35"/>
      <c r="O6566" s="35"/>
    </row>
    <row r="6567" spans="9:15" x14ac:dyDescent="0.35">
      <c r="I6567" s="35"/>
      <c r="O6567" s="35"/>
    </row>
    <row r="6568" spans="9:15" x14ac:dyDescent="0.35">
      <c r="I6568" s="35"/>
      <c r="O6568" s="35"/>
    </row>
    <row r="6569" spans="9:15" x14ac:dyDescent="0.35">
      <c r="I6569" s="35"/>
      <c r="O6569" s="35"/>
    </row>
    <row r="6570" spans="9:15" x14ac:dyDescent="0.35">
      <c r="I6570" s="35"/>
      <c r="O6570" s="35"/>
    </row>
    <row r="6571" spans="9:15" x14ac:dyDescent="0.35">
      <c r="I6571" s="35"/>
      <c r="O6571" s="35"/>
    </row>
    <row r="6572" spans="9:15" x14ac:dyDescent="0.35">
      <c r="I6572" s="35"/>
      <c r="O6572" s="35"/>
    </row>
    <row r="6573" spans="9:15" x14ac:dyDescent="0.35">
      <c r="I6573" s="35"/>
      <c r="O6573" s="35"/>
    </row>
    <row r="6574" spans="9:15" x14ac:dyDescent="0.35">
      <c r="I6574" s="35"/>
      <c r="O6574" s="35"/>
    </row>
    <row r="6575" spans="9:15" x14ac:dyDescent="0.35">
      <c r="I6575" s="35"/>
      <c r="O6575" s="35"/>
    </row>
    <row r="6576" spans="9:15" x14ac:dyDescent="0.35">
      <c r="I6576" s="35"/>
      <c r="O6576" s="35"/>
    </row>
    <row r="6577" spans="9:15" x14ac:dyDescent="0.35">
      <c r="I6577" s="35"/>
      <c r="O6577" s="35"/>
    </row>
    <row r="6578" spans="9:15" x14ac:dyDescent="0.35">
      <c r="I6578" s="35"/>
      <c r="O6578" s="35"/>
    </row>
    <row r="6579" spans="9:15" x14ac:dyDescent="0.35">
      <c r="I6579" s="35"/>
      <c r="O6579" s="35"/>
    </row>
    <row r="6580" spans="9:15" x14ac:dyDescent="0.35">
      <c r="I6580" s="35"/>
      <c r="O6580" s="35"/>
    </row>
    <row r="6581" spans="9:15" x14ac:dyDescent="0.35">
      <c r="I6581" s="35"/>
      <c r="O6581" s="35"/>
    </row>
    <row r="6582" spans="9:15" x14ac:dyDescent="0.35">
      <c r="I6582" s="35"/>
      <c r="O6582" s="35"/>
    </row>
    <row r="6583" spans="9:15" x14ac:dyDescent="0.35">
      <c r="I6583" s="35"/>
      <c r="O6583" s="35"/>
    </row>
    <row r="6584" spans="9:15" x14ac:dyDescent="0.35">
      <c r="I6584" s="35"/>
      <c r="O6584" s="35"/>
    </row>
    <row r="6585" spans="9:15" x14ac:dyDescent="0.35">
      <c r="I6585" s="35"/>
      <c r="O6585" s="35"/>
    </row>
    <row r="6586" spans="9:15" x14ac:dyDescent="0.35">
      <c r="I6586" s="35"/>
      <c r="O6586" s="35"/>
    </row>
    <row r="6587" spans="9:15" x14ac:dyDescent="0.35">
      <c r="I6587" s="35"/>
      <c r="O6587" s="35"/>
    </row>
    <row r="6588" spans="9:15" x14ac:dyDescent="0.35">
      <c r="I6588" s="35"/>
      <c r="O6588" s="35"/>
    </row>
    <row r="6589" spans="9:15" x14ac:dyDescent="0.35">
      <c r="I6589" s="35"/>
      <c r="O6589" s="35"/>
    </row>
    <row r="6590" spans="9:15" x14ac:dyDescent="0.35">
      <c r="I6590" s="35"/>
      <c r="O6590" s="35"/>
    </row>
    <row r="6591" spans="9:15" x14ac:dyDescent="0.35">
      <c r="I6591" s="35"/>
      <c r="O6591" s="35"/>
    </row>
    <row r="6592" spans="9:15" x14ac:dyDescent="0.35">
      <c r="I6592" s="35"/>
      <c r="O6592" s="35"/>
    </row>
    <row r="6593" spans="9:15" x14ac:dyDescent="0.35">
      <c r="I6593" s="35"/>
      <c r="O6593" s="35"/>
    </row>
    <row r="6594" spans="9:15" x14ac:dyDescent="0.35">
      <c r="I6594" s="35"/>
      <c r="O6594" s="35"/>
    </row>
    <row r="6595" spans="9:15" x14ac:dyDescent="0.35">
      <c r="I6595" s="35"/>
      <c r="O6595" s="35"/>
    </row>
    <row r="6596" spans="9:15" x14ac:dyDescent="0.35">
      <c r="I6596" s="35"/>
      <c r="O6596" s="35"/>
    </row>
    <row r="6597" spans="9:15" x14ac:dyDescent="0.35">
      <c r="I6597" s="35"/>
      <c r="O6597" s="35"/>
    </row>
    <row r="6598" spans="9:15" x14ac:dyDescent="0.35">
      <c r="I6598" s="35"/>
      <c r="O6598" s="35"/>
    </row>
    <row r="6599" spans="9:15" x14ac:dyDescent="0.35">
      <c r="I6599" s="35"/>
      <c r="O6599" s="35"/>
    </row>
    <row r="6600" spans="9:15" x14ac:dyDescent="0.35">
      <c r="I6600" s="35"/>
      <c r="O6600" s="35"/>
    </row>
    <row r="6601" spans="9:15" x14ac:dyDescent="0.35">
      <c r="I6601" s="35"/>
      <c r="O6601" s="35"/>
    </row>
    <row r="6602" spans="9:15" x14ac:dyDescent="0.35">
      <c r="I6602" s="35"/>
      <c r="O6602" s="35"/>
    </row>
    <row r="6603" spans="9:15" x14ac:dyDescent="0.35">
      <c r="I6603" s="35"/>
      <c r="O6603" s="35"/>
    </row>
    <row r="6604" spans="9:15" x14ac:dyDescent="0.35">
      <c r="I6604" s="35"/>
      <c r="O6604" s="35"/>
    </row>
    <row r="6605" spans="9:15" x14ac:dyDescent="0.35">
      <c r="I6605" s="35"/>
      <c r="O6605" s="35"/>
    </row>
    <row r="6606" spans="9:15" x14ac:dyDescent="0.35">
      <c r="I6606" s="35"/>
      <c r="O6606" s="35"/>
    </row>
    <row r="6607" spans="9:15" x14ac:dyDescent="0.35">
      <c r="I6607" s="35"/>
      <c r="O6607" s="35"/>
    </row>
    <row r="6608" spans="9:15" x14ac:dyDescent="0.35">
      <c r="I6608" s="35"/>
      <c r="O6608" s="35"/>
    </row>
    <row r="6609" spans="9:15" x14ac:dyDescent="0.35">
      <c r="I6609" s="35"/>
      <c r="O6609" s="35"/>
    </row>
    <row r="6610" spans="9:15" x14ac:dyDescent="0.35">
      <c r="I6610" s="35"/>
      <c r="O6610" s="35"/>
    </row>
    <row r="6611" spans="9:15" x14ac:dyDescent="0.35">
      <c r="I6611" s="35"/>
      <c r="O6611" s="35"/>
    </row>
    <row r="6612" spans="9:15" x14ac:dyDescent="0.35">
      <c r="I6612" s="35"/>
      <c r="O6612" s="35"/>
    </row>
    <row r="6613" spans="9:15" x14ac:dyDescent="0.35">
      <c r="I6613" s="35"/>
      <c r="O6613" s="35"/>
    </row>
    <row r="6614" spans="9:15" x14ac:dyDescent="0.35">
      <c r="I6614" s="35"/>
      <c r="O6614" s="35"/>
    </row>
    <row r="6615" spans="9:15" x14ac:dyDescent="0.35">
      <c r="I6615" s="35"/>
      <c r="O6615" s="35"/>
    </row>
    <row r="6616" spans="9:15" x14ac:dyDescent="0.35">
      <c r="I6616" s="35"/>
      <c r="O6616" s="35"/>
    </row>
    <row r="6617" spans="9:15" x14ac:dyDescent="0.35">
      <c r="I6617" s="35"/>
      <c r="O6617" s="35"/>
    </row>
    <row r="6618" spans="9:15" x14ac:dyDescent="0.35">
      <c r="I6618" s="35"/>
      <c r="O6618" s="35"/>
    </row>
    <row r="6619" spans="9:15" x14ac:dyDescent="0.35">
      <c r="I6619" s="35"/>
      <c r="O6619" s="35"/>
    </row>
    <row r="6620" spans="9:15" x14ac:dyDescent="0.35">
      <c r="I6620" s="35"/>
      <c r="O6620" s="35"/>
    </row>
    <row r="6621" spans="9:15" x14ac:dyDescent="0.35">
      <c r="I6621" s="35"/>
      <c r="O6621" s="35"/>
    </row>
    <row r="6622" spans="9:15" x14ac:dyDescent="0.35">
      <c r="I6622" s="35"/>
      <c r="O6622" s="35"/>
    </row>
    <row r="6623" spans="9:15" x14ac:dyDescent="0.35">
      <c r="I6623" s="35"/>
      <c r="O6623" s="35"/>
    </row>
    <row r="6624" spans="9:15" x14ac:dyDescent="0.35">
      <c r="I6624" s="35"/>
      <c r="O6624" s="35"/>
    </row>
    <row r="6625" spans="9:15" x14ac:dyDescent="0.35">
      <c r="I6625" s="35"/>
      <c r="O6625" s="35"/>
    </row>
    <row r="6626" spans="9:15" x14ac:dyDescent="0.35">
      <c r="I6626" s="35"/>
      <c r="O6626" s="35"/>
    </row>
    <row r="6627" spans="9:15" x14ac:dyDescent="0.35">
      <c r="I6627" s="35"/>
      <c r="O6627" s="35"/>
    </row>
    <row r="6628" spans="9:15" x14ac:dyDescent="0.35">
      <c r="I6628" s="35"/>
      <c r="O6628" s="35"/>
    </row>
    <row r="6629" spans="9:15" x14ac:dyDescent="0.35">
      <c r="I6629" s="35"/>
      <c r="O6629" s="35"/>
    </row>
    <row r="6630" spans="9:15" x14ac:dyDescent="0.35">
      <c r="I6630" s="35"/>
      <c r="O6630" s="35"/>
    </row>
    <row r="6631" spans="9:15" x14ac:dyDescent="0.35">
      <c r="I6631" s="35"/>
      <c r="O6631" s="35"/>
    </row>
    <row r="6632" spans="9:15" x14ac:dyDescent="0.35">
      <c r="I6632" s="35"/>
      <c r="O6632" s="35"/>
    </row>
    <row r="6633" spans="9:15" x14ac:dyDescent="0.35">
      <c r="I6633" s="35"/>
      <c r="O6633" s="35"/>
    </row>
    <row r="6634" spans="9:15" x14ac:dyDescent="0.35">
      <c r="I6634" s="35"/>
      <c r="O6634" s="35"/>
    </row>
    <row r="6635" spans="9:15" x14ac:dyDescent="0.35">
      <c r="I6635" s="35"/>
      <c r="O6635" s="35"/>
    </row>
    <row r="6636" spans="9:15" x14ac:dyDescent="0.35">
      <c r="I6636" s="35"/>
      <c r="O6636" s="35"/>
    </row>
    <row r="6637" spans="9:15" x14ac:dyDescent="0.35">
      <c r="I6637" s="35"/>
      <c r="O6637" s="35"/>
    </row>
    <row r="6638" spans="9:15" x14ac:dyDescent="0.35">
      <c r="I6638" s="35"/>
      <c r="O6638" s="35"/>
    </row>
    <row r="6639" spans="9:15" x14ac:dyDescent="0.35">
      <c r="I6639" s="35"/>
      <c r="O6639" s="35"/>
    </row>
    <row r="6640" spans="9:15" x14ac:dyDescent="0.35">
      <c r="I6640" s="35"/>
      <c r="O6640" s="35"/>
    </row>
    <row r="6641" spans="9:15" x14ac:dyDescent="0.35">
      <c r="I6641" s="35"/>
      <c r="O6641" s="35"/>
    </row>
    <row r="6642" spans="9:15" x14ac:dyDescent="0.35">
      <c r="I6642" s="35"/>
      <c r="O6642" s="35"/>
    </row>
    <row r="6643" spans="9:15" x14ac:dyDescent="0.35">
      <c r="I6643" s="35"/>
      <c r="O6643" s="35"/>
    </row>
    <row r="6644" spans="9:15" x14ac:dyDescent="0.35">
      <c r="I6644" s="35"/>
      <c r="O6644" s="35"/>
    </row>
    <row r="6645" spans="9:15" x14ac:dyDescent="0.35">
      <c r="I6645" s="35"/>
      <c r="O6645" s="35"/>
    </row>
    <row r="6646" spans="9:15" x14ac:dyDescent="0.35">
      <c r="I6646" s="35"/>
      <c r="O6646" s="35"/>
    </row>
    <row r="6647" spans="9:15" x14ac:dyDescent="0.35">
      <c r="I6647" s="35"/>
      <c r="O6647" s="35"/>
    </row>
    <row r="6648" spans="9:15" x14ac:dyDescent="0.35">
      <c r="I6648" s="35"/>
      <c r="O6648" s="35"/>
    </row>
    <row r="6649" spans="9:15" x14ac:dyDescent="0.35">
      <c r="I6649" s="35"/>
      <c r="O6649" s="35"/>
    </row>
    <row r="6650" spans="9:15" x14ac:dyDescent="0.35">
      <c r="I6650" s="35"/>
      <c r="O6650" s="35"/>
    </row>
    <row r="6651" spans="9:15" x14ac:dyDescent="0.35">
      <c r="I6651" s="35"/>
      <c r="O6651" s="35"/>
    </row>
    <row r="6652" spans="9:15" x14ac:dyDescent="0.35">
      <c r="I6652" s="35"/>
      <c r="O6652" s="35"/>
    </row>
    <row r="6653" spans="9:15" x14ac:dyDescent="0.35">
      <c r="I6653" s="35"/>
      <c r="O6653" s="35"/>
    </row>
    <row r="6654" spans="9:15" x14ac:dyDescent="0.35">
      <c r="I6654" s="35"/>
      <c r="O6654" s="35"/>
    </row>
    <row r="6655" spans="9:15" x14ac:dyDescent="0.35">
      <c r="I6655" s="35"/>
      <c r="O6655" s="35"/>
    </row>
    <row r="6656" spans="9:15" x14ac:dyDescent="0.35">
      <c r="I6656" s="35"/>
      <c r="O6656" s="35"/>
    </row>
    <row r="6657" spans="9:15" x14ac:dyDescent="0.35">
      <c r="I6657" s="35"/>
      <c r="O6657" s="35"/>
    </row>
    <row r="6658" spans="9:15" x14ac:dyDescent="0.35">
      <c r="I6658" s="35"/>
      <c r="O6658" s="35"/>
    </row>
    <row r="6659" spans="9:15" x14ac:dyDescent="0.35">
      <c r="I6659" s="35"/>
      <c r="O6659" s="35"/>
    </row>
    <row r="6660" spans="9:15" x14ac:dyDescent="0.35">
      <c r="I6660" s="35"/>
      <c r="O6660" s="35"/>
    </row>
    <row r="6661" spans="9:15" x14ac:dyDescent="0.35">
      <c r="I6661" s="35"/>
      <c r="O6661" s="35"/>
    </row>
    <row r="6662" spans="9:15" x14ac:dyDescent="0.35">
      <c r="I6662" s="35"/>
      <c r="O6662" s="35"/>
    </row>
    <row r="6663" spans="9:15" x14ac:dyDescent="0.35">
      <c r="I6663" s="35"/>
      <c r="O6663" s="35"/>
    </row>
    <row r="6664" spans="9:15" x14ac:dyDescent="0.35">
      <c r="I6664" s="35"/>
      <c r="O6664" s="35"/>
    </row>
    <row r="6665" spans="9:15" x14ac:dyDescent="0.35">
      <c r="I6665" s="35"/>
      <c r="O6665" s="35"/>
    </row>
    <row r="6666" spans="9:15" x14ac:dyDescent="0.35">
      <c r="I6666" s="35"/>
      <c r="O6666" s="35"/>
    </row>
    <row r="6667" spans="9:15" x14ac:dyDescent="0.35">
      <c r="I6667" s="35"/>
      <c r="O6667" s="35"/>
    </row>
    <row r="6668" spans="9:15" x14ac:dyDescent="0.35">
      <c r="I6668" s="35"/>
      <c r="O6668" s="35"/>
    </row>
    <row r="6669" spans="9:15" x14ac:dyDescent="0.35">
      <c r="I6669" s="35"/>
      <c r="O6669" s="35"/>
    </row>
    <row r="6670" spans="9:15" x14ac:dyDescent="0.35">
      <c r="I6670" s="35"/>
      <c r="O6670" s="35"/>
    </row>
    <row r="6671" spans="9:15" x14ac:dyDescent="0.35">
      <c r="I6671" s="35"/>
      <c r="O6671" s="35"/>
    </row>
    <row r="6672" spans="9:15" x14ac:dyDescent="0.35">
      <c r="I6672" s="35"/>
      <c r="O6672" s="35"/>
    </row>
    <row r="6673" spans="9:15" x14ac:dyDescent="0.35">
      <c r="I6673" s="35"/>
      <c r="O6673" s="35"/>
    </row>
    <row r="6674" spans="9:15" x14ac:dyDescent="0.35">
      <c r="I6674" s="35"/>
      <c r="O6674" s="35"/>
    </row>
    <row r="6675" spans="9:15" x14ac:dyDescent="0.35">
      <c r="I6675" s="35"/>
      <c r="O6675" s="35"/>
    </row>
    <row r="6676" spans="9:15" x14ac:dyDescent="0.35">
      <c r="I6676" s="35"/>
      <c r="O6676" s="35"/>
    </row>
    <row r="6677" spans="9:15" x14ac:dyDescent="0.35">
      <c r="I6677" s="35"/>
      <c r="O6677" s="35"/>
    </row>
    <row r="6678" spans="9:15" x14ac:dyDescent="0.35">
      <c r="I6678" s="35"/>
      <c r="O6678" s="35"/>
    </row>
    <row r="6679" spans="9:15" x14ac:dyDescent="0.35">
      <c r="I6679" s="35"/>
      <c r="O6679" s="35"/>
    </row>
    <row r="6680" spans="9:15" x14ac:dyDescent="0.35">
      <c r="I6680" s="35"/>
      <c r="O6680" s="35"/>
    </row>
    <row r="6681" spans="9:15" x14ac:dyDescent="0.35">
      <c r="I6681" s="35"/>
      <c r="O6681" s="35"/>
    </row>
    <row r="6682" spans="9:15" x14ac:dyDescent="0.35">
      <c r="I6682" s="35"/>
      <c r="O6682" s="35"/>
    </row>
    <row r="6683" spans="9:15" x14ac:dyDescent="0.35">
      <c r="I6683" s="35"/>
      <c r="O6683" s="35"/>
    </row>
    <row r="6684" spans="9:15" x14ac:dyDescent="0.35">
      <c r="I6684" s="35"/>
      <c r="O6684" s="35"/>
    </row>
    <row r="6685" spans="9:15" x14ac:dyDescent="0.35">
      <c r="I6685" s="35"/>
      <c r="O6685" s="35"/>
    </row>
    <row r="6686" spans="9:15" x14ac:dyDescent="0.35">
      <c r="I6686" s="35"/>
      <c r="O6686" s="35"/>
    </row>
    <row r="6687" spans="9:15" x14ac:dyDescent="0.35">
      <c r="I6687" s="35"/>
      <c r="O6687" s="35"/>
    </row>
    <row r="6688" spans="9:15" x14ac:dyDescent="0.35">
      <c r="I6688" s="35"/>
      <c r="O6688" s="35"/>
    </row>
    <row r="6689" spans="9:15" x14ac:dyDescent="0.35">
      <c r="I6689" s="35"/>
      <c r="O6689" s="35"/>
    </row>
    <row r="6690" spans="9:15" x14ac:dyDescent="0.35">
      <c r="I6690" s="35"/>
      <c r="O6690" s="35"/>
    </row>
    <row r="6691" spans="9:15" x14ac:dyDescent="0.35">
      <c r="I6691" s="35"/>
      <c r="O6691" s="35"/>
    </row>
    <row r="6692" spans="9:15" x14ac:dyDescent="0.35">
      <c r="I6692" s="35"/>
      <c r="O6692" s="35"/>
    </row>
    <row r="6693" spans="9:15" x14ac:dyDescent="0.35">
      <c r="I6693" s="35"/>
      <c r="O6693" s="35"/>
    </row>
    <row r="6694" spans="9:15" x14ac:dyDescent="0.35">
      <c r="I6694" s="35"/>
      <c r="O6694" s="35"/>
    </row>
    <row r="6695" spans="9:15" x14ac:dyDescent="0.35">
      <c r="I6695" s="35"/>
      <c r="O6695" s="35"/>
    </row>
    <row r="6696" spans="9:15" x14ac:dyDescent="0.35">
      <c r="I6696" s="35"/>
      <c r="O6696" s="35"/>
    </row>
    <row r="6697" spans="9:15" x14ac:dyDescent="0.35">
      <c r="I6697" s="35"/>
      <c r="O6697" s="35"/>
    </row>
    <row r="6698" spans="9:15" x14ac:dyDescent="0.35">
      <c r="I6698" s="35"/>
      <c r="O6698" s="35"/>
    </row>
    <row r="6699" spans="9:15" x14ac:dyDescent="0.35">
      <c r="I6699" s="35"/>
      <c r="O6699" s="35"/>
    </row>
    <row r="6700" spans="9:15" x14ac:dyDescent="0.35">
      <c r="I6700" s="35"/>
      <c r="O6700" s="35"/>
    </row>
    <row r="6701" spans="9:15" x14ac:dyDescent="0.35">
      <c r="I6701" s="35"/>
      <c r="O6701" s="35"/>
    </row>
    <row r="6702" spans="9:15" x14ac:dyDescent="0.35">
      <c r="I6702" s="35"/>
      <c r="O6702" s="35"/>
    </row>
    <row r="6703" spans="9:15" x14ac:dyDescent="0.35">
      <c r="I6703" s="35"/>
      <c r="O6703" s="35"/>
    </row>
    <row r="6704" spans="9:15" x14ac:dyDescent="0.35">
      <c r="I6704" s="35"/>
      <c r="O6704" s="35"/>
    </row>
    <row r="6705" spans="9:15" x14ac:dyDescent="0.35">
      <c r="I6705" s="35"/>
      <c r="O6705" s="35"/>
    </row>
    <row r="6706" spans="9:15" x14ac:dyDescent="0.35">
      <c r="I6706" s="35"/>
      <c r="O6706" s="35"/>
    </row>
    <row r="6707" spans="9:15" x14ac:dyDescent="0.35">
      <c r="I6707" s="35"/>
      <c r="O6707" s="35"/>
    </row>
    <row r="6708" spans="9:15" x14ac:dyDescent="0.35">
      <c r="I6708" s="35"/>
      <c r="O6708" s="35"/>
    </row>
    <row r="6709" spans="9:15" x14ac:dyDescent="0.35">
      <c r="I6709" s="35"/>
      <c r="O6709" s="35"/>
    </row>
    <row r="6710" spans="9:15" x14ac:dyDescent="0.35">
      <c r="I6710" s="35"/>
      <c r="O6710" s="35"/>
    </row>
    <row r="6711" spans="9:15" x14ac:dyDescent="0.35">
      <c r="I6711" s="35"/>
      <c r="O6711" s="35"/>
    </row>
    <row r="6712" spans="9:15" x14ac:dyDescent="0.35">
      <c r="I6712" s="35"/>
      <c r="O6712" s="35"/>
    </row>
    <row r="6713" spans="9:15" x14ac:dyDescent="0.35">
      <c r="I6713" s="35"/>
      <c r="O6713" s="35"/>
    </row>
    <row r="6714" spans="9:15" x14ac:dyDescent="0.35">
      <c r="I6714" s="35"/>
      <c r="O6714" s="35"/>
    </row>
    <row r="6715" spans="9:15" x14ac:dyDescent="0.35">
      <c r="I6715" s="35"/>
      <c r="O6715" s="35"/>
    </row>
    <row r="6716" spans="9:15" x14ac:dyDescent="0.35">
      <c r="I6716" s="35"/>
      <c r="O6716" s="35"/>
    </row>
    <row r="6717" spans="9:15" x14ac:dyDescent="0.35">
      <c r="I6717" s="35"/>
      <c r="O6717" s="35"/>
    </row>
    <row r="6718" spans="9:15" x14ac:dyDescent="0.35">
      <c r="I6718" s="35"/>
      <c r="O6718" s="35"/>
    </row>
    <row r="6719" spans="9:15" x14ac:dyDescent="0.35">
      <c r="I6719" s="35"/>
      <c r="O6719" s="35"/>
    </row>
    <row r="6720" spans="9:15" x14ac:dyDescent="0.35">
      <c r="I6720" s="35"/>
      <c r="O6720" s="35"/>
    </row>
    <row r="6721" spans="9:15" x14ac:dyDescent="0.35">
      <c r="I6721" s="35"/>
      <c r="O6721" s="35"/>
    </row>
    <row r="6722" spans="9:15" x14ac:dyDescent="0.35">
      <c r="I6722" s="35"/>
      <c r="O6722" s="35"/>
    </row>
    <row r="6723" spans="9:15" x14ac:dyDescent="0.35">
      <c r="I6723" s="35"/>
      <c r="O6723" s="35"/>
    </row>
    <row r="6724" spans="9:15" x14ac:dyDescent="0.35">
      <c r="I6724" s="35"/>
      <c r="O6724" s="35"/>
    </row>
    <row r="6725" spans="9:15" x14ac:dyDescent="0.35">
      <c r="I6725" s="35"/>
      <c r="O6725" s="35"/>
    </row>
    <row r="6726" spans="9:15" x14ac:dyDescent="0.35">
      <c r="I6726" s="35"/>
      <c r="O6726" s="35"/>
    </row>
    <row r="6727" spans="9:15" x14ac:dyDescent="0.35">
      <c r="I6727" s="35"/>
      <c r="O6727" s="35"/>
    </row>
    <row r="6728" spans="9:15" x14ac:dyDescent="0.35">
      <c r="I6728" s="35"/>
      <c r="O6728" s="35"/>
    </row>
    <row r="6729" spans="9:15" x14ac:dyDescent="0.35">
      <c r="I6729" s="35"/>
      <c r="O6729" s="35"/>
    </row>
    <row r="6730" spans="9:15" x14ac:dyDescent="0.35">
      <c r="I6730" s="35"/>
      <c r="O6730" s="35"/>
    </row>
    <row r="6731" spans="9:15" x14ac:dyDescent="0.35">
      <c r="I6731" s="35"/>
      <c r="O6731" s="35"/>
    </row>
    <row r="6732" spans="9:15" x14ac:dyDescent="0.35">
      <c r="I6732" s="35"/>
      <c r="O6732" s="35"/>
    </row>
    <row r="6733" spans="9:15" x14ac:dyDescent="0.35">
      <c r="I6733" s="35"/>
      <c r="O6733" s="35"/>
    </row>
    <row r="6734" spans="9:15" x14ac:dyDescent="0.35">
      <c r="I6734" s="35"/>
      <c r="O6734" s="35"/>
    </row>
    <row r="6735" spans="9:15" x14ac:dyDescent="0.35">
      <c r="I6735" s="35"/>
      <c r="O6735" s="35"/>
    </row>
    <row r="6736" spans="9:15" x14ac:dyDescent="0.35">
      <c r="I6736" s="35"/>
      <c r="O6736" s="35"/>
    </row>
    <row r="6737" spans="9:15" x14ac:dyDescent="0.35">
      <c r="I6737" s="35"/>
      <c r="O6737" s="35"/>
    </row>
    <row r="6738" spans="9:15" x14ac:dyDescent="0.35">
      <c r="I6738" s="35"/>
      <c r="O6738" s="35"/>
    </row>
    <row r="6739" spans="9:15" x14ac:dyDescent="0.35">
      <c r="I6739" s="35"/>
      <c r="O6739" s="35"/>
    </row>
    <row r="6740" spans="9:15" x14ac:dyDescent="0.35">
      <c r="I6740" s="35"/>
      <c r="O6740" s="35"/>
    </row>
    <row r="6741" spans="9:15" x14ac:dyDescent="0.35">
      <c r="I6741" s="35"/>
      <c r="O6741" s="35"/>
    </row>
    <row r="6742" spans="9:15" x14ac:dyDescent="0.35">
      <c r="I6742" s="35"/>
      <c r="O6742" s="35"/>
    </row>
    <row r="6743" spans="9:15" x14ac:dyDescent="0.35">
      <c r="I6743" s="35"/>
      <c r="O6743" s="35"/>
    </row>
    <row r="6744" spans="9:15" x14ac:dyDescent="0.35">
      <c r="I6744" s="35"/>
      <c r="O6744" s="35"/>
    </row>
    <row r="6745" spans="9:15" x14ac:dyDescent="0.35">
      <c r="I6745" s="35"/>
      <c r="O6745" s="35"/>
    </row>
    <row r="6746" spans="9:15" x14ac:dyDescent="0.35">
      <c r="I6746" s="35"/>
      <c r="O6746" s="35"/>
    </row>
    <row r="6747" spans="9:15" x14ac:dyDescent="0.35">
      <c r="I6747" s="35"/>
      <c r="O6747" s="35"/>
    </row>
    <row r="6748" spans="9:15" x14ac:dyDescent="0.35">
      <c r="I6748" s="35"/>
      <c r="O6748" s="35"/>
    </row>
    <row r="6749" spans="9:15" x14ac:dyDescent="0.35">
      <c r="I6749" s="35"/>
      <c r="O6749" s="35"/>
    </row>
    <row r="6750" spans="9:15" x14ac:dyDescent="0.35">
      <c r="I6750" s="35"/>
      <c r="O6750" s="35"/>
    </row>
    <row r="6751" spans="9:15" x14ac:dyDescent="0.35">
      <c r="I6751" s="35"/>
      <c r="O6751" s="35"/>
    </row>
    <row r="6752" spans="9:15" x14ac:dyDescent="0.35">
      <c r="I6752" s="35"/>
      <c r="O6752" s="35"/>
    </row>
    <row r="6753" spans="9:15" x14ac:dyDescent="0.35">
      <c r="I6753" s="35"/>
      <c r="O6753" s="35"/>
    </row>
    <row r="6754" spans="9:15" x14ac:dyDescent="0.35">
      <c r="I6754" s="35"/>
      <c r="O6754" s="35"/>
    </row>
    <row r="6755" spans="9:15" x14ac:dyDescent="0.35">
      <c r="I6755" s="35"/>
      <c r="O6755" s="35"/>
    </row>
    <row r="6756" spans="9:15" x14ac:dyDescent="0.35">
      <c r="I6756" s="35"/>
      <c r="O6756" s="35"/>
    </row>
    <row r="6757" spans="9:15" x14ac:dyDescent="0.35">
      <c r="I6757" s="35"/>
      <c r="O6757" s="35"/>
    </row>
    <row r="6758" spans="9:15" x14ac:dyDescent="0.35">
      <c r="I6758" s="35"/>
      <c r="O6758" s="35"/>
    </row>
    <row r="6759" spans="9:15" x14ac:dyDescent="0.35">
      <c r="I6759" s="35"/>
      <c r="O6759" s="35"/>
    </row>
    <row r="6760" spans="9:15" x14ac:dyDescent="0.35">
      <c r="I6760" s="35"/>
      <c r="O6760" s="35"/>
    </row>
    <row r="6761" spans="9:15" x14ac:dyDescent="0.35">
      <c r="I6761" s="35"/>
      <c r="O6761" s="35"/>
    </row>
    <row r="6762" spans="9:15" x14ac:dyDescent="0.35">
      <c r="I6762" s="35"/>
      <c r="O6762" s="35"/>
    </row>
    <row r="6763" spans="9:15" x14ac:dyDescent="0.35">
      <c r="I6763" s="35"/>
      <c r="O6763" s="35"/>
    </row>
    <row r="6764" spans="9:15" x14ac:dyDescent="0.35">
      <c r="I6764" s="35"/>
      <c r="O6764" s="35"/>
    </row>
    <row r="6765" spans="9:15" x14ac:dyDescent="0.35">
      <c r="I6765" s="35"/>
      <c r="O6765" s="35"/>
    </row>
    <row r="6766" spans="9:15" x14ac:dyDescent="0.35">
      <c r="I6766" s="35"/>
      <c r="O6766" s="35"/>
    </row>
    <row r="6767" spans="9:15" x14ac:dyDescent="0.35">
      <c r="I6767" s="35"/>
      <c r="O6767" s="35"/>
    </row>
    <row r="6768" spans="9:15" x14ac:dyDescent="0.35">
      <c r="I6768" s="35"/>
      <c r="O6768" s="35"/>
    </row>
    <row r="6769" spans="9:15" x14ac:dyDescent="0.35">
      <c r="I6769" s="35"/>
      <c r="O6769" s="35"/>
    </row>
    <row r="6770" spans="9:15" x14ac:dyDescent="0.35">
      <c r="I6770" s="35"/>
      <c r="O6770" s="35"/>
    </row>
    <row r="6771" spans="9:15" x14ac:dyDescent="0.35">
      <c r="I6771" s="35"/>
      <c r="O6771" s="35"/>
    </row>
    <row r="6772" spans="9:15" x14ac:dyDescent="0.35">
      <c r="I6772" s="35"/>
      <c r="O6772" s="35"/>
    </row>
    <row r="6773" spans="9:15" x14ac:dyDescent="0.35">
      <c r="I6773" s="35"/>
      <c r="O6773" s="35"/>
    </row>
    <row r="6774" spans="9:15" x14ac:dyDescent="0.35">
      <c r="I6774" s="35"/>
      <c r="O6774" s="35"/>
    </row>
    <row r="6775" spans="9:15" x14ac:dyDescent="0.35">
      <c r="I6775" s="35"/>
      <c r="O6775" s="35"/>
    </row>
    <row r="6776" spans="9:15" x14ac:dyDescent="0.35">
      <c r="I6776" s="35"/>
      <c r="O6776" s="35"/>
    </row>
    <row r="6777" spans="9:15" x14ac:dyDescent="0.35">
      <c r="I6777" s="35"/>
      <c r="O6777" s="35"/>
    </row>
    <row r="6778" spans="9:15" x14ac:dyDescent="0.35">
      <c r="I6778" s="35"/>
      <c r="O6778" s="35"/>
    </row>
    <row r="6779" spans="9:15" x14ac:dyDescent="0.35">
      <c r="I6779" s="35"/>
      <c r="O6779" s="35"/>
    </row>
    <row r="6780" spans="9:15" x14ac:dyDescent="0.35">
      <c r="I6780" s="35"/>
      <c r="O6780" s="35"/>
    </row>
    <row r="6781" spans="9:15" x14ac:dyDescent="0.35">
      <c r="I6781" s="35"/>
      <c r="O6781" s="35"/>
    </row>
    <row r="6782" spans="9:15" x14ac:dyDescent="0.35">
      <c r="I6782" s="35"/>
      <c r="O6782" s="35"/>
    </row>
    <row r="6783" spans="9:15" x14ac:dyDescent="0.35">
      <c r="I6783" s="35"/>
      <c r="O6783" s="35"/>
    </row>
    <row r="6784" spans="9:15" x14ac:dyDescent="0.35">
      <c r="I6784" s="35"/>
      <c r="O6784" s="35"/>
    </row>
    <row r="6785" spans="9:15" x14ac:dyDescent="0.35">
      <c r="I6785" s="35"/>
      <c r="O6785" s="35"/>
    </row>
    <row r="6786" spans="9:15" x14ac:dyDescent="0.35">
      <c r="I6786" s="35"/>
      <c r="O6786" s="35"/>
    </row>
    <row r="6787" spans="9:15" x14ac:dyDescent="0.35">
      <c r="I6787" s="35"/>
      <c r="O6787" s="35"/>
    </row>
    <row r="6788" spans="9:15" x14ac:dyDescent="0.35">
      <c r="I6788" s="35"/>
      <c r="O6788" s="35"/>
    </row>
    <row r="6789" spans="9:15" x14ac:dyDescent="0.35">
      <c r="I6789" s="35"/>
      <c r="O6789" s="35"/>
    </row>
    <row r="6790" spans="9:15" x14ac:dyDescent="0.35">
      <c r="I6790" s="35"/>
      <c r="O6790" s="35"/>
    </row>
    <row r="6791" spans="9:15" x14ac:dyDescent="0.35">
      <c r="I6791" s="35"/>
      <c r="O6791" s="35"/>
    </row>
    <row r="6792" spans="9:15" x14ac:dyDescent="0.35">
      <c r="I6792" s="35"/>
      <c r="O6792" s="35"/>
    </row>
    <row r="6793" spans="9:15" x14ac:dyDescent="0.35">
      <c r="I6793" s="35"/>
      <c r="O6793" s="35"/>
    </row>
    <row r="6794" spans="9:15" x14ac:dyDescent="0.35">
      <c r="I6794" s="35"/>
      <c r="O6794" s="35"/>
    </row>
    <row r="6795" spans="9:15" x14ac:dyDescent="0.35">
      <c r="I6795" s="35"/>
      <c r="O6795" s="35"/>
    </row>
    <row r="6796" spans="9:15" x14ac:dyDescent="0.35">
      <c r="I6796" s="35"/>
      <c r="O6796" s="35"/>
    </row>
    <row r="6797" spans="9:15" x14ac:dyDescent="0.35">
      <c r="I6797" s="35"/>
      <c r="O6797" s="35"/>
    </row>
    <row r="6798" spans="9:15" x14ac:dyDescent="0.35">
      <c r="I6798" s="35"/>
      <c r="O6798" s="35"/>
    </row>
    <row r="6799" spans="9:15" x14ac:dyDescent="0.35">
      <c r="I6799" s="35"/>
      <c r="O6799" s="35"/>
    </row>
    <row r="6800" spans="9:15" x14ac:dyDescent="0.35">
      <c r="I6800" s="35"/>
      <c r="O6800" s="35"/>
    </row>
    <row r="6801" spans="9:15" x14ac:dyDescent="0.35">
      <c r="I6801" s="35"/>
      <c r="O6801" s="35"/>
    </row>
    <row r="6802" spans="9:15" x14ac:dyDescent="0.35">
      <c r="I6802" s="35"/>
      <c r="O6802" s="35"/>
    </row>
    <row r="6803" spans="9:15" x14ac:dyDescent="0.35">
      <c r="I6803" s="35"/>
      <c r="O6803" s="35"/>
    </row>
    <row r="6804" spans="9:15" x14ac:dyDescent="0.35">
      <c r="I6804" s="35"/>
      <c r="O6804" s="35"/>
    </row>
    <row r="6805" spans="9:15" x14ac:dyDescent="0.35">
      <c r="I6805" s="35"/>
      <c r="O6805" s="35"/>
    </row>
    <row r="6806" spans="9:15" x14ac:dyDescent="0.35">
      <c r="I6806" s="35"/>
      <c r="O6806" s="35"/>
    </row>
    <row r="6807" spans="9:15" x14ac:dyDescent="0.35">
      <c r="I6807" s="35"/>
      <c r="O6807" s="35"/>
    </row>
    <row r="6808" spans="9:15" x14ac:dyDescent="0.35">
      <c r="I6808" s="35"/>
      <c r="O6808" s="35"/>
    </row>
    <row r="6809" spans="9:15" x14ac:dyDescent="0.35">
      <c r="I6809" s="35"/>
      <c r="O6809" s="35"/>
    </row>
    <row r="6810" spans="9:15" x14ac:dyDescent="0.35">
      <c r="I6810" s="35"/>
      <c r="O6810" s="35"/>
    </row>
    <row r="6811" spans="9:15" x14ac:dyDescent="0.35">
      <c r="I6811" s="35"/>
      <c r="O6811" s="35"/>
    </row>
    <row r="6812" spans="9:15" x14ac:dyDescent="0.35">
      <c r="I6812" s="35"/>
      <c r="O6812" s="35"/>
    </row>
    <row r="6813" spans="9:15" x14ac:dyDescent="0.35">
      <c r="I6813" s="35"/>
      <c r="O6813" s="35"/>
    </row>
    <row r="6814" spans="9:15" x14ac:dyDescent="0.35">
      <c r="I6814" s="35"/>
      <c r="O6814" s="35"/>
    </row>
    <row r="6815" spans="9:15" x14ac:dyDescent="0.35">
      <c r="I6815" s="35"/>
      <c r="O6815" s="35"/>
    </row>
    <row r="6816" spans="9:15" x14ac:dyDescent="0.35">
      <c r="I6816" s="35"/>
      <c r="O6816" s="35"/>
    </row>
    <row r="6817" spans="9:15" x14ac:dyDescent="0.35">
      <c r="I6817" s="35"/>
      <c r="O6817" s="35"/>
    </row>
    <row r="6818" spans="9:15" x14ac:dyDescent="0.35">
      <c r="I6818" s="35"/>
      <c r="O6818" s="35"/>
    </row>
    <row r="6819" spans="9:15" x14ac:dyDescent="0.35">
      <c r="I6819" s="35"/>
      <c r="O6819" s="35"/>
    </row>
    <row r="6820" spans="9:15" x14ac:dyDescent="0.35">
      <c r="I6820" s="35"/>
      <c r="O6820" s="35"/>
    </row>
    <row r="6821" spans="9:15" x14ac:dyDescent="0.35">
      <c r="I6821" s="35"/>
      <c r="O6821" s="35"/>
    </row>
    <row r="6822" spans="9:15" x14ac:dyDescent="0.35">
      <c r="I6822" s="35"/>
      <c r="O6822" s="35"/>
    </row>
    <row r="6823" spans="9:15" x14ac:dyDescent="0.35">
      <c r="I6823" s="35"/>
      <c r="O6823" s="35"/>
    </row>
    <row r="6824" spans="9:15" x14ac:dyDescent="0.35">
      <c r="I6824" s="35"/>
      <c r="O6824" s="35"/>
    </row>
    <row r="6825" spans="9:15" x14ac:dyDescent="0.35">
      <c r="I6825" s="35"/>
      <c r="O6825" s="35"/>
    </row>
    <row r="6826" spans="9:15" x14ac:dyDescent="0.35">
      <c r="I6826" s="35"/>
      <c r="O6826" s="35"/>
    </row>
    <row r="6827" spans="9:15" x14ac:dyDescent="0.35">
      <c r="I6827" s="35"/>
      <c r="O6827" s="35"/>
    </row>
    <row r="6828" spans="9:15" x14ac:dyDescent="0.35">
      <c r="I6828" s="35"/>
      <c r="O6828" s="35"/>
    </row>
    <row r="6829" spans="9:15" x14ac:dyDescent="0.35">
      <c r="I6829" s="35"/>
      <c r="O6829" s="35"/>
    </row>
    <row r="6830" spans="9:15" x14ac:dyDescent="0.35">
      <c r="I6830" s="35"/>
      <c r="O6830" s="35"/>
    </row>
    <row r="6831" spans="9:15" x14ac:dyDescent="0.35">
      <c r="I6831" s="35"/>
      <c r="O6831" s="35"/>
    </row>
    <row r="6832" spans="9:15" x14ac:dyDescent="0.35">
      <c r="I6832" s="35"/>
      <c r="O6832" s="35"/>
    </row>
    <row r="6833" spans="9:15" x14ac:dyDescent="0.35">
      <c r="I6833" s="35"/>
      <c r="O6833" s="35"/>
    </row>
    <row r="6834" spans="9:15" x14ac:dyDescent="0.35">
      <c r="I6834" s="35"/>
      <c r="O6834" s="35"/>
    </row>
    <row r="6835" spans="9:15" x14ac:dyDescent="0.35">
      <c r="I6835" s="35"/>
      <c r="O6835" s="35"/>
    </row>
    <row r="6836" spans="9:15" x14ac:dyDescent="0.35">
      <c r="I6836" s="35"/>
      <c r="O6836" s="35"/>
    </row>
    <row r="6837" spans="9:15" x14ac:dyDescent="0.35">
      <c r="I6837" s="35"/>
      <c r="O6837" s="35"/>
    </row>
    <row r="6838" spans="9:15" x14ac:dyDescent="0.35">
      <c r="I6838" s="35"/>
      <c r="O6838" s="35"/>
    </row>
    <row r="6839" spans="9:15" x14ac:dyDescent="0.35">
      <c r="I6839" s="35"/>
      <c r="O6839" s="35"/>
    </row>
    <row r="6840" spans="9:15" x14ac:dyDescent="0.35">
      <c r="I6840" s="35"/>
      <c r="O6840" s="35"/>
    </row>
    <row r="6841" spans="9:15" x14ac:dyDescent="0.35">
      <c r="I6841" s="35"/>
      <c r="O6841" s="35"/>
    </row>
    <row r="6842" spans="9:15" x14ac:dyDescent="0.35">
      <c r="I6842" s="35"/>
      <c r="O6842" s="35"/>
    </row>
    <row r="6843" spans="9:15" x14ac:dyDescent="0.35">
      <c r="I6843" s="35"/>
      <c r="O6843" s="35"/>
    </row>
    <row r="6844" spans="9:15" x14ac:dyDescent="0.35">
      <c r="I6844" s="35"/>
      <c r="O6844" s="35"/>
    </row>
    <row r="6845" spans="9:15" x14ac:dyDescent="0.35">
      <c r="I6845" s="35"/>
      <c r="O6845" s="35"/>
    </row>
    <row r="6846" spans="9:15" x14ac:dyDescent="0.35">
      <c r="I6846" s="35"/>
      <c r="O6846" s="35"/>
    </row>
    <row r="6847" spans="9:15" x14ac:dyDescent="0.35">
      <c r="I6847" s="35"/>
      <c r="O6847" s="35"/>
    </row>
    <row r="6848" spans="9:15" x14ac:dyDescent="0.35">
      <c r="I6848" s="35"/>
      <c r="O6848" s="35"/>
    </row>
    <row r="6849" spans="9:15" x14ac:dyDescent="0.35">
      <c r="I6849" s="35"/>
      <c r="O6849" s="35"/>
    </row>
    <row r="6850" spans="9:15" x14ac:dyDescent="0.35">
      <c r="I6850" s="35"/>
      <c r="O6850" s="35"/>
    </row>
    <row r="6851" spans="9:15" x14ac:dyDescent="0.35">
      <c r="I6851" s="35"/>
      <c r="O6851" s="35"/>
    </row>
    <row r="6852" spans="9:15" x14ac:dyDescent="0.35">
      <c r="I6852" s="35"/>
      <c r="O6852" s="35"/>
    </row>
    <row r="6853" spans="9:15" x14ac:dyDescent="0.35">
      <c r="I6853" s="35"/>
      <c r="O6853" s="35"/>
    </row>
    <row r="6854" spans="9:15" x14ac:dyDescent="0.35">
      <c r="I6854" s="35"/>
      <c r="O6854" s="35"/>
    </row>
    <row r="6855" spans="9:15" x14ac:dyDescent="0.35">
      <c r="I6855" s="35"/>
      <c r="O6855" s="35"/>
    </row>
    <row r="6856" spans="9:15" x14ac:dyDescent="0.35">
      <c r="I6856" s="35"/>
      <c r="O6856" s="35"/>
    </row>
    <row r="6857" spans="9:15" x14ac:dyDescent="0.35">
      <c r="I6857" s="35"/>
      <c r="O6857" s="35"/>
    </row>
    <row r="6858" spans="9:15" x14ac:dyDescent="0.35">
      <c r="I6858" s="35"/>
      <c r="O6858" s="35"/>
    </row>
    <row r="6859" spans="9:15" x14ac:dyDescent="0.35">
      <c r="I6859" s="35"/>
      <c r="O6859" s="35"/>
    </row>
    <row r="6860" spans="9:15" x14ac:dyDescent="0.35">
      <c r="I6860" s="35"/>
      <c r="O6860" s="35"/>
    </row>
    <row r="6861" spans="9:15" x14ac:dyDescent="0.35">
      <c r="I6861" s="35"/>
      <c r="O6861" s="35"/>
    </row>
    <row r="6862" spans="9:15" x14ac:dyDescent="0.35">
      <c r="I6862" s="35"/>
      <c r="O6862" s="35"/>
    </row>
    <row r="6863" spans="9:15" x14ac:dyDescent="0.35">
      <c r="I6863" s="35"/>
      <c r="O6863" s="35"/>
    </row>
    <row r="6864" spans="9:15" x14ac:dyDescent="0.35">
      <c r="I6864" s="35"/>
      <c r="O6864" s="35"/>
    </row>
    <row r="6865" spans="9:15" x14ac:dyDescent="0.35">
      <c r="I6865" s="35"/>
      <c r="O6865" s="35"/>
    </row>
    <row r="6866" spans="9:15" x14ac:dyDescent="0.35">
      <c r="I6866" s="35"/>
      <c r="O6866" s="35"/>
    </row>
    <row r="6867" spans="9:15" x14ac:dyDescent="0.35">
      <c r="I6867" s="35"/>
      <c r="O6867" s="35"/>
    </row>
    <row r="6868" spans="9:15" x14ac:dyDescent="0.35">
      <c r="I6868" s="35"/>
      <c r="O6868" s="35"/>
    </row>
    <row r="6869" spans="9:15" x14ac:dyDescent="0.35">
      <c r="I6869" s="35"/>
      <c r="O6869" s="35"/>
    </row>
    <row r="6870" spans="9:15" x14ac:dyDescent="0.35">
      <c r="I6870" s="35"/>
      <c r="O6870" s="35"/>
    </row>
    <row r="6871" spans="9:15" x14ac:dyDescent="0.35">
      <c r="I6871" s="35"/>
      <c r="O6871" s="35"/>
    </row>
    <row r="6872" spans="9:15" x14ac:dyDescent="0.35">
      <c r="I6872" s="35"/>
      <c r="O6872" s="35"/>
    </row>
    <row r="6873" spans="9:15" x14ac:dyDescent="0.35">
      <c r="I6873" s="35"/>
      <c r="O6873" s="35"/>
    </row>
    <row r="6874" spans="9:15" x14ac:dyDescent="0.35">
      <c r="I6874" s="35"/>
      <c r="O6874" s="35"/>
    </row>
    <row r="6875" spans="9:15" x14ac:dyDescent="0.35">
      <c r="I6875" s="35"/>
      <c r="O6875" s="35"/>
    </row>
    <row r="6876" spans="9:15" x14ac:dyDescent="0.35">
      <c r="I6876" s="35"/>
      <c r="O6876" s="35"/>
    </row>
    <row r="6877" spans="9:15" x14ac:dyDescent="0.35">
      <c r="I6877" s="35"/>
      <c r="O6877" s="35"/>
    </row>
    <row r="6878" spans="9:15" x14ac:dyDescent="0.35">
      <c r="I6878" s="35"/>
      <c r="O6878" s="35"/>
    </row>
    <row r="6879" spans="9:15" x14ac:dyDescent="0.35">
      <c r="I6879" s="35"/>
      <c r="O6879" s="35"/>
    </row>
    <row r="6880" spans="9:15" x14ac:dyDescent="0.35">
      <c r="I6880" s="35"/>
      <c r="O6880" s="35"/>
    </row>
    <row r="6881" spans="9:15" x14ac:dyDescent="0.35">
      <c r="I6881" s="35"/>
      <c r="O6881" s="35"/>
    </row>
    <row r="6882" spans="9:15" x14ac:dyDescent="0.35">
      <c r="I6882" s="35"/>
      <c r="O6882" s="35"/>
    </row>
    <row r="6883" spans="9:15" x14ac:dyDescent="0.35">
      <c r="I6883" s="35"/>
      <c r="O6883" s="35"/>
    </row>
    <row r="6884" spans="9:15" x14ac:dyDescent="0.35">
      <c r="I6884" s="35"/>
      <c r="O6884" s="35"/>
    </row>
    <row r="6885" spans="9:15" x14ac:dyDescent="0.35">
      <c r="I6885" s="35"/>
      <c r="O6885" s="35"/>
    </row>
    <row r="6886" spans="9:15" x14ac:dyDescent="0.35">
      <c r="I6886" s="35"/>
      <c r="O6886" s="35"/>
    </row>
    <row r="6887" spans="9:15" x14ac:dyDescent="0.35">
      <c r="I6887" s="35"/>
      <c r="O6887" s="35"/>
    </row>
    <row r="6888" spans="9:15" x14ac:dyDescent="0.35">
      <c r="I6888" s="35"/>
      <c r="O6888" s="35"/>
    </row>
    <row r="6889" spans="9:15" x14ac:dyDescent="0.35">
      <c r="I6889" s="35"/>
      <c r="O6889" s="35"/>
    </row>
    <row r="6890" spans="9:15" x14ac:dyDescent="0.35">
      <c r="I6890" s="35"/>
      <c r="O6890" s="35"/>
    </row>
    <row r="6891" spans="9:15" x14ac:dyDescent="0.35">
      <c r="I6891" s="35"/>
      <c r="O6891" s="35"/>
    </row>
    <row r="6892" spans="9:15" x14ac:dyDescent="0.35">
      <c r="I6892" s="35"/>
      <c r="O6892" s="35"/>
    </row>
    <row r="6893" spans="9:15" x14ac:dyDescent="0.35">
      <c r="I6893" s="35"/>
      <c r="O6893" s="35"/>
    </row>
    <row r="6894" spans="9:15" x14ac:dyDescent="0.35">
      <c r="I6894" s="35"/>
      <c r="O6894" s="35"/>
    </row>
    <row r="6895" spans="9:15" x14ac:dyDescent="0.35">
      <c r="I6895" s="35"/>
      <c r="O6895" s="35"/>
    </row>
    <row r="6896" spans="9:15" x14ac:dyDescent="0.35">
      <c r="I6896" s="35"/>
      <c r="O6896" s="35"/>
    </row>
    <row r="6897" spans="9:15" x14ac:dyDescent="0.35">
      <c r="I6897" s="35"/>
      <c r="O6897" s="35"/>
    </row>
    <row r="6898" spans="9:15" x14ac:dyDescent="0.35">
      <c r="I6898" s="35"/>
      <c r="O6898" s="35"/>
    </row>
    <row r="6899" spans="9:15" x14ac:dyDescent="0.35">
      <c r="I6899" s="35"/>
      <c r="O6899" s="35"/>
    </row>
    <row r="6900" spans="9:15" x14ac:dyDescent="0.35">
      <c r="I6900" s="35"/>
      <c r="O6900" s="35"/>
    </row>
    <row r="6901" spans="9:15" x14ac:dyDescent="0.35">
      <c r="I6901" s="35"/>
      <c r="O6901" s="35"/>
    </row>
    <row r="6902" spans="9:15" x14ac:dyDescent="0.35">
      <c r="I6902" s="35"/>
      <c r="O6902" s="35"/>
    </row>
    <row r="6903" spans="9:15" x14ac:dyDescent="0.35">
      <c r="I6903" s="35"/>
      <c r="O6903" s="35"/>
    </row>
    <row r="6904" spans="9:15" x14ac:dyDescent="0.35">
      <c r="I6904" s="35"/>
      <c r="O6904" s="35"/>
    </row>
    <row r="6905" spans="9:15" x14ac:dyDescent="0.35">
      <c r="I6905" s="35"/>
      <c r="O6905" s="35"/>
    </row>
    <row r="6906" spans="9:15" x14ac:dyDescent="0.35">
      <c r="I6906" s="35"/>
      <c r="O6906" s="35"/>
    </row>
    <row r="6907" spans="9:15" x14ac:dyDescent="0.35">
      <c r="I6907" s="35"/>
      <c r="O6907" s="35"/>
    </row>
    <row r="6908" spans="9:15" x14ac:dyDescent="0.35">
      <c r="I6908" s="35"/>
      <c r="O6908" s="35"/>
    </row>
    <row r="6909" spans="9:15" x14ac:dyDescent="0.35">
      <c r="I6909" s="35"/>
      <c r="O6909" s="35"/>
    </row>
    <row r="6910" spans="9:15" x14ac:dyDescent="0.35">
      <c r="I6910" s="35"/>
      <c r="O6910" s="35"/>
    </row>
    <row r="6911" spans="9:15" x14ac:dyDescent="0.35">
      <c r="I6911" s="35"/>
      <c r="O6911" s="35"/>
    </row>
    <row r="6912" spans="9:15" x14ac:dyDescent="0.35">
      <c r="I6912" s="35"/>
      <c r="O6912" s="35"/>
    </row>
    <row r="6913" spans="9:15" x14ac:dyDescent="0.35">
      <c r="I6913" s="35"/>
      <c r="O6913" s="35"/>
    </row>
    <row r="6914" spans="9:15" x14ac:dyDescent="0.35">
      <c r="I6914" s="35"/>
      <c r="O6914" s="35"/>
    </row>
    <row r="6915" spans="9:15" x14ac:dyDescent="0.35">
      <c r="I6915" s="35"/>
      <c r="O6915" s="35"/>
    </row>
    <row r="6916" spans="9:15" x14ac:dyDescent="0.35">
      <c r="I6916" s="35"/>
      <c r="O6916" s="35"/>
    </row>
    <row r="6917" spans="9:15" x14ac:dyDescent="0.35">
      <c r="I6917" s="35"/>
      <c r="O6917" s="35"/>
    </row>
    <row r="6918" spans="9:15" x14ac:dyDescent="0.35">
      <c r="I6918" s="35"/>
      <c r="O6918" s="35"/>
    </row>
    <row r="6919" spans="9:15" x14ac:dyDescent="0.35">
      <c r="I6919" s="35"/>
      <c r="O6919" s="35"/>
    </row>
    <row r="6920" spans="9:15" x14ac:dyDescent="0.35">
      <c r="I6920" s="35"/>
      <c r="O6920" s="35"/>
    </row>
    <row r="6921" spans="9:15" x14ac:dyDescent="0.35">
      <c r="I6921" s="35"/>
      <c r="O6921" s="35"/>
    </row>
    <row r="6922" spans="9:15" x14ac:dyDescent="0.35">
      <c r="I6922" s="35"/>
      <c r="O6922" s="35"/>
    </row>
    <row r="6923" spans="9:15" x14ac:dyDescent="0.35">
      <c r="I6923" s="35"/>
      <c r="O6923" s="35"/>
    </row>
    <row r="6924" spans="9:15" x14ac:dyDescent="0.35">
      <c r="I6924" s="35"/>
      <c r="O6924" s="35"/>
    </row>
    <row r="6925" spans="9:15" x14ac:dyDescent="0.35">
      <c r="I6925" s="35"/>
      <c r="O6925" s="35"/>
    </row>
    <row r="6926" spans="9:15" x14ac:dyDescent="0.35">
      <c r="I6926" s="35"/>
      <c r="O6926" s="35"/>
    </row>
    <row r="6927" spans="9:15" x14ac:dyDescent="0.35">
      <c r="I6927" s="35"/>
      <c r="O6927" s="35"/>
    </row>
    <row r="6928" spans="9:15" x14ac:dyDescent="0.35">
      <c r="I6928" s="35"/>
      <c r="O6928" s="35"/>
    </row>
    <row r="6929" spans="9:15" x14ac:dyDescent="0.35">
      <c r="I6929" s="35"/>
      <c r="O6929" s="35"/>
    </row>
    <row r="6930" spans="9:15" x14ac:dyDescent="0.35">
      <c r="I6930" s="35"/>
      <c r="O6930" s="35"/>
    </row>
    <row r="6931" spans="9:15" x14ac:dyDescent="0.35">
      <c r="I6931" s="35"/>
      <c r="O6931" s="35"/>
    </row>
    <row r="6932" spans="9:15" x14ac:dyDescent="0.35">
      <c r="I6932" s="35"/>
      <c r="O6932" s="35"/>
    </row>
    <row r="6933" spans="9:15" x14ac:dyDescent="0.35">
      <c r="I6933" s="35"/>
      <c r="O6933" s="35"/>
    </row>
    <row r="6934" spans="9:15" x14ac:dyDescent="0.35">
      <c r="I6934" s="35"/>
      <c r="O6934" s="35"/>
    </row>
    <row r="6935" spans="9:15" x14ac:dyDescent="0.35">
      <c r="I6935" s="35"/>
      <c r="O6935" s="35"/>
    </row>
    <row r="6936" spans="9:15" x14ac:dyDescent="0.35">
      <c r="I6936" s="35"/>
      <c r="O6936" s="35"/>
    </row>
    <row r="6937" spans="9:15" x14ac:dyDescent="0.35">
      <c r="I6937" s="35"/>
      <c r="O6937" s="35"/>
    </row>
    <row r="6938" spans="9:15" x14ac:dyDescent="0.35">
      <c r="I6938" s="35"/>
      <c r="O6938" s="35"/>
    </row>
    <row r="6939" spans="9:15" x14ac:dyDescent="0.35">
      <c r="I6939" s="35"/>
      <c r="O6939" s="35"/>
    </row>
    <row r="6940" spans="9:15" x14ac:dyDescent="0.35">
      <c r="I6940" s="35"/>
      <c r="O6940" s="35"/>
    </row>
    <row r="6941" spans="9:15" x14ac:dyDescent="0.35">
      <c r="I6941" s="35"/>
      <c r="O6941" s="35"/>
    </row>
    <row r="6942" spans="9:15" x14ac:dyDescent="0.35">
      <c r="I6942" s="35"/>
      <c r="O6942" s="35"/>
    </row>
    <row r="6943" spans="9:15" x14ac:dyDescent="0.35">
      <c r="I6943" s="35"/>
      <c r="O6943" s="35"/>
    </row>
    <row r="6944" spans="9:15" x14ac:dyDescent="0.35">
      <c r="I6944" s="35"/>
      <c r="O6944" s="35"/>
    </row>
    <row r="6945" spans="9:15" x14ac:dyDescent="0.35">
      <c r="I6945" s="35"/>
      <c r="O6945" s="35"/>
    </row>
    <row r="6946" spans="9:15" x14ac:dyDescent="0.35">
      <c r="I6946" s="35"/>
      <c r="O6946" s="35"/>
    </row>
    <row r="6947" spans="9:15" x14ac:dyDescent="0.35">
      <c r="I6947" s="35"/>
      <c r="O6947" s="35"/>
    </row>
    <row r="6948" spans="9:15" x14ac:dyDescent="0.35">
      <c r="I6948" s="35"/>
      <c r="O6948" s="35"/>
    </row>
    <row r="6949" spans="9:15" x14ac:dyDescent="0.35">
      <c r="I6949" s="35"/>
      <c r="O6949" s="35"/>
    </row>
    <row r="6950" spans="9:15" x14ac:dyDescent="0.35">
      <c r="I6950" s="35"/>
      <c r="O6950" s="35"/>
    </row>
    <row r="6951" spans="9:15" x14ac:dyDescent="0.35">
      <c r="I6951" s="35"/>
      <c r="O6951" s="35"/>
    </row>
    <row r="6952" spans="9:15" x14ac:dyDescent="0.35">
      <c r="I6952" s="35"/>
      <c r="O6952" s="35"/>
    </row>
    <row r="6953" spans="9:15" x14ac:dyDescent="0.35">
      <c r="I6953" s="35"/>
      <c r="O6953" s="35"/>
    </row>
    <row r="6954" spans="9:15" x14ac:dyDescent="0.35">
      <c r="I6954" s="35"/>
      <c r="O6954" s="35"/>
    </row>
    <row r="6955" spans="9:15" x14ac:dyDescent="0.35">
      <c r="I6955" s="35"/>
      <c r="O6955" s="35"/>
    </row>
    <row r="6956" spans="9:15" x14ac:dyDescent="0.35">
      <c r="I6956" s="35"/>
      <c r="O6956" s="35"/>
    </row>
    <row r="6957" spans="9:15" x14ac:dyDescent="0.35">
      <c r="I6957" s="35"/>
      <c r="O6957" s="35"/>
    </row>
    <row r="6958" spans="9:15" x14ac:dyDescent="0.35">
      <c r="I6958" s="35"/>
      <c r="O6958" s="35"/>
    </row>
    <row r="6959" spans="9:15" x14ac:dyDescent="0.35">
      <c r="I6959" s="35"/>
      <c r="O6959" s="35"/>
    </row>
    <row r="6960" spans="9:15" x14ac:dyDescent="0.35">
      <c r="I6960" s="35"/>
      <c r="O6960" s="35"/>
    </row>
    <row r="6961" spans="9:15" x14ac:dyDescent="0.35">
      <c r="I6961" s="35"/>
      <c r="O6961" s="35"/>
    </row>
    <row r="6962" spans="9:15" x14ac:dyDescent="0.35">
      <c r="I6962" s="35"/>
      <c r="O6962" s="35"/>
    </row>
    <row r="6963" spans="9:15" x14ac:dyDescent="0.35">
      <c r="I6963" s="35"/>
      <c r="O6963" s="35"/>
    </row>
    <row r="6964" spans="9:15" x14ac:dyDescent="0.35">
      <c r="I6964" s="35"/>
      <c r="O6964" s="35"/>
    </row>
    <row r="6965" spans="9:15" x14ac:dyDescent="0.35">
      <c r="I6965" s="35"/>
      <c r="O6965" s="35"/>
    </row>
    <row r="6966" spans="9:15" x14ac:dyDescent="0.35">
      <c r="I6966" s="35"/>
      <c r="O6966" s="35"/>
    </row>
    <row r="6967" spans="9:15" x14ac:dyDescent="0.35">
      <c r="I6967" s="35"/>
      <c r="O6967" s="35"/>
    </row>
    <row r="6968" spans="9:15" x14ac:dyDescent="0.35">
      <c r="I6968" s="35"/>
      <c r="O6968" s="35"/>
    </row>
    <row r="6969" spans="9:15" x14ac:dyDescent="0.35">
      <c r="I6969" s="35"/>
      <c r="O6969" s="35"/>
    </row>
    <row r="6970" spans="9:15" x14ac:dyDescent="0.35">
      <c r="I6970" s="35"/>
      <c r="O6970" s="35"/>
    </row>
    <row r="6971" spans="9:15" x14ac:dyDescent="0.35">
      <c r="I6971" s="35"/>
      <c r="O6971" s="35"/>
    </row>
    <row r="6972" spans="9:15" x14ac:dyDescent="0.35">
      <c r="I6972" s="35"/>
      <c r="O6972" s="35"/>
    </row>
    <row r="6973" spans="9:15" x14ac:dyDescent="0.35">
      <c r="I6973" s="35"/>
      <c r="O6973" s="35"/>
    </row>
    <row r="6974" spans="9:15" x14ac:dyDescent="0.35">
      <c r="I6974" s="35"/>
      <c r="O6974" s="35"/>
    </row>
    <row r="6975" spans="9:15" x14ac:dyDescent="0.35">
      <c r="I6975" s="35"/>
      <c r="O6975" s="35"/>
    </row>
    <row r="6976" spans="9:15" x14ac:dyDescent="0.35">
      <c r="I6976" s="35"/>
      <c r="O6976" s="35"/>
    </row>
    <row r="6977" spans="9:15" x14ac:dyDescent="0.35">
      <c r="I6977" s="35"/>
      <c r="O6977" s="35"/>
    </row>
    <row r="6978" spans="9:15" x14ac:dyDescent="0.35">
      <c r="I6978" s="35"/>
      <c r="O6978" s="35"/>
    </row>
    <row r="6979" spans="9:15" x14ac:dyDescent="0.35">
      <c r="I6979" s="35"/>
      <c r="O6979" s="35"/>
    </row>
    <row r="6980" spans="9:15" x14ac:dyDescent="0.35">
      <c r="I6980" s="35"/>
      <c r="O6980" s="35"/>
    </row>
    <row r="6981" spans="9:15" x14ac:dyDescent="0.35">
      <c r="I6981" s="35"/>
      <c r="O6981" s="35"/>
    </row>
    <row r="6982" spans="9:15" x14ac:dyDescent="0.35">
      <c r="I6982" s="35"/>
      <c r="O6982" s="35"/>
    </row>
    <row r="6983" spans="9:15" x14ac:dyDescent="0.35">
      <c r="I6983" s="35"/>
      <c r="O6983" s="35"/>
    </row>
    <row r="6984" spans="9:15" x14ac:dyDescent="0.35">
      <c r="I6984" s="35"/>
      <c r="O6984" s="35"/>
    </row>
    <row r="6985" spans="9:15" x14ac:dyDescent="0.35">
      <c r="I6985" s="35"/>
      <c r="O6985" s="35"/>
    </row>
    <row r="6986" spans="9:15" x14ac:dyDescent="0.35">
      <c r="I6986" s="35"/>
      <c r="O6986" s="35"/>
    </row>
    <row r="6987" spans="9:15" x14ac:dyDescent="0.35">
      <c r="I6987" s="35"/>
      <c r="O6987" s="35"/>
    </row>
    <row r="6988" spans="9:15" x14ac:dyDescent="0.35">
      <c r="I6988" s="35"/>
      <c r="O6988" s="35"/>
    </row>
    <row r="6989" spans="9:15" x14ac:dyDescent="0.35">
      <c r="I6989" s="35"/>
      <c r="O6989" s="35"/>
    </row>
    <row r="6990" spans="9:15" x14ac:dyDescent="0.35">
      <c r="I6990" s="35"/>
      <c r="O6990" s="35"/>
    </row>
    <row r="6991" spans="9:15" x14ac:dyDescent="0.35">
      <c r="I6991" s="35"/>
      <c r="O6991" s="35"/>
    </row>
    <row r="6992" spans="9:15" x14ac:dyDescent="0.35">
      <c r="I6992" s="35"/>
      <c r="O6992" s="35"/>
    </row>
    <row r="6993" spans="9:15" x14ac:dyDescent="0.35">
      <c r="I6993" s="35"/>
      <c r="O6993" s="35"/>
    </row>
    <row r="6994" spans="9:15" x14ac:dyDescent="0.35">
      <c r="I6994" s="35"/>
      <c r="O6994" s="35"/>
    </row>
    <row r="6995" spans="9:15" x14ac:dyDescent="0.35">
      <c r="I6995" s="35"/>
      <c r="O6995" s="35"/>
    </row>
    <row r="6996" spans="9:15" x14ac:dyDescent="0.35">
      <c r="I6996" s="35"/>
      <c r="O6996" s="35"/>
    </row>
    <row r="6997" spans="9:15" x14ac:dyDescent="0.35">
      <c r="I6997" s="35"/>
      <c r="O6997" s="35"/>
    </row>
    <row r="6998" spans="9:15" x14ac:dyDescent="0.35">
      <c r="I6998" s="35"/>
      <c r="O6998" s="35"/>
    </row>
    <row r="6999" spans="9:15" x14ac:dyDescent="0.35">
      <c r="I6999" s="35"/>
      <c r="O6999" s="35"/>
    </row>
    <row r="7000" spans="9:15" x14ac:dyDescent="0.35">
      <c r="I7000" s="35"/>
      <c r="O7000" s="35"/>
    </row>
    <row r="7001" spans="9:15" x14ac:dyDescent="0.35">
      <c r="I7001" s="35"/>
      <c r="O7001" s="35"/>
    </row>
    <row r="7002" spans="9:15" x14ac:dyDescent="0.35">
      <c r="I7002" s="35"/>
      <c r="O7002" s="35"/>
    </row>
    <row r="7003" spans="9:15" x14ac:dyDescent="0.35">
      <c r="I7003" s="35"/>
      <c r="O7003" s="35"/>
    </row>
    <row r="7004" spans="9:15" x14ac:dyDescent="0.35">
      <c r="I7004" s="35"/>
      <c r="O7004" s="35"/>
    </row>
    <row r="7005" spans="9:15" x14ac:dyDescent="0.35">
      <c r="I7005" s="35"/>
      <c r="O7005" s="35"/>
    </row>
    <row r="7006" spans="9:15" x14ac:dyDescent="0.35">
      <c r="I7006" s="35"/>
      <c r="O7006" s="35"/>
    </row>
    <row r="7007" spans="9:15" x14ac:dyDescent="0.35">
      <c r="I7007" s="35"/>
      <c r="O7007" s="35"/>
    </row>
    <row r="7008" spans="9:15" x14ac:dyDescent="0.35">
      <c r="I7008" s="35"/>
      <c r="O7008" s="35"/>
    </row>
    <row r="7009" spans="9:15" x14ac:dyDescent="0.35">
      <c r="I7009" s="35"/>
      <c r="O7009" s="35"/>
    </row>
    <row r="7010" spans="9:15" x14ac:dyDescent="0.35">
      <c r="I7010" s="35"/>
      <c r="O7010" s="35"/>
    </row>
    <row r="7011" spans="9:15" x14ac:dyDescent="0.35">
      <c r="I7011" s="35"/>
      <c r="O7011" s="35"/>
    </row>
    <row r="7012" spans="9:15" x14ac:dyDescent="0.35">
      <c r="I7012" s="35"/>
      <c r="O7012" s="35"/>
    </row>
    <row r="7013" spans="9:15" x14ac:dyDescent="0.35">
      <c r="I7013" s="35"/>
      <c r="O7013" s="35"/>
    </row>
    <row r="7014" spans="9:15" x14ac:dyDescent="0.35">
      <c r="I7014" s="35"/>
      <c r="O7014" s="35"/>
    </row>
    <row r="7015" spans="9:15" x14ac:dyDescent="0.35">
      <c r="I7015" s="35"/>
      <c r="O7015" s="35"/>
    </row>
    <row r="7016" spans="9:15" x14ac:dyDescent="0.35">
      <c r="I7016" s="35"/>
      <c r="O7016" s="35"/>
    </row>
    <row r="7017" spans="9:15" x14ac:dyDescent="0.35">
      <c r="I7017" s="35"/>
      <c r="O7017" s="35"/>
    </row>
    <row r="7018" spans="9:15" x14ac:dyDescent="0.35">
      <c r="I7018" s="35"/>
      <c r="O7018" s="35"/>
    </row>
    <row r="7019" spans="9:15" x14ac:dyDescent="0.35">
      <c r="I7019" s="35"/>
      <c r="O7019" s="35"/>
    </row>
    <row r="7020" spans="9:15" x14ac:dyDescent="0.35">
      <c r="I7020" s="35"/>
      <c r="O7020" s="35"/>
    </row>
    <row r="7021" spans="9:15" x14ac:dyDescent="0.35">
      <c r="I7021" s="35"/>
      <c r="O7021" s="35"/>
    </row>
    <row r="7022" spans="9:15" x14ac:dyDescent="0.35">
      <c r="I7022" s="35"/>
      <c r="O7022" s="35"/>
    </row>
    <row r="7023" spans="9:15" x14ac:dyDescent="0.35">
      <c r="I7023" s="35"/>
      <c r="O7023" s="35"/>
    </row>
    <row r="7024" spans="9:15" x14ac:dyDescent="0.35">
      <c r="I7024" s="35"/>
      <c r="O7024" s="35"/>
    </row>
    <row r="7025" spans="9:15" x14ac:dyDescent="0.35">
      <c r="I7025" s="35"/>
      <c r="O7025" s="35"/>
    </row>
    <row r="7026" spans="9:15" x14ac:dyDescent="0.35">
      <c r="I7026" s="35"/>
      <c r="O7026" s="35"/>
    </row>
    <row r="7027" spans="9:15" x14ac:dyDescent="0.35">
      <c r="I7027" s="35"/>
      <c r="O7027" s="35"/>
    </row>
    <row r="7028" spans="9:15" x14ac:dyDescent="0.35">
      <c r="I7028" s="35"/>
      <c r="O7028" s="35"/>
    </row>
    <row r="7029" spans="9:15" x14ac:dyDescent="0.35">
      <c r="I7029" s="35"/>
      <c r="O7029" s="35"/>
    </row>
    <row r="7030" spans="9:15" x14ac:dyDescent="0.35">
      <c r="I7030" s="35"/>
      <c r="O7030" s="35"/>
    </row>
    <row r="7031" spans="9:15" x14ac:dyDescent="0.35">
      <c r="I7031" s="35"/>
      <c r="O7031" s="35"/>
    </row>
    <row r="7032" spans="9:15" x14ac:dyDescent="0.35">
      <c r="I7032" s="35"/>
      <c r="O7032" s="35"/>
    </row>
    <row r="7033" spans="9:15" x14ac:dyDescent="0.35">
      <c r="I7033" s="35"/>
      <c r="O7033" s="35"/>
    </row>
    <row r="7034" spans="9:15" x14ac:dyDescent="0.35">
      <c r="I7034" s="35"/>
      <c r="O7034" s="35"/>
    </row>
    <row r="7035" spans="9:15" x14ac:dyDescent="0.35">
      <c r="I7035" s="35"/>
      <c r="O7035" s="35"/>
    </row>
    <row r="7036" spans="9:15" x14ac:dyDescent="0.35">
      <c r="I7036" s="35"/>
      <c r="O7036" s="35"/>
    </row>
    <row r="7037" spans="9:15" x14ac:dyDescent="0.35">
      <c r="I7037" s="35"/>
      <c r="O7037" s="35"/>
    </row>
    <row r="7038" spans="9:15" x14ac:dyDescent="0.35">
      <c r="I7038" s="35"/>
      <c r="O7038" s="35"/>
    </row>
    <row r="7039" spans="9:15" x14ac:dyDescent="0.35">
      <c r="I7039" s="35"/>
      <c r="O7039" s="35"/>
    </row>
    <row r="7040" spans="9:15" x14ac:dyDescent="0.35">
      <c r="I7040" s="35"/>
      <c r="O7040" s="35"/>
    </row>
    <row r="7041" spans="9:15" x14ac:dyDescent="0.35">
      <c r="I7041" s="35"/>
      <c r="O7041" s="35"/>
    </row>
    <row r="7042" spans="9:15" x14ac:dyDescent="0.35">
      <c r="I7042" s="35"/>
      <c r="O7042" s="35"/>
    </row>
    <row r="7043" spans="9:15" x14ac:dyDescent="0.35">
      <c r="I7043" s="35"/>
      <c r="O7043" s="35"/>
    </row>
    <row r="7044" spans="9:15" x14ac:dyDescent="0.35">
      <c r="I7044" s="35"/>
      <c r="O7044" s="35"/>
    </row>
    <row r="7045" spans="9:15" x14ac:dyDescent="0.35">
      <c r="I7045" s="35"/>
      <c r="O7045" s="35"/>
    </row>
    <row r="7046" spans="9:15" x14ac:dyDescent="0.35">
      <c r="I7046" s="35"/>
      <c r="O7046" s="35"/>
    </row>
    <row r="7047" spans="9:15" x14ac:dyDescent="0.35">
      <c r="I7047" s="35"/>
      <c r="O7047" s="35"/>
    </row>
    <row r="7048" spans="9:15" x14ac:dyDescent="0.35">
      <c r="I7048" s="35"/>
      <c r="O7048" s="35"/>
    </row>
    <row r="7049" spans="9:15" x14ac:dyDescent="0.35">
      <c r="I7049" s="35"/>
      <c r="O7049" s="35"/>
    </row>
    <row r="7050" spans="9:15" x14ac:dyDescent="0.35">
      <c r="I7050" s="35"/>
      <c r="O7050" s="35"/>
    </row>
    <row r="7051" spans="9:15" x14ac:dyDescent="0.35">
      <c r="I7051" s="35"/>
      <c r="O7051" s="35"/>
    </row>
    <row r="7052" spans="9:15" x14ac:dyDescent="0.35">
      <c r="I7052" s="35"/>
      <c r="O7052" s="35"/>
    </row>
    <row r="7053" spans="9:15" x14ac:dyDescent="0.35">
      <c r="I7053" s="35"/>
      <c r="O7053" s="35"/>
    </row>
    <row r="7054" spans="9:15" x14ac:dyDescent="0.35">
      <c r="I7054" s="35"/>
      <c r="O7054" s="35"/>
    </row>
    <row r="7055" spans="9:15" x14ac:dyDescent="0.35">
      <c r="I7055" s="35"/>
      <c r="O7055" s="35"/>
    </row>
    <row r="7056" spans="9:15" x14ac:dyDescent="0.35">
      <c r="I7056" s="35"/>
      <c r="O7056" s="35"/>
    </row>
    <row r="7057" spans="9:15" x14ac:dyDescent="0.35">
      <c r="I7057" s="35"/>
      <c r="O7057" s="35"/>
    </row>
    <row r="7058" spans="9:15" x14ac:dyDescent="0.35">
      <c r="I7058" s="35"/>
      <c r="O7058" s="35"/>
    </row>
    <row r="7059" spans="9:15" x14ac:dyDescent="0.35">
      <c r="I7059" s="35"/>
      <c r="O7059" s="35"/>
    </row>
    <row r="7060" spans="9:15" x14ac:dyDescent="0.35">
      <c r="I7060" s="35"/>
      <c r="O7060" s="35"/>
    </row>
    <row r="7061" spans="9:15" x14ac:dyDescent="0.35">
      <c r="I7061" s="35"/>
      <c r="O7061" s="35"/>
    </row>
    <row r="7062" spans="9:15" x14ac:dyDescent="0.35">
      <c r="I7062" s="35"/>
      <c r="O7062" s="35"/>
    </row>
    <row r="7063" spans="9:15" x14ac:dyDescent="0.35">
      <c r="I7063" s="35"/>
      <c r="O7063" s="35"/>
    </row>
    <row r="7064" spans="9:15" x14ac:dyDescent="0.35">
      <c r="I7064" s="35"/>
      <c r="O7064" s="35"/>
    </row>
    <row r="7065" spans="9:15" x14ac:dyDescent="0.35">
      <c r="I7065" s="35"/>
      <c r="O7065" s="35"/>
    </row>
    <row r="7066" spans="9:15" x14ac:dyDescent="0.35">
      <c r="I7066" s="35"/>
      <c r="O7066" s="35"/>
    </row>
    <row r="7067" spans="9:15" x14ac:dyDescent="0.35">
      <c r="I7067" s="35"/>
      <c r="O7067" s="35"/>
    </row>
    <row r="7068" spans="9:15" x14ac:dyDescent="0.35">
      <c r="I7068" s="35"/>
      <c r="O7068" s="35"/>
    </row>
    <row r="7069" spans="9:15" x14ac:dyDescent="0.35">
      <c r="I7069" s="35"/>
      <c r="O7069" s="35"/>
    </row>
    <row r="7070" spans="9:15" x14ac:dyDescent="0.35">
      <c r="I7070" s="35"/>
      <c r="O7070" s="35"/>
    </row>
    <row r="7071" spans="9:15" x14ac:dyDescent="0.35">
      <c r="I7071" s="35"/>
      <c r="O7071" s="35"/>
    </row>
    <row r="7072" spans="9:15" x14ac:dyDescent="0.35">
      <c r="I7072" s="35"/>
      <c r="O7072" s="35"/>
    </row>
    <row r="7073" spans="9:15" x14ac:dyDescent="0.35">
      <c r="I7073" s="35"/>
      <c r="O7073" s="35"/>
    </row>
    <row r="7074" spans="9:15" x14ac:dyDescent="0.35">
      <c r="I7074" s="35"/>
      <c r="O7074" s="35"/>
    </row>
    <row r="7075" spans="9:15" x14ac:dyDescent="0.35">
      <c r="I7075" s="35"/>
      <c r="O7075" s="35"/>
    </row>
    <row r="7076" spans="9:15" x14ac:dyDescent="0.35">
      <c r="I7076" s="35"/>
      <c r="O7076" s="35"/>
    </row>
    <row r="7077" spans="9:15" x14ac:dyDescent="0.35">
      <c r="I7077" s="35"/>
      <c r="O7077" s="35"/>
    </row>
    <row r="7078" spans="9:15" x14ac:dyDescent="0.35">
      <c r="I7078" s="35"/>
      <c r="O7078" s="35"/>
    </row>
    <row r="7079" spans="9:15" x14ac:dyDescent="0.35">
      <c r="I7079" s="35"/>
      <c r="O7079" s="35"/>
    </row>
    <row r="7080" spans="9:15" x14ac:dyDescent="0.35">
      <c r="I7080" s="35"/>
      <c r="O7080" s="35"/>
    </row>
    <row r="7081" spans="9:15" x14ac:dyDescent="0.35">
      <c r="I7081" s="35"/>
      <c r="O7081" s="35"/>
    </row>
    <row r="7082" spans="9:15" x14ac:dyDescent="0.35">
      <c r="I7082" s="35"/>
      <c r="O7082" s="35"/>
    </row>
    <row r="7083" spans="9:15" x14ac:dyDescent="0.35">
      <c r="I7083" s="35"/>
      <c r="O7083" s="35"/>
    </row>
    <row r="7084" spans="9:15" x14ac:dyDescent="0.35">
      <c r="I7084" s="35"/>
      <c r="O7084" s="35"/>
    </row>
    <row r="7085" spans="9:15" x14ac:dyDescent="0.35">
      <c r="I7085" s="35"/>
      <c r="O7085" s="35"/>
    </row>
    <row r="7086" spans="9:15" x14ac:dyDescent="0.35">
      <c r="I7086" s="35"/>
      <c r="O7086" s="35"/>
    </row>
    <row r="7087" spans="9:15" x14ac:dyDescent="0.35">
      <c r="I7087" s="35"/>
      <c r="O7087" s="35"/>
    </row>
    <row r="7088" spans="9:15" x14ac:dyDescent="0.35">
      <c r="I7088" s="35"/>
      <c r="O7088" s="35"/>
    </row>
    <row r="7089" spans="9:15" x14ac:dyDescent="0.35">
      <c r="I7089" s="35"/>
      <c r="O7089" s="35"/>
    </row>
    <row r="7090" spans="9:15" x14ac:dyDescent="0.35">
      <c r="I7090" s="35"/>
      <c r="O7090" s="35"/>
    </row>
    <row r="7091" spans="9:15" x14ac:dyDescent="0.35">
      <c r="I7091" s="35"/>
      <c r="O7091" s="35"/>
    </row>
    <row r="7092" spans="9:15" x14ac:dyDescent="0.35">
      <c r="I7092" s="35"/>
      <c r="O7092" s="35"/>
    </row>
    <row r="7093" spans="9:15" x14ac:dyDescent="0.35">
      <c r="I7093" s="35"/>
      <c r="O7093" s="35"/>
    </row>
    <row r="7094" spans="9:15" x14ac:dyDescent="0.35">
      <c r="I7094" s="35"/>
      <c r="O7094" s="35"/>
    </row>
    <row r="7095" spans="9:15" x14ac:dyDescent="0.35">
      <c r="I7095" s="35"/>
      <c r="O7095" s="35"/>
    </row>
    <row r="7096" spans="9:15" x14ac:dyDescent="0.35">
      <c r="I7096" s="35"/>
      <c r="O7096" s="35"/>
    </row>
    <row r="7097" spans="9:15" x14ac:dyDescent="0.35">
      <c r="I7097" s="35"/>
      <c r="O7097" s="35"/>
    </row>
    <row r="7098" spans="9:15" x14ac:dyDescent="0.35">
      <c r="I7098" s="35"/>
      <c r="O7098" s="35"/>
    </row>
    <row r="7099" spans="9:15" x14ac:dyDescent="0.35">
      <c r="I7099" s="35"/>
      <c r="O7099" s="35"/>
    </row>
    <row r="7100" spans="9:15" x14ac:dyDescent="0.35">
      <c r="I7100" s="35"/>
      <c r="O7100" s="35"/>
    </row>
    <row r="7101" spans="9:15" x14ac:dyDescent="0.35">
      <c r="I7101" s="35"/>
      <c r="O7101" s="35"/>
    </row>
    <row r="7102" spans="9:15" x14ac:dyDescent="0.35">
      <c r="I7102" s="35"/>
      <c r="O7102" s="35"/>
    </row>
    <row r="7103" spans="9:15" x14ac:dyDescent="0.35">
      <c r="I7103" s="35"/>
      <c r="O7103" s="35"/>
    </row>
    <row r="7104" spans="9:15" x14ac:dyDescent="0.35">
      <c r="I7104" s="35"/>
      <c r="O7104" s="35"/>
    </row>
    <row r="7105" spans="9:15" x14ac:dyDescent="0.35">
      <c r="I7105" s="35"/>
      <c r="O7105" s="35"/>
    </row>
    <row r="7106" spans="9:15" x14ac:dyDescent="0.35">
      <c r="I7106" s="35"/>
      <c r="O7106" s="35"/>
    </row>
    <row r="7107" spans="9:15" x14ac:dyDescent="0.35">
      <c r="I7107" s="35"/>
      <c r="O7107" s="35"/>
    </row>
    <row r="7108" spans="9:15" x14ac:dyDescent="0.35">
      <c r="I7108" s="35"/>
      <c r="O7108" s="35"/>
    </row>
    <row r="7109" spans="9:15" x14ac:dyDescent="0.35">
      <c r="I7109" s="35"/>
      <c r="O7109" s="35"/>
    </row>
    <row r="7110" spans="9:15" x14ac:dyDescent="0.35">
      <c r="I7110" s="35"/>
      <c r="O7110" s="35"/>
    </row>
    <row r="7111" spans="9:15" x14ac:dyDescent="0.35">
      <c r="I7111" s="35"/>
      <c r="O7111" s="35"/>
    </row>
    <row r="7112" spans="9:15" x14ac:dyDescent="0.35">
      <c r="I7112" s="35"/>
      <c r="O7112" s="35"/>
    </row>
    <row r="7113" spans="9:15" x14ac:dyDescent="0.35">
      <c r="I7113" s="35"/>
      <c r="O7113" s="35"/>
    </row>
    <row r="7114" spans="9:15" x14ac:dyDescent="0.35">
      <c r="I7114" s="35"/>
      <c r="O7114" s="35"/>
    </row>
    <row r="7115" spans="9:15" x14ac:dyDescent="0.35">
      <c r="I7115" s="35"/>
      <c r="O7115" s="35"/>
    </row>
    <row r="7116" spans="9:15" x14ac:dyDescent="0.35">
      <c r="I7116" s="35"/>
      <c r="O7116" s="35"/>
    </row>
    <row r="7117" spans="9:15" x14ac:dyDescent="0.35">
      <c r="I7117" s="35"/>
      <c r="O7117" s="35"/>
    </row>
    <row r="7118" spans="9:15" x14ac:dyDescent="0.35">
      <c r="I7118" s="35"/>
      <c r="O7118" s="35"/>
    </row>
    <row r="7119" spans="9:15" x14ac:dyDescent="0.35">
      <c r="I7119" s="35"/>
      <c r="O7119" s="35"/>
    </row>
    <row r="7120" spans="9:15" x14ac:dyDescent="0.35">
      <c r="I7120" s="35"/>
      <c r="O7120" s="35"/>
    </row>
    <row r="7121" spans="9:15" x14ac:dyDescent="0.35">
      <c r="I7121" s="35"/>
      <c r="O7121" s="35"/>
    </row>
    <row r="7122" spans="9:15" x14ac:dyDescent="0.35">
      <c r="I7122" s="35"/>
      <c r="O7122" s="35"/>
    </row>
    <row r="7123" spans="9:15" x14ac:dyDescent="0.35">
      <c r="I7123" s="35"/>
      <c r="O7123" s="35"/>
    </row>
    <row r="7124" spans="9:15" x14ac:dyDescent="0.35">
      <c r="I7124" s="35"/>
      <c r="O7124" s="35"/>
    </row>
    <row r="7125" spans="9:15" x14ac:dyDescent="0.35">
      <c r="I7125" s="35"/>
      <c r="O7125" s="35"/>
    </row>
    <row r="7126" spans="9:15" x14ac:dyDescent="0.35">
      <c r="I7126" s="35"/>
      <c r="O7126" s="35"/>
    </row>
    <row r="7127" spans="9:15" x14ac:dyDescent="0.35">
      <c r="I7127" s="35"/>
      <c r="O7127" s="35"/>
    </row>
    <row r="7128" spans="9:15" x14ac:dyDescent="0.35">
      <c r="I7128" s="35"/>
      <c r="O7128" s="35"/>
    </row>
    <row r="7129" spans="9:15" x14ac:dyDescent="0.35">
      <c r="I7129" s="35"/>
      <c r="O7129" s="35"/>
    </row>
    <row r="7130" spans="9:15" x14ac:dyDescent="0.35">
      <c r="I7130" s="35"/>
      <c r="O7130" s="35"/>
    </row>
    <row r="7131" spans="9:15" x14ac:dyDescent="0.35">
      <c r="I7131" s="35"/>
      <c r="O7131" s="35"/>
    </row>
    <row r="7132" spans="9:15" x14ac:dyDescent="0.35">
      <c r="I7132" s="35"/>
      <c r="O7132" s="35"/>
    </row>
    <row r="7133" spans="9:15" x14ac:dyDescent="0.35">
      <c r="I7133" s="35"/>
      <c r="O7133" s="35"/>
    </row>
    <row r="7134" spans="9:15" x14ac:dyDescent="0.35">
      <c r="I7134" s="35"/>
      <c r="O7134" s="35"/>
    </row>
    <row r="7135" spans="9:15" x14ac:dyDescent="0.35">
      <c r="I7135" s="35"/>
      <c r="O7135" s="35"/>
    </row>
    <row r="7136" spans="9:15" x14ac:dyDescent="0.35">
      <c r="I7136" s="35"/>
      <c r="O7136" s="35"/>
    </row>
    <row r="7137" spans="9:15" x14ac:dyDescent="0.35">
      <c r="I7137" s="35"/>
      <c r="O7137" s="35"/>
    </row>
    <row r="7138" spans="9:15" x14ac:dyDescent="0.35">
      <c r="I7138" s="35"/>
      <c r="O7138" s="35"/>
    </row>
    <row r="7139" spans="9:15" x14ac:dyDescent="0.35">
      <c r="I7139" s="35"/>
      <c r="O7139" s="35"/>
    </row>
    <row r="7140" spans="9:15" x14ac:dyDescent="0.35">
      <c r="I7140" s="35"/>
      <c r="O7140" s="35"/>
    </row>
    <row r="7141" spans="9:15" x14ac:dyDescent="0.35">
      <c r="I7141" s="35"/>
      <c r="O7141" s="35"/>
    </row>
    <row r="7142" spans="9:15" x14ac:dyDescent="0.35">
      <c r="I7142" s="35"/>
      <c r="O7142" s="35"/>
    </row>
    <row r="7143" spans="9:15" x14ac:dyDescent="0.35">
      <c r="I7143" s="35"/>
      <c r="O7143" s="35"/>
    </row>
    <row r="7144" spans="9:15" x14ac:dyDescent="0.35">
      <c r="I7144" s="35"/>
      <c r="O7144" s="35"/>
    </row>
    <row r="7145" spans="9:15" x14ac:dyDescent="0.35">
      <c r="I7145" s="35"/>
      <c r="O7145" s="35"/>
    </row>
    <row r="7146" spans="9:15" x14ac:dyDescent="0.35">
      <c r="I7146" s="35"/>
      <c r="O7146" s="35"/>
    </row>
    <row r="7147" spans="9:15" x14ac:dyDescent="0.35">
      <c r="I7147" s="35"/>
      <c r="O7147" s="35"/>
    </row>
    <row r="7148" spans="9:15" x14ac:dyDescent="0.35">
      <c r="I7148" s="35"/>
      <c r="O7148" s="35"/>
    </row>
    <row r="7149" spans="9:15" x14ac:dyDescent="0.35">
      <c r="I7149" s="35"/>
      <c r="O7149" s="35"/>
    </row>
    <row r="7150" spans="9:15" x14ac:dyDescent="0.35">
      <c r="I7150" s="35"/>
      <c r="O7150" s="35"/>
    </row>
    <row r="7151" spans="9:15" x14ac:dyDescent="0.35">
      <c r="I7151" s="35"/>
      <c r="O7151" s="35"/>
    </row>
    <row r="7152" spans="9:15" x14ac:dyDescent="0.35">
      <c r="I7152" s="35"/>
      <c r="O7152" s="35"/>
    </row>
    <row r="7153" spans="9:15" x14ac:dyDescent="0.35">
      <c r="I7153" s="35"/>
      <c r="O7153" s="35"/>
    </row>
    <row r="7154" spans="9:15" x14ac:dyDescent="0.35">
      <c r="I7154" s="35"/>
      <c r="O7154" s="35"/>
    </row>
    <row r="7155" spans="9:15" x14ac:dyDescent="0.35">
      <c r="I7155" s="35"/>
      <c r="O7155" s="35"/>
    </row>
    <row r="7156" spans="9:15" x14ac:dyDescent="0.35">
      <c r="I7156" s="35"/>
      <c r="O7156" s="35"/>
    </row>
    <row r="7157" spans="9:15" x14ac:dyDescent="0.35">
      <c r="I7157" s="35"/>
      <c r="O7157" s="35"/>
    </row>
    <row r="7158" spans="9:15" x14ac:dyDescent="0.35">
      <c r="I7158" s="35"/>
      <c r="O7158" s="35"/>
    </row>
    <row r="7159" spans="9:15" x14ac:dyDescent="0.35">
      <c r="I7159" s="35"/>
      <c r="O7159" s="35"/>
    </row>
    <row r="7160" spans="9:15" x14ac:dyDescent="0.35">
      <c r="I7160" s="35"/>
      <c r="O7160" s="35"/>
    </row>
    <row r="7161" spans="9:15" x14ac:dyDescent="0.35">
      <c r="I7161" s="35"/>
      <c r="O7161" s="35"/>
    </row>
    <row r="7162" spans="9:15" x14ac:dyDescent="0.35">
      <c r="I7162" s="35"/>
      <c r="O7162" s="35"/>
    </row>
    <row r="7163" spans="9:15" x14ac:dyDescent="0.35">
      <c r="I7163" s="35"/>
      <c r="O7163" s="35"/>
    </row>
    <row r="7164" spans="9:15" x14ac:dyDescent="0.35">
      <c r="I7164" s="35"/>
      <c r="O7164" s="35"/>
    </row>
    <row r="7165" spans="9:15" x14ac:dyDescent="0.35">
      <c r="I7165" s="35"/>
      <c r="O7165" s="35"/>
    </row>
    <row r="7166" spans="9:15" x14ac:dyDescent="0.35">
      <c r="I7166" s="35"/>
      <c r="O7166" s="35"/>
    </row>
    <row r="7167" spans="9:15" x14ac:dyDescent="0.35">
      <c r="I7167" s="35"/>
      <c r="O7167" s="35"/>
    </row>
    <row r="7168" spans="9:15" x14ac:dyDescent="0.35">
      <c r="I7168" s="35"/>
      <c r="O7168" s="35"/>
    </row>
    <row r="7169" spans="9:15" x14ac:dyDescent="0.35">
      <c r="I7169" s="35"/>
      <c r="O7169" s="35"/>
    </row>
    <row r="7170" spans="9:15" x14ac:dyDescent="0.35">
      <c r="I7170" s="35"/>
      <c r="O7170" s="35"/>
    </row>
    <row r="7171" spans="9:15" x14ac:dyDescent="0.35">
      <c r="I7171" s="35"/>
      <c r="O7171" s="35"/>
    </row>
    <row r="7172" spans="9:15" x14ac:dyDescent="0.35">
      <c r="I7172" s="35"/>
      <c r="O7172" s="35"/>
    </row>
    <row r="7173" spans="9:15" x14ac:dyDescent="0.35">
      <c r="I7173" s="35"/>
      <c r="O7173" s="35"/>
    </row>
    <row r="7174" spans="9:15" x14ac:dyDescent="0.35">
      <c r="I7174" s="35"/>
      <c r="O7174" s="35"/>
    </row>
    <row r="7175" spans="9:15" x14ac:dyDescent="0.35">
      <c r="I7175" s="35"/>
      <c r="O7175" s="35"/>
    </row>
    <row r="7176" spans="9:15" x14ac:dyDescent="0.35">
      <c r="I7176" s="35"/>
      <c r="O7176" s="35"/>
    </row>
    <row r="7177" spans="9:15" x14ac:dyDescent="0.35">
      <c r="I7177" s="35"/>
      <c r="O7177" s="35"/>
    </row>
    <row r="7178" spans="9:15" x14ac:dyDescent="0.35">
      <c r="I7178" s="35"/>
      <c r="O7178" s="35"/>
    </row>
    <row r="7179" spans="9:15" x14ac:dyDescent="0.35">
      <c r="I7179" s="35"/>
      <c r="O7179" s="35"/>
    </row>
    <row r="7180" spans="9:15" x14ac:dyDescent="0.35">
      <c r="I7180" s="35"/>
      <c r="O7180" s="35"/>
    </row>
    <row r="7181" spans="9:15" x14ac:dyDescent="0.35">
      <c r="I7181" s="35"/>
      <c r="O7181" s="35"/>
    </row>
    <row r="7182" spans="9:15" x14ac:dyDescent="0.35">
      <c r="I7182" s="35"/>
      <c r="O7182" s="35"/>
    </row>
    <row r="7183" spans="9:15" x14ac:dyDescent="0.35">
      <c r="I7183" s="35"/>
      <c r="O7183" s="35"/>
    </row>
    <row r="7184" spans="9:15" x14ac:dyDescent="0.35">
      <c r="I7184" s="35"/>
      <c r="O7184" s="35"/>
    </row>
    <row r="7185" spans="9:15" x14ac:dyDescent="0.35">
      <c r="I7185" s="35"/>
      <c r="O7185" s="35"/>
    </row>
    <row r="7186" spans="9:15" x14ac:dyDescent="0.35">
      <c r="I7186" s="35"/>
      <c r="O7186" s="35"/>
    </row>
    <row r="7187" spans="9:15" x14ac:dyDescent="0.35">
      <c r="I7187" s="35"/>
      <c r="O7187" s="35"/>
    </row>
    <row r="7188" spans="9:15" x14ac:dyDescent="0.35">
      <c r="I7188" s="35"/>
      <c r="O7188" s="35"/>
    </row>
    <row r="7189" spans="9:15" x14ac:dyDescent="0.35">
      <c r="I7189" s="35"/>
      <c r="O7189" s="35"/>
    </row>
    <row r="7190" spans="9:15" x14ac:dyDescent="0.35">
      <c r="I7190" s="35"/>
      <c r="O7190" s="35"/>
    </row>
    <row r="7191" spans="9:15" x14ac:dyDescent="0.35">
      <c r="I7191" s="35"/>
      <c r="O7191" s="35"/>
    </row>
    <row r="7192" spans="9:15" x14ac:dyDescent="0.35">
      <c r="I7192" s="35"/>
      <c r="O7192" s="35"/>
    </row>
    <row r="7193" spans="9:15" x14ac:dyDescent="0.35">
      <c r="I7193" s="35"/>
      <c r="O7193" s="35"/>
    </row>
    <row r="7194" spans="9:15" x14ac:dyDescent="0.35">
      <c r="I7194" s="35"/>
      <c r="O7194" s="35"/>
    </row>
    <row r="7195" spans="9:15" x14ac:dyDescent="0.35">
      <c r="I7195" s="35"/>
      <c r="O7195" s="35"/>
    </row>
    <row r="7196" spans="9:15" x14ac:dyDescent="0.35">
      <c r="I7196" s="35"/>
      <c r="O7196" s="35"/>
    </row>
    <row r="7197" spans="9:15" x14ac:dyDescent="0.35">
      <c r="I7197" s="35"/>
      <c r="O7197" s="35"/>
    </row>
    <row r="7198" spans="9:15" x14ac:dyDescent="0.35">
      <c r="I7198" s="35"/>
      <c r="O7198" s="35"/>
    </row>
    <row r="7199" spans="9:15" x14ac:dyDescent="0.35">
      <c r="I7199" s="35"/>
      <c r="O7199" s="35"/>
    </row>
    <row r="7200" spans="9:15" x14ac:dyDescent="0.35">
      <c r="I7200" s="35"/>
      <c r="O7200" s="35"/>
    </row>
    <row r="7201" spans="9:15" x14ac:dyDescent="0.35">
      <c r="I7201" s="35"/>
      <c r="O7201" s="35"/>
    </row>
    <row r="7202" spans="9:15" x14ac:dyDescent="0.35">
      <c r="I7202" s="35"/>
      <c r="O7202" s="35"/>
    </row>
    <row r="7203" spans="9:15" x14ac:dyDescent="0.35">
      <c r="I7203" s="35"/>
      <c r="O7203" s="35"/>
    </row>
    <row r="7204" spans="9:15" x14ac:dyDescent="0.35">
      <c r="I7204" s="35"/>
      <c r="O7204" s="35"/>
    </row>
    <row r="7205" spans="9:15" x14ac:dyDescent="0.35">
      <c r="I7205" s="35"/>
      <c r="O7205" s="35"/>
    </row>
    <row r="7206" spans="9:15" x14ac:dyDescent="0.35">
      <c r="I7206" s="35"/>
      <c r="O7206" s="35"/>
    </row>
    <row r="7207" spans="9:15" x14ac:dyDescent="0.35">
      <c r="I7207" s="35"/>
      <c r="O7207" s="35"/>
    </row>
    <row r="7208" spans="9:15" x14ac:dyDescent="0.35">
      <c r="I7208" s="35"/>
      <c r="O7208" s="35"/>
    </row>
    <row r="7209" spans="9:15" x14ac:dyDescent="0.35">
      <c r="I7209" s="35"/>
      <c r="O7209" s="35"/>
    </row>
    <row r="7210" spans="9:15" x14ac:dyDescent="0.35">
      <c r="I7210" s="35"/>
      <c r="O7210" s="35"/>
    </row>
    <row r="7211" spans="9:15" x14ac:dyDescent="0.35">
      <c r="I7211" s="35"/>
      <c r="O7211" s="35"/>
    </row>
    <row r="7212" spans="9:15" x14ac:dyDescent="0.35">
      <c r="I7212" s="35"/>
      <c r="O7212" s="35"/>
    </row>
    <row r="7213" spans="9:15" x14ac:dyDescent="0.35">
      <c r="I7213" s="35"/>
      <c r="O7213" s="35"/>
    </row>
    <row r="7214" spans="9:15" x14ac:dyDescent="0.35">
      <c r="I7214" s="35"/>
      <c r="O7214" s="35"/>
    </row>
    <row r="7215" spans="9:15" x14ac:dyDescent="0.35">
      <c r="I7215" s="35"/>
      <c r="O7215" s="35"/>
    </row>
    <row r="7216" spans="9:15" x14ac:dyDescent="0.35">
      <c r="I7216" s="35"/>
      <c r="O7216" s="35"/>
    </row>
    <row r="7217" spans="9:15" x14ac:dyDescent="0.35">
      <c r="I7217" s="35"/>
      <c r="O7217" s="35"/>
    </row>
    <row r="7218" spans="9:15" x14ac:dyDescent="0.35">
      <c r="I7218" s="35"/>
      <c r="O7218" s="35"/>
    </row>
    <row r="7219" spans="9:15" x14ac:dyDescent="0.35">
      <c r="I7219" s="35"/>
      <c r="O7219" s="35"/>
    </row>
    <row r="7220" spans="9:15" x14ac:dyDescent="0.35">
      <c r="I7220" s="35"/>
      <c r="O7220" s="35"/>
    </row>
    <row r="7221" spans="9:15" x14ac:dyDescent="0.35">
      <c r="I7221" s="35"/>
      <c r="O7221" s="35"/>
    </row>
    <row r="7222" spans="9:15" x14ac:dyDescent="0.35">
      <c r="I7222" s="35"/>
      <c r="O7222" s="35"/>
    </row>
    <row r="7223" spans="9:15" x14ac:dyDescent="0.35">
      <c r="I7223" s="35"/>
      <c r="O7223" s="35"/>
    </row>
    <row r="7224" spans="9:15" x14ac:dyDescent="0.35">
      <c r="I7224" s="35"/>
      <c r="O7224" s="35"/>
    </row>
    <row r="7225" spans="9:15" x14ac:dyDescent="0.35">
      <c r="I7225" s="35"/>
      <c r="O7225" s="35"/>
    </row>
    <row r="7226" spans="9:15" x14ac:dyDescent="0.35">
      <c r="I7226" s="35"/>
      <c r="O7226" s="35"/>
    </row>
    <row r="7227" spans="9:15" x14ac:dyDescent="0.35">
      <c r="I7227" s="35"/>
      <c r="O7227" s="35"/>
    </row>
    <row r="7228" spans="9:15" x14ac:dyDescent="0.35">
      <c r="I7228" s="35"/>
      <c r="O7228" s="35"/>
    </row>
    <row r="7229" spans="9:15" x14ac:dyDescent="0.35">
      <c r="I7229" s="35"/>
      <c r="O7229" s="35"/>
    </row>
    <row r="7230" spans="9:15" x14ac:dyDescent="0.35">
      <c r="I7230" s="35"/>
      <c r="O7230" s="35"/>
    </row>
    <row r="7231" spans="9:15" x14ac:dyDescent="0.35">
      <c r="I7231" s="35"/>
      <c r="O7231" s="35"/>
    </row>
    <row r="7232" spans="9:15" x14ac:dyDescent="0.35">
      <c r="I7232" s="35"/>
      <c r="O7232" s="35"/>
    </row>
    <row r="7233" spans="9:15" x14ac:dyDescent="0.35">
      <c r="I7233" s="35"/>
      <c r="O7233" s="35"/>
    </row>
    <row r="7234" spans="9:15" x14ac:dyDescent="0.35">
      <c r="I7234" s="35"/>
      <c r="O7234" s="35"/>
    </row>
    <row r="7235" spans="9:15" x14ac:dyDescent="0.35">
      <c r="I7235" s="35"/>
      <c r="O7235" s="35"/>
    </row>
    <row r="7236" spans="9:15" x14ac:dyDescent="0.35">
      <c r="I7236" s="35"/>
      <c r="O7236" s="35"/>
    </row>
    <row r="7237" spans="9:15" x14ac:dyDescent="0.35">
      <c r="I7237" s="35"/>
      <c r="O7237" s="35"/>
    </row>
    <row r="7238" spans="9:15" x14ac:dyDescent="0.35">
      <c r="I7238" s="35"/>
      <c r="O7238" s="35"/>
    </row>
    <row r="7239" spans="9:15" x14ac:dyDescent="0.35">
      <c r="I7239" s="35"/>
      <c r="O7239" s="35"/>
    </row>
    <row r="7240" spans="9:15" x14ac:dyDescent="0.35">
      <c r="I7240" s="35"/>
      <c r="O7240" s="35"/>
    </row>
    <row r="7241" spans="9:15" x14ac:dyDescent="0.35">
      <c r="I7241" s="35"/>
      <c r="O7241" s="35"/>
    </row>
    <row r="7242" spans="9:15" x14ac:dyDescent="0.35">
      <c r="I7242" s="35"/>
      <c r="O7242" s="35"/>
    </row>
    <row r="7243" spans="9:15" x14ac:dyDescent="0.35">
      <c r="I7243" s="35"/>
      <c r="O7243" s="35"/>
    </row>
    <row r="7244" spans="9:15" x14ac:dyDescent="0.35">
      <c r="I7244" s="35"/>
      <c r="O7244" s="35"/>
    </row>
    <row r="7245" spans="9:15" x14ac:dyDescent="0.35">
      <c r="I7245" s="35"/>
      <c r="O7245" s="35"/>
    </row>
    <row r="7246" spans="9:15" x14ac:dyDescent="0.35">
      <c r="I7246" s="35"/>
      <c r="O7246" s="35"/>
    </row>
    <row r="7247" spans="9:15" x14ac:dyDescent="0.35">
      <c r="I7247" s="35"/>
      <c r="O7247" s="35"/>
    </row>
    <row r="7248" spans="9:15" x14ac:dyDescent="0.35">
      <c r="I7248" s="35"/>
      <c r="O7248" s="35"/>
    </row>
    <row r="7249" spans="9:15" x14ac:dyDescent="0.35">
      <c r="I7249" s="35"/>
      <c r="O7249" s="35"/>
    </row>
    <row r="7250" spans="9:15" x14ac:dyDescent="0.35">
      <c r="I7250" s="35"/>
      <c r="O7250" s="35"/>
    </row>
    <row r="7251" spans="9:15" x14ac:dyDescent="0.35">
      <c r="I7251" s="35"/>
      <c r="O7251" s="35"/>
    </row>
    <row r="7252" spans="9:15" x14ac:dyDescent="0.35">
      <c r="I7252" s="35"/>
      <c r="O7252" s="35"/>
    </row>
    <row r="7253" spans="9:15" x14ac:dyDescent="0.35">
      <c r="I7253" s="35"/>
      <c r="O7253" s="35"/>
    </row>
    <row r="7254" spans="9:15" x14ac:dyDescent="0.35">
      <c r="I7254" s="35"/>
      <c r="O7254" s="35"/>
    </row>
    <row r="7255" spans="9:15" x14ac:dyDescent="0.35">
      <c r="I7255" s="35"/>
      <c r="O7255" s="35"/>
    </row>
    <row r="7256" spans="9:15" x14ac:dyDescent="0.35">
      <c r="I7256" s="35"/>
      <c r="O7256" s="35"/>
    </row>
    <row r="7257" spans="9:15" x14ac:dyDescent="0.35">
      <c r="I7257" s="35"/>
      <c r="O7257" s="35"/>
    </row>
    <row r="7258" spans="9:15" x14ac:dyDescent="0.35">
      <c r="I7258" s="35"/>
      <c r="O7258" s="35"/>
    </row>
    <row r="7259" spans="9:15" x14ac:dyDescent="0.35">
      <c r="I7259" s="35"/>
      <c r="O7259" s="35"/>
    </row>
    <row r="7260" spans="9:15" x14ac:dyDescent="0.35">
      <c r="I7260" s="35"/>
      <c r="O7260" s="35"/>
    </row>
    <row r="7261" spans="9:15" x14ac:dyDescent="0.35">
      <c r="I7261" s="35"/>
      <c r="O7261" s="35"/>
    </row>
    <row r="7262" spans="9:15" x14ac:dyDescent="0.35">
      <c r="I7262" s="35"/>
      <c r="O7262" s="35"/>
    </row>
    <row r="7263" spans="9:15" x14ac:dyDescent="0.35">
      <c r="I7263" s="35"/>
      <c r="O7263" s="35"/>
    </row>
    <row r="7264" spans="9:15" x14ac:dyDescent="0.35">
      <c r="I7264" s="35"/>
      <c r="O7264" s="35"/>
    </row>
    <row r="7265" spans="9:15" x14ac:dyDescent="0.35">
      <c r="I7265" s="35"/>
      <c r="O7265" s="35"/>
    </row>
    <row r="7266" spans="9:15" x14ac:dyDescent="0.35">
      <c r="I7266" s="35"/>
      <c r="O7266" s="35"/>
    </row>
    <row r="7267" spans="9:15" x14ac:dyDescent="0.35">
      <c r="I7267" s="35"/>
      <c r="O7267" s="35"/>
    </row>
    <row r="7268" spans="9:15" x14ac:dyDescent="0.35">
      <c r="I7268" s="35"/>
      <c r="O7268" s="35"/>
    </row>
    <row r="7269" spans="9:15" x14ac:dyDescent="0.35">
      <c r="I7269" s="35"/>
      <c r="O7269" s="35"/>
    </row>
    <row r="7270" spans="9:15" x14ac:dyDescent="0.35">
      <c r="I7270" s="35"/>
      <c r="O7270" s="35"/>
    </row>
    <row r="7271" spans="9:15" x14ac:dyDescent="0.35">
      <c r="I7271" s="35"/>
      <c r="O7271" s="35"/>
    </row>
    <row r="7272" spans="9:15" x14ac:dyDescent="0.35">
      <c r="I7272" s="35"/>
      <c r="O7272" s="35"/>
    </row>
    <row r="7273" spans="9:15" x14ac:dyDescent="0.35">
      <c r="I7273" s="35"/>
      <c r="O7273" s="35"/>
    </row>
    <row r="7274" spans="9:15" x14ac:dyDescent="0.35">
      <c r="I7274" s="35"/>
      <c r="O7274" s="35"/>
    </row>
    <row r="7275" spans="9:15" x14ac:dyDescent="0.35">
      <c r="I7275" s="35"/>
      <c r="O7275" s="35"/>
    </row>
    <row r="7276" spans="9:15" x14ac:dyDescent="0.35">
      <c r="I7276" s="35"/>
      <c r="O7276" s="35"/>
    </row>
    <row r="7277" spans="9:15" x14ac:dyDescent="0.35">
      <c r="I7277" s="35"/>
      <c r="O7277" s="35"/>
    </row>
    <row r="7278" spans="9:15" x14ac:dyDescent="0.35">
      <c r="I7278" s="35"/>
      <c r="O7278" s="35"/>
    </row>
    <row r="7279" spans="9:15" x14ac:dyDescent="0.35">
      <c r="I7279" s="35"/>
      <c r="O7279" s="35"/>
    </row>
    <row r="7280" spans="9:15" x14ac:dyDescent="0.35">
      <c r="I7280" s="35"/>
      <c r="O7280" s="35"/>
    </row>
    <row r="7281" spans="9:15" x14ac:dyDescent="0.35">
      <c r="I7281" s="35"/>
      <c r="O7281" s="35"/>
    </row>
    <row r="7282" spans="9:15" x14ac:dyDescent="0.35">
      <c r="I7282" s="35"/>
      <c r="O7282" s="35"/>
    </row>
    <row r="7283" spans="9:15" x14ac:dyDescent="0.35">
      <c r="I7283" s="35"/>
      <c r="O7283" s="35"/>
    </row>
    <row r="7284" spans="9:15" x14ac:dyDescent="0.35">
      <c r="I7284" s="35"/>
      <c r="O7284" s="35"/>
    </row>
    <row r="7285" spans="9:15" x14ac:dyDescent="0.35">
      <c r="I7285" s="35"/>
      <c r="O7285" s="35"/>
    </row>
    <row r="7286" spans="9:15" x14ac:dyDescent="0.35">
      <c r="I7286" s="35"/>
      <c r="O7286" s="35"/>
    </row>
    <row r="7287" spans="9:15" x14ac:dyDescent="0.35">
      <c r="I7287" s="35"/>
      <c r="O7287" s="35"/>
    </row>
    <row r="7288" spans="9:15" x14ac:dyDescent="0.35">
      <c r="I7288" s="35"/>
      <c r="O7288" s="35"/>
    </row>
    <row r="7289" spans="9:15" x14ac:dyDescent="0.35">
      <c r="I7289" s="35"/>
      <c r="O7289" s="35"/>
    </row>
    <row r="7290" spans="9:15" x14ac:dyDescent="0.35">
      <c r="I7290" s="35"/>
      <c r="O7290" s="35"/>
    </row>
    <row r="7291" spans="9:15" x14ac:dyDescent="0.35">
      <c r="I7291" s="35"/>
      <c r="O7291" s="35"/>
    </row>
    <row r="7292" spans="9:15" x14ac:dyDescent="0.35">
      <c r="I7292" s="35"/>
      <c r="O7292" s="35"/>
    </row>
    <row r="7293" spans="9:15" x14ac:dyDescent="0.35">
      <c r="I7293" s="35"/>
      <c r="O7293" s="35"/>
    </row>
    <row r="7294" spans="9:15" x14ac:dyDescent="0.35">
      <c r="I7294" s="35"/>
      <c r="O7294" s="35"/>
    </row>
    <row r="7295" spans="9:15" x14ac:dyDescent="0.35">
      <c r="I7295" s="35"/>
      <c r="O7295" s="35"/>
    </row>
    <row r="7296" spans="9:15" x14ac:dyDescent="0.35">
      <c r="I7296" s="35"/>
      <c r="O7296" s="35"/>
    </row>
    <row r="7297" spans="9:15" x14ac:dyDescent="0.35">
      <c r="I7297" s="35"/>
      <c r="O7297" s="35"/>
    </row>
    <row r="7298" spans="9:15" x14ac:dyDescent="0.35">
      <c r="I7298" s="35"/>
      <c r="O7298" s="35"/>
    </row>
    <row r="7299" spans="9:15" x14ac:dyDescent="0.35">
      <c r="I7299" s="35"/>
      <c r="O7299" s="35"/>
    </row>
    <row r="7300" spans="9:15" x14ac:dyDescent="0.35">
      <c r="I7300" s="35"/>
      <c r="O7300" s="35"/>
    </row>
    <row r="7301" spans="9:15" x14ac:dyDescent="0.35">
      <c r="I7301" s="35"/>
      <c r="O7301" s="35"/>
    </row>
    <row r="7302" spans="9:15" x14ac:dyDescent="0.35">
      <c r="I7302" s="35"/>
      <c r="O7302" s="35"/>
    </row>
    <row r="7303" spans="9:15" x14ac:dyDescent="0.35">
      <c r="I7303" s="35"/>
      <c r="O7303" s="35"/>
    </row>
    <row r="7304" spans="9:15" x14ac:dyDescent="0.35">
      <c r="I7304" s="35"/>
      <c r="O7304" s="35"/>
    </row>
    <row r="7305" spans="9:15" x14ac:dyDescent="0.35">
      <c r="I7305" s="35"/>
      <c r="O7305" s="35"/>
    </row>
    <row r="7306" spans="9:15" x14ac:dyDescent="0.35">
      <c r="I7306" s="35"/>
      <c r="O7306" s="35"/>
    </row>
    <row r="7307" spans="9:15" x14ac:dyDescent="0.35">
      <c r="I7307" s="35"/>
      <c r="O7307" s="35"/>
    </row>
    <row r="7308" spans="9:15" x14ac:dyDescent="0.35">
      <c r="I7308" s="35"/>
      <c r="O7308" s="35"/>
    </row>
    <row r="7309" spans="9:15" x14ac:dyDescent="0.35">
      <c r="I7309" s="35"/>
      <c r="O7309" s="35"/>
    </row>
    <row r="7310" spans="9:15" x14ac:dyDescent="0.35">
      <c r="I7310" s="35"/>
      <c r="O7310" s="35"/>
    </row>
    <row r="7311" spans="9:15" x14ac:dyDescent="0.35">
      <c r="I7311" s="35"/>
      <c r="O7311" s="35"/>
    </row>
    <row r="7312" spans="9:15" x14ac:dyDescent="0.35">
      <c r="I7312" s="35"/>
      <c r="O7312" s="35"/>
    </row>
    <row r="7313" spans="9:15" x14ac:dyDescent="0.35">
      <c r="I7313" s="35"/>
      <c r="O7313" s="35"/>
    </row>
    <row r="7314" spans="9:15" x14ac:dyDescent="0.35">
      <c r="I7314" s="35"/>
      <c r="O7314" s="35"/>
    </row>
    <row r="7315" spans="9:15" x14ac:dyDescent="0.35">
      <c r="I7315" s="35"/>
      <c r="O7315" s="35"/>
    </row>
    <row r="7316" spans="9:15" x14ac:dyDescent="0.35">
      <c r="I7316" s="35"/>
      <c r="O7316" s="35"/>
    </row>
    <row r="7317" spans="9:15" x14ac:dyDescent="0.35">
      <c r="I7317" s="35"/>
      <c r="O7317" s="35"/>
    </row>
    <row r="7318" spans="9:15" x14ac:dyDescent="0.35">
      <c r="I7318" s="35"/>
      <c r="O7318" s="35"/>
    </row>
    <row r="7319" spans="9:15" x14ac:dyDescent="0.35">
      <c r="I7319" s="35"/>
      <c r="O7319" s="35"/>
    </row>
    <row r="7320" spans="9:15" x14ac:dyDescent="0.35">
      <c r="I7320" s="35"/>
      <c r="O7320" s="35"/>
    </row>
    <row r="7321" spans="9:15" x14ac:dyDescent="0.35">
      <c r="I7321" s="35"/>
      <c r="O7321" s="35"/>
    </row>
    <row r="7322" spans="9:15" x14ac:dyDescent="0.35">
      <c r="I7322" s="35"/>
      <c r="O7322" s="35"/>
    </row>
    <row r="7323" spans="9:15" x14ac:dyDescent="0.35">
      <c r="I7323" s="35"/>
      <c r="O7323" s="35"/>
    </row>
    <row r="7324" spans="9:15" x14ac:dyDescent="0.35">
      <c r="I7324" s="35"/>
      <c r="O7324" s="35"/>
    </row>
    <row r="7325" spans="9:15" x14ac:dyDescent="0.35">
      <c r="I7325" s="35"/>
      <c r="O7325" s="35"/>
    </row>
    <row r="7326" spans="9:15" x14ac:dyDescent="0.35">
      <c r="I7326" s="35"/>
      <c r="O7326" s="35"/>
    </row>
    <row r="7327" spans="9:15" x14ac:dyDescent="0.35">
      <c r="I7327" s="35"/>
      <c r="O7327" s="35"/>
    </row>
    <row r="7328" spans="9:15" x14ac:dyDescent="0.35">
      <c r="I7328" s="35"/>
      <c r="O7328" s="35"/>
    </row>
    <row r="7329" spans="9:15" x14ac:dyDescent="0.35">
      <c r="I7329" s="35"/>
      <c r="O7329" s="35"/>
    </row>
    <row r="7330" spans="9:15" x14ac:dyDescent="0.35">
      <c r="I7330" s="35"/>
      <c r="O7330" s="35"/>
    </row>
    <row r="7331" spans="9:15" x14ac:dyDescent="0.35">
      <c r="I7331" s="35"/>
      <c r="O7331" s="35"/>
    </row>
    <row r="7332" spans="9:15" x14ac:dyDescent="0.35">
      <c r="I7332" s="35"/>
      <c r="O7332" s="35"/>
    </row>
    <row r="7333" spans="9:15" x14ac:dyDescent="0.35">
      <c r="I7333" s="35"/>
      <c r="O7333" s="35"/>
    </row>
    <row r="7334" spans="9:15" x14ac:dyDescent="0.35">
      <c r="I7334" s="35"/>
      <c r="O7334" s="35"/>
    </row>
    <row r="7335" spans="9:15" x14ac:dyDescent="0.35">
      <c r="I7335" s="35"/>
      <c r="O7335" s="35"/>
    </row>
    <row r="7336" spans="9:15" x14ac:dyDescent="0.35">
      <c r="I7336" s="35"/>
      <c r="O7336" s="35"/>
    </row>
    <row r="7337" spans="9:15" x14ac:dyDescent="0.35">
      <c r="I7337" s="35"/>
      <c r="O7337" s="35"/>
    </row>
    <row r="7338" spans="9:15" x14ac:dyDescent="0.35">
      <c r="I7338" s="35"/>
      <c r="O7338" s="35"/>
    </row>
    <row r="7339" spans="9:15" x14ac:dyDescent="0.35">
      <c r="I7339" s="35"/>
      <c r="O7339" s="35"/>
    </row>
    <row r="7340" spans="9:15" x14ac:dyDescent="0.35">
      <c r="I7340" s="35"/>
      <c r="O7340" s="35"/>
    </row>
    <row r="7341" spans="9:15" x14ac:dyDescent="0.35">
      <c r="I7341" s="35"/>
      <c r="O7341" s="35"/>
    </row>
    <row r="7342" spans="9:15" x14ac:dyDescent="0.35">
      <c r="I7342" s="35"/>
      <c r="O7342" s="35"/>
    </row>
    <row r="7343" spans="9:15" x14ac:dyDescent="0.35">
      <c r="I7343" s="35"/>
      <c r="O7343" s="35"/>
    </row>
    <row r="7344" spans="9:15" x14ac:dyDescent="0.35">
      <c r="I7344" s="35"/>
      <c r="O7344" s="35"/>
    </row>
    <row r="7345" spans="9:15" x14ac:dyDescent="0.35">
      <c r="I7345" s="35"/>
      <c r="O7345" s="35"/>
    </row>
    <row r="7346" spans="9:15" x14ac:dyDescent="0.35">
      <c r="I7346" s="35"/>
      <c r="O7346" s="35"/>
    </row>
    <row r="7347" spans="9:15" x14ac:dyDescent="0.35">
      <c r="I7347" s="35"/>
      <c r="O7347" s="35"/>
    </row>
    <row r="7348" spans="9:15" x14ac:dyDescent="0.35">
      <c r="I7348" s="35"/>
      <c r="O7348" s="35"/>
    </row>
    <row r="7349" spans="9:15" x14ac:dyDescent="0.35">
      <c r="I7349" s="35"/>
      <c r="O7349" s="35"/>
    </row>
    <row r="7350" spans="9:15" x14ac:dyDescent="0.35">
      <c r="I7350" s="35"/>
      <c r="O7350" s="35"/>
    </row>
    <row r="7351" spans="9:15" x14ac:dyDescent="0.35">
      <c r="I7351" s="35"/>
      <c r="O7351" s="35"/>
    </row>
    <row r="7352" spans="9:15" x14ac:dyDescent="0.35">
      <c r="I7352" s="35"/>
      <c r="O7352" s="35"/>
    </row>
    <row r="7353" spans="9:15" x14ac:dyDescent="0.35">
      <c r="I7353" s="35"/>
      <c r="O7353" s="35"/>
    </row>
    <row r="7354" spans="9:15" x14ac:dyDescent="0.35">
      <c r="I7354" s="35"/>
      <c r="O7354" s="35"/>
    </row>
    <row r="7355" spans="9:15" x14ac:dyDescent="0.35">
      <c r="I7355" s="35"/>
      <c r="O7355" s="35"/>
    </row>
    <row r="7356" spans="9:15" x14ac:dyDescent="0.35">
      <c r="I7356" s="35"/>
      <c r="O7356" s="35"/>
    </row>
    <row r="7357" spans="9:15" x14ac:dyDescent="0.35">
      <c r="I7357" s="35"/>
      <c r="O7357" s="35"/>
    </row>
    <row r="7358" spans="9:15" x14ac:dyDescent="0.35">
      <c r="I7358" s="35"/>
      <c r="O7358" s="35"/>
    </row>
    <row r="7359" spans="9:15" x14ac:dyDescent="0.35">
      <c r="I7359" s="35"/>
      <c r="O7359" s="35"/>
    </row>
    <row r="7360" spans="9:15" x14ac:dyDescent="0.35">
      <c r="I7360" s="35"/>
      <c r="O7360" s="35"/>
    </row>
    <row r="7361" spans="9:15" x14ac:dyDescent="0.35">
      <c r="I7361" s="35"/>
      <c r="O7361" s="35"/>
    </row>
    <row r="7362" spans="9:15" x14ac:dyDescent="0.35">
      <c r="I7362" s="35"/>
      <c r="O7362" s="35"/>
    </row>
    <row r="7363" spans="9:15" x14ac:dyDescent="0.35">
      <c r="I7363" s="35"/>
      <c r="O7363" s="35"/>
    </row>
    <row r="7364" spans="9:15" x14ac:dyDescent="0.35">
      <c r="I7364" s="35"/>
      <c r="O7364" s="35"/>
    </row>
    <row r="7365" spans="9:15" x14ac:dyDescent="0.35">
      <c r="I7365" s="35"/>
      <c r="O7365" s="35"/>
    </row>
    <row r="7366" spans="9:15" x14ac:dyDescent="0.35">
      <c r="I7366" s="35"/>
      <c r="O7366" s="35"/>
    </row>
    <row r="7367" spans="9:15" x14ac:dyDescent="0.35">
      <c r="I7367" s="35"/>
      <c r="O7367" s="35"/>
    </row>
    <row r="7368" spans="9:15" x14ac:dyDescent="0.35">
      <c r="I7368" s="35"/>
      <c r="O7368" s="35"/>
    </row>
    <row r="7369" spans="9:15" x14ac:dyDescent="0.35">
      <c r="I7369" s="35"/>
      <c r="O7369" s="35"/>
    </row>
    <row r="7370" spans="9:15" x14ac:dyDescent="0.35">
      <c r="I7370" s="35"/>
      <c r="O7370" s="35"/>
    </row>
    <row r="7371" spans="9:15" x14ac:dyDescent="0.35">
      <c r="I7371" s="35"/>
      <c r="O7371" s="35"/>
    </row>
    <row r="7372" spans="9:15" x14ac:dyDescent="0.35">
      <c r="I7372" s="35"/>
      <c r="O7372" s="35"/>
    </row>
    <row r="7373" spans="9:15" x14ac:dyDescent="0.35">
      <c r="I7373" s="35"/>
      <c r="O7373" s="35"/>
    </row>
    <row r="7374" spans="9:15" x14ac:dyDescent="0.35">
      <c r="I7374" s="35"/>
      <c r="O7374" s="35"/>
    </row>
    <row r="7375" spans="9:15" x14ac:dyDescent="0.35">
      <c r="I7375" s="35"/>
      <c r="O7375" s="35"/>
    </row>
    <row r="7376" spans="9:15" x14ac:dyDescent="0.35">
      <c r="I7376" s="35"/>
      <c r="O7376" s="35"/>
    </row>
    <row r="7377" spans="9:15" x14ac:dyDescent="0.35">
      <c r="I7377" s="35"/>
      <c r="O7377" s="35"/>
    </row>
    <row r="7378" spans="9:15" x14ac:dyDescent="0.35">
      <c r="I7378" s="35"/>
      <c r="O7378" s="35"/>
    </row>
    <row r="7379" spans="9:15" x14ac:dyDescent="0.35">
      <c r="I7379" s="35"/>
      <c r="O7379" s="35"/>
    </row>
    <row r="7380" spans="9:15" x14ac:dyDescent="0.35">
      <c r="I7380" s="35"/>
      <c r="O7380" s="35"/>
    </row>
    <row r="7381" spans="9:15" x14ac:dyDescent="0.35">
      <c r="I7381" s="35"/>
      <c r="O7381" s="35"/>
    </row>
    <row r="7382" spans="9:15" x14ac:dyDescent="0.35">
      <c r="I7382" s="35"/>
      <c r="O7382" s="35"/>
    </row>
    <row r="7383" spans="9:15" x14ac:dyDescent="0.35">
      <c r="I7383" s="35"/>
      <c r="O7383" s="35"/>
    </row>
    <row r="7384" spans="9:15" x14ac:dyDescent="0.35">
      <c r="I7384" s="35"/>
      <c r="O7384" s="35"/>
    </row>
    <row r="7385" spans="9:15" x14ac:dyDescent="0.35">
      <c r="I7385" s="35"/>
      <c r="O7385" s="35"/>
    </row>
    <row r="7386" spans="9:15" x14ac:dyDescent="0.35">
      <c r="I7386" s="35"/>
      <c r="O7386" s="35"/>
    </row>
    <row r="7387" spans="9:15" x14ac:dyDescent="0.35">
      <c r="I7387" s="35"/>
      <c r="O7387" s="35"/>
    </row>
    <row r="7388" spans="9:15" x14ac:dyDescent="0.35">
      <c r="I7388" s="35"/>
      <c r="O7388" s="35"/>
    </row>
    <row r="7389" spans="9:15" x14ac:dyDescent="0.35">
      <c r="I7389" s="35"/>
      <c r="O7389" s="35"/>
    </row>
    <row r="7390" spans="9:15" x14ac:dyDescent="0.35">
      <c r="I7390" s="35"/>
      <c r="O7390" s="35"/>
    </row>
    <row r="7391" spans="9:15" x14ac:dyDescent="0.35">
      <c r="I7391" s="35"/>
      <c r="O7391" s="35"/>
    </row>
    <row r="7392" spans="9:15" x14ac:dyDescent="0.35">
      <c r="I7392" s="35"/>
      <c r="O7392" s="35"/>
    </row>
    <row r="7393" spans="9:15" x14ac:dyDescent="0.35">
      <c r="I7393" s="35"/>
      <c r="O7393" s="35"/>
    </row>
    <row r="7394" spans="9:15" x14ac:dyDescent="0.35">
      <c r="I7394" s="35"/>
      <c r="O7394" s="35"/>
    </row>
    <row r="7395" spans="9:15" x14ac:dyDescent="0.35">
      <c r="I7395" s="35"/>
      <c r="O7395" s="35"/>
    </row>
    <row r="7396" spans="9:15" x14ac:dyDescent="0.35">
      <c r="I7396" s="35"/>
      <c r="O7396" s="35"/>
    </row>
    <row r="7397" spans="9:15" x14ac:dyDescent="0.35">
      <c r="I7397" s="35"/>
      <c r="O7397" s="35"/>
    </row>
    <row r="7398" spans="9:15" x14ac:dyDescent="0.35">
      <c r="I7398" s="35"/>
      <c r="O7398" s="35"/>
    </row>
    <row r="7399" spans="9:15" x14ac:dyDescent="0.35">
      <c r="I7399" s="35"/>
      <c r="O7399" s="35"/>
    </row>
    <row r="7400" spans="9:15" x14ac:dyDescent="0.35">
      <c r="I7400" s="35"/>
      <c r="O7400" s="35"/>
    </row>
    <row r="7401" spans="9:15" x14ac:dyDescent="0.35">
      <c r="I7401" s="35"/>
      <c r="O7401" s="35"/>
    </row>
    <row r="7402" spans="9:15" x14ac:dyDescent="0.35">
      <c r="I7402" s="35"/>
      <c r="O7402" s="35"/>
    </row>
    <row r="7403" spans="9:15" x14ac:dyDescent="0.35">
      <c r="I7403" s="35"/>
      <c r="O7403" s="35"/>
    </row>
    <row r="7404" spans="9:15" x14ac:dyDescent="0.35">
      <c r="I7404" s="35"/>
      <c r="O7404" s="35"/>
    </row>
    <row r="7405" spans="9:15" x14ac:dyDescent="0.35">
      <c r="I7405" s="35"/>
      <c r="O7405" s="35"/>
    </row>
    <row r="7406" spans="9:15" x14ac:dyDescent="0.35">
      <c r="I7406" s="35"/>
      <c r="O7406" s="35"/>
    </row>
    <row r="7407" spans="9:15" x14ac:dyDescent="0.35">
      <c r="I7407" s="35"/>
      <c r="O7407" s="35"/>
    </row>
    <row r="7408" spans="9:15" x14ac:dyDescent="0.35">
      <c r="I7408" s="35"/>
      <c r="O7408" s="35"/>
    </row>
    <row r="7409" spans="9:15" x14ac:dyDescent="0.35">
      <c r="I7409" s="35"/>
      <c r="O7409" s="35"/>
    </row>
    <row r="7410" spans="9:15" x14ac:dyDescent="0.35">
      <c r="I7410" s="35"/>
      <c r="O7410" s="35"/>
    </row>
    <row r="7411" spans="9:15" x14ac:dyDescent="0.35">
      <c r="I7411" s="35"/>
      <c r="O7411" s="35"/>
    </row>
    <row r="7412" spans="9:15" x14ac:dyDescent="0.35">
      <c r="I7412" s="35"/>
      <c r="O7412" s="35"/>
    </row>
    <row r="7413" spans="9:15" x14ac:dyDescent="0.35">
      <c r="I7413" s="35"/>
      <c r="O7413" s="35"/>
    </row>
    <row r="7414" spans="9:15" x14ac:dyDescent="0.35">
      <c r="I7414" s="35"/>
      <c r="O7414" s="35"/>
    </row>
    <row r="7415" spans="9:15" x14ac:dyDescent="0.35">
      <c r="I7415" s="35"/>
      <c r="O7415" s="35"/>
    </row>
    <row r="7416" spans="9:15" x14ac:dyDescent="0.35">
      <c r="I7416" s="35"/>
      <c r="O7416" s="35"/>
    </row>
    <row r="7417" spans="9:15" x14ac:dyDescent="0.35">
      <c r="I7417" s="35"/>
      <c r="O7417" s="35"/>
    </row>
    <row r="7418" spans="9:15" x14ac:dyDescent="0.35">
      <c r="I7418" s="35"/>
      <c r="O7418" s="35"/>
    </row>
    <row r="7419" spans="9:15" x14ac:dyDescent="0.35">
      <c r="I7419" s="35"/>
      <c r="O7419" s="35"/>
    </row>
    <row r="7420" spans="9:15" x14ac:dyDescent="0.35">
      <c r="I7420" s="35"/>
      <c r="O7420" s="35"/>
    </row>
    <row r="7421" spans="9:15" x14ac:dyDescent="0.35">
      <c r="I7421" s="35"/>
      <c r="O7421" s="35"/>
    </row>
    <row r="7422" spans="9:15" x14ac:dyDescent="0.35">
      <c r="I7422" s="35"/>
      <c r="O7422" s="35"/>
    </row>
    <row r="7423" spans="9:15" x14ac:dyDescent="0.35">
      <c r="I7423" s="35"/>
      <c r="O7423" s="35"/>
    </row>
    <row r="7424" spans="9:15" x14ac:dyDescent="0.35">
      <c r="I7424" s="35"/>
      <c r="O7424" s="35"/>
    </row>
    <row r="7425" spans="9:15" x14ac:dyDescent="0.35">
      <c r="I7425" s="35"/>
      <c r="O7425" s="35"/>
    </row>
    <row r="7426" spans="9:15" x14ac:dyDescent="0.35">
      <c r="I7426" s="35"/>
      <c r="O7426" s="35"/>
    </row>
    <row r="7427" spans="9:15" x14ac:dyDescent="0.35">
      <c r="I7427" s="35"/>
      <c r="O7427" s="35"/>
    </row>
    <row r="7428" spans="9:15" x14ac:dyDescent="0.35">
      <c r="I7428" s="35"/>
      <c r="O7428" s="35"/>
    </row>
    <row r="7429" spans="9:15" x14ac:dyDescent="0.35">
      <c r="I7429" s="35"/>
      <c r="O7429" s="35"/>
    </row>
    <row r="7430" spans="9:15" x14ac:dyDescent="0.35">
      <c r="I7430" s="35"/>
      <c r="O7430" s="35"/>
    </row>
    <row r="7431" spans="9:15" x14ac:dyDescent="0.35">
      <c r="I7431" s="35"/>
      <c r="O7431" s="35"/>
    </row>
    <row r="7432" spans="9:15" x14ac:dyDescent="0.35">
      <c r="I7432" s="35"/>
      <c r="O7432" s="35"/>
    </row>
    <row r="7433" spans="9:15" x14ac:dyDescent="0.35">
      <c r="I7433" s="35"/>
      <c r="O7433" s="35"/>
    </row>
    <row r="7434" spans="9:15" x14ac:dyDescent="0.35">
      <c r="I7434" s="35"/>
      <c r="O7434" s="35"/>
    </row>
    <row r="7435" spans="9:15" x14ac:dyDescent="0.35">
      <c r="I7435" s="35"/>
      <c r="O7435" s="35"/>
    </row>
    <row r="7436" spans="9:15" x14ac:dyDescent="0.35">
      <c r="I7436" s="35"/>
      <c r="O7436" s="35"/>
    </row>
    <row r="7437" spans="9:15" x14ac:dyDescent="0.35">
      <c r="I7437" s="35"/>
      <c r="O7437" s="35"/>
    </row>
    <row r="7438" spans="9:15" x14ac:dyDescent="0.35">
      <c r="I7438" s="35"/>
      <c r="O7438" s="35"/>
    </row>
    <row r="7439" spans="9:15" x14ac:dyDescent="0.35">
      <c r="I7439" s="35"/>
      <c r="O7439" s="35"/>
    </row>
    <row r="7440" spans="9:15" x14ac:dyDescent="0.35">
      <c r="I7440" s="35"/>
      <c r="O7440" s="35"/>
    </row>
    <row r="7441" spans="9:15" x14ac:dyDescent="0.35">
      <c r="I7441" s="35"/>
      <c r="O7441" s="35"/>
    </row>
    <row r="7442" spans="9:15" x14ac:dyDescent="0.35">
      <c r="I7442" s="35"/>
      <c r="O7442" s="35"/>
    </row>
    <row r="7443" spans="9:15" x14ac:dyDescent="0.35">
      <c r="I7443" s="35"/>
      <c r="O7443" s="35"/>
    </row>
    <row r="7444" spans="9:15" x14ac:dyDescent="0.35">
      <c r="I7444" s="35"/>
      <c r="O7444" s="35"/>
    </row>
    <row r="7445" spans="9:15" x14ac:dyDescent="0.35">
      <c r="I7445" s="35"/>
      <c r="O7445" s="35"/>
    </row>
    <row r="7446" spans="9:15" x14ac:dyDescent="0.35">
      <c r="I7446" s="35"/>
      <c r="O7446" s="35"/>
    </row>
    <row r="7447" spans="9:15" x14ac:dyDescent="0.35">
      <c r="I7447" s="35"/>
      <c r="O7447" s="35"/>
    </row>
    <row r="7448" spans="9:15" x14ac:dyDescent="0.35">
      <c r="I7448" s="35"/>
      <c r="O7448" s="35"/>
    </row>
    <row r="7449" spans="9:15" x14ac:dyDescent="0.35">
      <c r="I7449" s="35"/>
      <c r="O7449" s="35"/>
    </row>
    <row r="7450" spans="9:15" x14ac:dyDescent="0.35">
      <c r="I7450" s="35"/>
      <c r="O7450" s="35"/>
    </row>
    <row r="7451" spans="9:15" x14ac:dyDescent="0.35">
      <c r="I7451" s="35"/>
      <c r="O7451" s="35"/>
    </row>
    <row r="7452" spans="9:15" x14ac:dyDescent="0.35">
      <c r="I7452" s="35"/>
      <c r="O7452" s="35"/>
    </row>
    <row r="7453" spans="9:15" x14ac:dyDescent="0.35">
      <c r="I7453" s="35"/>
      <c r="O7453" s="35"/>
    </row>
    <row r="7454" spans="9:15" x14ac:dyDescent="0.35">
      <c r="I7454" s="35"/>
      <c r="O7454" s="35"/>
    </row>
    <row r="7455" spans="9:15" x14ac:dyDescent="0.35">
      <c r="I7455" s="35"/>
      <c r="O7455" s="35"/>
    </row>
    <row r="7456" spans="9:15" x14ac:dyDescent="0.35">
      <c r="I7456" s="35"/>
      <c r="O7456" s="35"/>
    </row>
    <row r="7457" spans="9:15" x14ac:dyDescent="0.35">
      <c r="I7457" s="35"/>
      <c r="O7457" s="35"/>
    </row>
    <row r="7458" spans="9:15" x14ac:dyDescent="0.35">
      <c r="I7458" s="35"/>
      <c r="O7458" s="35"/>
    </row>
    <row r="7459" spans="9:15" x14ac:dyDescent="0.35">
      <c r="I7459" s="35"/>
      <c r="O7459" s="35"/>
    </row>
    <row r="7460" spans="9:15" x14ac:dyDescent="0.35">
      <c r="I7460" s="35"/>
      <c r="O7460" s="35"/>
    </row>
    <row r="7461" spans="9:15" x14ac:dyDescent="0.35">
      <c r="I7461" s="35"/>
      <c r="O7461" s="35"/>
    </row>
    <row r="7462" spans="9:15" x14ac:dyDescent="0.35">
      <c r="I7462" s="35"/>
      <c r="O7462" s="35"/>
    </row>
    <row r="7463" spans="9:15" x14ac:dyDescent="0.35">
      <c r="I7463" s="35"/>
      <c r="O7463" s="35"/>
    </row>
    <row r="7464" spans="9:15" x14ac:dyDescent="0.35">
      <c r="I7464" s="35"/>
      <c r="O7464" s="35"/>
    </row>
    <row r="7465" spans="9:15" x14ac:dyDescent="0.35">
      <c r="I7465" s="35"/>
      <c r="O7465" s="35"/>
    </row>
    <row r="7466" spans="9:15" x14ac:dyDescent="0.35">
      <c r="I7466" s="35"/>
      <c r="O7466" s="35"/>
    </row>
    <row r="7467" spans="9:15" x14ac:dyDescent="0.35">
      <c r="I7467" s="35"/>
      <c r="O7467" s="35"/>
    </row>
    <row r="7468" spans="9:15" x14ac:dyDescent="0.35">
      <c r="I7468" s="35"/>
      <c r="O7468" s="35"/>
    </row>
    <row r="7469" spans="9:15" x14ac:dyDescent="0.35">
      <c r="I7469" s="35"/>
      <c r="O7469" s="35"/>
    </row>
    <row r="7470" spans="9:15" x14ac:dyDescent="0.35">
      <c r="I7470" s="35"/>
      <c r="O7470" s="35"/>
    </row>
    <row r="7471" spans="9:15" x14ac:dyDescent="0.35">
      <c r="I7471" s="35"/>
      <c r="O7471" s="35"/>
    </row>
    <row r="7472" spans="9:15" x14ac:dyDescent="0.35">
      <c r="I7472" s="35"/>
      <c r="O7472" s="35"/>
    </row>
    <row r="7473" spans="9:15" x14ac:dyDescent="0.35">
      <c r="I7473" s="35"/>
      <c r="O7473" s="35"/>
    </row>
    <row r="7474" spans="9:15" x14ac:dyDescent="0.35">
      <c r="I7474" s="35"/>
      <c r="O7474" s="35"/>
    </row>
    <row r="7475" spans="9:15" x14ac:dyDescent="0.35">
      <c r="I7475" s="35"/>
      <c r="O7475" s="35"/>
    </row>
    <row r="7476" spans="9:15" x14ac:dyDescent="0.35">
      <c r="I7476" s="35"/>
      <c r="O7476" s="35"/>
    </row>
    <row r="7477" spans="9:15" x14ac:dyDescent="0.35">
      <c r="I7477" s="35"/>
      <c r="O7477" s="35"/>
    </row>
    <row r="7478" spans="9:15" x14ac:dyDescent="0.35">
      <c r="I7478" s="35"/>
      <c r="O7478" s="35"/>
    </row>
    <row r="7479" spans="9:15" x14ac:dyDescent="0.35">
      <c r="I7479" s="35"/>
      <c r="O7479" s="35"/>
    </row>
    <row r="7480" spans="9:15" x14ac:dyDescent="0.35">
      <c r="I7480" s="35"/>
      <c r="O7480" s="35"/>
    </row>
    <row r="7481" spans="9:15" x14ac:dyDescent="0.35">
      <c r="I7481" s="35"/>
      <c r="O7481" s="35"/>
    </row>
    <row r="7482" spans="9:15" x14ac:dyDescent="0.35">
      <c r="I7482" s="35"/>
      <c r="O7482" s="35"/>
    </row>
    <row r="7483" spans="9:15" x14ac:dyDescent="0.35">
      <c r="I7483" s="35"/>
      <c r="O7483" s="35"/>
    </row>
    <row r="7484" spans="9:15" x14ac:dyDescent="0.35">
      <c r="I7484" s="35"/>
      <c r="O7484" s="35"/>
    </row>
    <row r="7485" spans="9:15" x14ac:dyDescent="0.35">
      <c r="I7485" s="35"/>
      <c r="O7485" s="35"/>
    </row>
    <row r="7486" spans="9:15" x14ac:dyDescent="0.35">
      <c r="I7486" s="35"/>
      <c r="O7486" s="35"/>
    </row>
    <row r="7487" spans="9:15" x14ac:dyDescent="0.35">
      <c r="I7487" s="35"/>
      <c r="O7487" s="35"/>
    </row>
    <row r="7488" spans="9:15" x14ac:dyDescent="0.35">
      <c r="I7488" s="35"/>
      <c r="O7488" s="35"/>
    </row>
    <row r="7489" spans="9:15" x14ac:dyDescent="0.35">
      <c r="I7489" s="35"/>
      <c r="O7489" s="35"/>
    </row>
    <row r="7490" spans="9:15" x14ac:dyDescent="0.35">
      <c r="I7490" s="35"/>
      <c r="O7490" s="35"/>
    </row>
    <row r="7491" spans="9:15" x14ac:dyDescent="0.35">
      <c r="I7491" s="35"/>
      <c r="O7491" s="35"/>
    </row>
    <row r="7492" spans="9:15" x14ac:dyDescent="0.35">
      <c r="I7492" s="35"/>
      <c r="O7492" s="35"/>
    </row>
    <row r="7493" spans="9:15" x14ac:dyDescent="0.35">
      <c r="I7493" s="35"/>
      <c r="O7493" s="35"/>
    </row>
    <row r="7494" spans="9:15" x14ac:dyDescent="0.35">
      <c r="I7494" s="35"/>
      <c r="O7494" s="35"/>
    </row>
    <row r="7495" spans="9:15" x14ac:dyDescent="0.35">
      <c r="I7495" s="35"/>
      <c r="O7495" s="35"/>
    </row>
    <row r="7496" spans="9:15" x14ac:dyDescent="0.35">
      <c r="I7496" s="35"/>
      <c r="O7496" s="35"/>
    </row>
    <row r="7497" spans="9:15" x14ac:dyDescent="0.35">
      <c r="I7497" s="35"/>
      <c r="O7497" s="35"/>
    </row>
    <row r="7498" spans="9:15" x14ac:dyDescent="0.35">
      <c r="I7498" s="35"/>
      <c r="O7498" s="35"/>
    </row>
    <row r="7499" spans="9:15" x14ac:dyDescent="0.35">
      <c r="I7499" s="35"/>
      <c r="O7499" s="35"/>
    </row>
    <row r="7500" spans="9:15" x14ac:dyDescent="0.35">
      <c r="I7500" s="35"/>
      <c r="O7500" s="35"/>
    </row>
    <row r="7501" spans="9:15" x14ac:dyDescent="0.35">
      <c r="I7501" s="35"/>
      <c r="O7501" s="35"/>
    </row>
    <row r="7502" spans="9:15" x14ac:dyDescent="0.35">
      <c r="I7502" s="35"/>
      <c r="O7502" s="35"/>
    </row>
    <row r="7503" spans="9:15" x14ac:dyDescent="0.35">
      <c r="I7503" s="35"/>
      <c r="O7503" s="35"/>
    </row>
    <row r="7504" spans="9:15" x14ac:dyDescent="0.35">
      <c r="I7504" s="35"/>
      <c r="O7504" s="35"/>
    </row>
    <row r="7505" spans="9:15" x14ac:dyDescent="0.35">
      <c r="I7505" s="35"/>
      <c r="O7505" s="35"/>
    </row>
    <row r="7506" spans="9:15" x14ac:dyDescent="0.35">
      <c r="I7506" s="35"/>
      <c r="O7506" s="35"/>
    </row>
    <row r="7507" spans="9:15" x14ac:dyDescent="0.35">
      <c r="I7507" s="35"/>
      <c r="O7507" s="35"/>
    </row>
    <row r="7508" spans="9:15" x14ac:dyDescent="0.35">
      <c r="I7508" s="35"/>
      <c r="O7508" s="35"/>
    </row>
    <row r="7509" spans="9:15" x14ac:dyDescent="0.35">
      <c r="I7509" s="35"/>
      <c r="O7509" s="35"/>
    </row>
    <row r="7510" spans="9:15" x14ac:dyDescent="0.35">
      <c r="I7510" s="35"/>
      <c r="O7510" s="35"/>
    </row>
    <row r="7511" spans="9:15" x14ac:dyDescent="0.35">
      <c r="I7511" s="35"/>
      <c r="O7511" s="35"/>
    </row>
    <row r="7512" spans="9:15" x14ac:dyDescent="0.35">
      <c r="I7512" s="35"/>
      <c r="O7512" s="35"/>
    </row>
    <row r="7513" spans="9:15" x14ac:dyDescent="0.35">
      <c r="I7513" s="35"/>
      <c r="O7513" s="35"/>
    </row>
    <row r="7514" spans="9:15" x14ac:dyDescent="0.35">
      <c r="I7514" s="35"/>
      <c r="O7514" s="35"/>
    </row>
    <row r="7515" spans="9:15" x14ac:dyDescent="0.35">
      <c r="I7515" s="35"/>
      <c r="O7515" s="35"/>
    </row>
    <row r="7516" spans="9:15" x14ac:dyDescent="0.35">
      <c r="I7516" s="35"/>
      <c r="O7516" s="35"/>
    </row>
    <row r="7517" spans="9:15" x14ac:dyDescent="0.35">
      <c r="I7517" s="35"/>
      <c r="O7517" s="35"/>
    </row>
    <row r="7518" spans="9:15" x14ac:dyDescent="0.35">
      <c r="I7518" s="35"/>
      <c r="O7518" s="35"/>
    </row>
    <row r="7519" spans="9:15" x14ac:dyDescent="0.35">
      <c r="I7519" s="35"/>
      <c r="O7519" s="35"/>
    </row>
    <row r="7520" spans="9:15" x14ac:dyDescent="0.35">
      <c r="I7520" s="35"/>
      <c r="O7520" s="35"/>
    </row>
    <row r="7521" spans="9:15" x14ac:dyDescent="0.35">
      <c r="I7521" s="35"/>
      <c r="O7521" s="35"/>
    </row>
    <row r="7522" spans="9:15" x14ac:dyDescent="0.35">
      <c r="I7522" s="35"/>
      <c r="O7522" s="35"/>
    </row>
    <row r="7523" spans="9:15" x14ac:dyDescent="0.35">
      <c r="I7523" s="35"/>
      <c r="O7523" s="35"/>
    </row>
    <row r="7524" spans="9:15" x14ac:dyDescent="0.35">
      <c r="I7524" s="35"/>
      <c r="O7524" s="35"/>
    </row>
    <row r="7525" spans="9:15" x14ac:dyDescent="0.35">
      <c r="I7525" s="35"/>
      <c r="O7525" s="35"/>
    </row>
    <row r="7526" spans="9:15" x14ac:dyDescent="0.35">
      <c r="I7526" s="35"/>
      <c r="O7526" s="35"/>
    </row>
    <row r="7527" spans="9:15" x14ac:dyDescent="0.35">
      <c r="I7527" s="35"/>
      <c r="O7527" s="35"/>
    </row>
    <row r="7528" spans="9:15" x14ac:dyDescent="0.35">
      <c r="I7528" s="35"/>
      <c r="O7528" s="35"/>
    </row>
    <row r="7529" spans="9:15" x14ac:dyDescent="0.35">
      <c r="I7529" s="35"/>
      <c r="O7529" s="35"/>
    </row>
    <row r="7530" spans="9:15" x14ac:dyDescent="0.35">
      <c r="I7530" s="35"/>
      <c r="O7530" s="35"/>
    </row>
    <row r="7531" spans="9:15" x14ac:dyDescent="0.35">
      <c r="I7531" s="35"/>
      <c r="O7531" s="35"/>
    </row>
    <row r="7532" spans="9:15" x14ac:dyDescent="0.35">
      <c r="I7532" s="35"/>
      <c r="O7532" s="35"/>
    </row>
    <row r="7533" spans="9:15" x14ac:dyDescent="0.35">
      <c r="I7533" s="35"/>
      <c r="O7533" s="35"/>
    </row>
    <row r="7534" spans="9:15" x14ac:dyDescent="0.35">
      <c r="I7534" s="35"/>
      <c r="O7534" s="35"/>
    </row>
    <row r="7535" spans="9:15" x14ac:dyDescent="0.35">
      <c r="I7535" s="35"/>
      <c r="O7535" s="35"/>
    </row>
    <row r="7536" spans="9:15" x14ac:dyDescent="0.35">
      <c r="I7536" s="35"/>
      <c r="O7536" s="35"/>
    </row>
    <row r="7537" spans="9:15" x14ac:dyDescent="0.35">
      <c r="I7537" s="35"/>
      <c r="O7537" s="35"/>
    </row>
    <row r="7538" spans="9:15" x14ac:dyDescent="0.35">
      <c r="I7538" s="35"/>
      <c r="O7538" s="35"/>
    </row>
    <row r="7539" spans="9:15" x14ac:dyDescent="0.35">
      <c r="I7539" s="35"/>
      <c r="O7539" s="35"/>
    </row>
    <row r="7540" spans="9:15" x14ac:dyDescent="0.35">
      <c r="I7540" s="35"/>
      <c r="O7540" s="35"/>
    </row>
    <row r="7541" spans="9:15" x14ac:dyDescent="0.35">
      <c r="I7541" s="35"/>
      <c r="O7541" s="35"/>
    </row>
    <row r="7542" spans="9:15" x14ac:dyDescent="0.35">
      <c r="I7542" s="35"/>
      <c r="O7542" s="35"/>
    </row>
    <row r="7543" spans="9:15" x14ac:dyDescent="0.35">
      <c r="I7543" s="35"/>
      <c r="O7543" s="35"/>
    </row>
    <row r="7544" spans="9:15" x14ac:dyDescent="0.35">
      <c r="I7544" s="35"/>
      <c r="O7544" s="35"/>
    </row>
    <row r="7545" spans="9:15" x14ac:dyDescent="0.35">
      <c r="I7545" s="35"/>
      <c r="O7545" s="35"/>
    </row>
    <row r="7546" spans="9:15" x14ac:dyDescent="0.35">
      <c r="I7546" s="35"/>
      <c r="O7546" s="35"/>
    </row>
    <row r="7547" spans="9:15" x14ac:dyDescent="0.35">
      <c r="I7547" s="35"/>
      <c r="O7547" s="35"/>
    </row>
    <row r="7548" spans="9:15" x14ac:dyDescent="0.35">
      <c r="I7548" s="35"/>
      <c r="O7548" s="35"/>
    </row>
    <row r="7549" spans="9:15" x14ac:dyDescent="0.35">
      <c r="I7549" s="35"/>
      <c r="O7549" s="35"/>
    </row>
    <row r="7550" spans="9:15" x14ac:dyDescent="0.35">
      <c r="I7550" s="35"/>
      <c r="O7550" s="35"/>
    </row>
    <row r="7551" spans="9:15" x14ac:dyDescent="0.35">
      <c r="I7551" s="35"/>
      <c r="O7551" s="35"/>
    </row>
    <row r="7552" spans="9:15" x14ac:dyDescent="0.35">
      <c r="I7552" s="35"/>
      <c r="O7552" s="35"/>
    </row>
    <row r="7553" spans="9:15" x14ac:dyDescent="0.35">
      <c r="I7553" s="35"/>
      <c r="O7553" s="35"/>
    </row>
    <row r="7554" spans="9:15" x14ac:dyDescent="0.35">
      <c r="I7554" s="35"/>
      <c r="O7554" s="35"/>
    </row>
    <row r="7555" spans="9:15" x14ac:dyDescent="0.35">
      <c r="I7555" s="35"/>
      <c r="O7555" s="35"/>
    </row>
    <row r="7556" spans="9:15" x14ac:dyDescent="0.35">
      <c r="I7556" s="35"/>
      <c r="O7556" s="35"/>
    </row>
    <row r="7557" spans="9:15" x14ac:dyDescent="0.35">
      <c r="I7557" s="35"/>
      <c r="O7557" s="35"/>
    </row>
    <row r="7558" spans="9:15" x14ac:dyDescent="0.35">
      <c r="I7558" s="35"/>
      <c r="O7558" s="35"/>
    </row>
    <row r="7559" spans="9:15" x14ac:dyDescent="0.35">
      <c r="I7559" s="35"/>
      <c r="O7559" s="35"/>
    </row>
    <row r="7560" spans="9:15" x14ac:dyDescent="0.35">
      <c r="I7560" s="35"/>
      <c r="O7560" s="35"/>
    </row>
    <row r="7561" spans="9:15" x14ac:dyDescent="0.35">
      <c r="I7561" s="35"/>
      <c r="O7561" s="35"/>
    </row>
    <row r="7562" spans="9:15" x14ac:dyDescent="0.35">
      <c r="I7562" s="35"/>
      <c r="O7562" s="35"/>
    </row>
    <row r="7563" spans="9:15" x14ac:dyDescent="0.35">
      <c r="I7563" s="35"/>
      <c r="O7563" s="35"/>
    </row>
    <row r="7564" spans="9:15" x14ac:dyDescent="0.35">
      <c r="I7564" s="35"/>
      <c r="O7564" s="35"/>
    </row>
    <row r="7565" spans="9:15" x14ac:dyDescent="0.35">
      <c r="I7565" s="35"/>
      <c r="O7565" s="35"/>
    </row>
    <row r="7566" spans="9:15" x14ac:dyDescent="0.35">
      <c r="I7566" s="35"/>
      <c r="O7566" s="35"/>
    </row>
    <row r="7567" spans="9:15" x14ac:dyDescent="0.35">
      <c r="I7567" s="35"/>
      <c r="O7567" s="35"/>
    </row>
    <row r="7568" spans="9:15" x14ac:dyDescent="0.35">
      <c r="I7568" s="35"/>
      <c r="O7568" s="35"/>
    </row>
    <row r="7569" spans="9:15" x14ac:dyDescent="0.35">
      <c r="I7569" s="35"/>
      <c r="O7569" s="35"/>
    </row>
    <row r="7570" spans="9:15" x14ac:dyDescent="0.35">
      <c r="I7570" s="35"/>
      <c r="O7570" s="35"/>
    </row>
    <row r="7571" spans="9:15" x14ac:dyDescent="0.35">
      <c r="I7571" s="35"/>
      <c r="O7571" s="35"/>
    </row>
    <row r="7572" spans="9:15" x14ac:dyDescent="0.35">
      <c r="I7572" s="35"/>
      <c r="O7572" s="35"/>
    </row>
    <row r="7573" spans="9:15" x14ac:dyDescent="0.35">
      <c r="I7573" s="35"/>
      <c r="O7573" s="35"/>
    </row>
    <row r="7574" spans="9:15" x14ac:dyDescent="0.35">
      <c r="I7574" s="35"/>
      <c r="O7574" s="35"/>
    </row>
    <row r="7575" spans="9:15" x14ac:dyDescent="0.35">
      <c r="I7575" s="35"/>
      <c r="O7575" s="35"/>
    </row>
    <row r="7576" spans="9:15" x14ac:dyDescent="0.35">
      <c r="I7576" s="35"/>
      <c r="O7576" s="35"/>
    </row>
    <row r="7577" spans="9:15" x14ac:dyDescent="0.35">
      <c r="I7577" s="35"/>
      <c r="O7577" s="35"/>
    </row>
    <row r="7578" spans="9:15" x14ac:dyDescent="0.35">
      <c r="I7578" s="35"/>
      <c r="O7578" s="35"/>
    </row>
    <row r="7579" spans="9:15" x14ac:dyDescent="0.35">
      <c r="I7579" s="35"/>
      <c r="O7579" s="35"/>
    </row>
    <row r="7580" spans="9:15" x14ac:dyDescent="0.35">
      <c r="I7580" s="35"/>
      <c r="O7580" s="35"/>
    </row>
    <row r="7581" spans="9:15" x14ac:dyDescent="0.35">
      <c r="I7581" s="35"/>
      <c r="O7581" s="35"/>
    </row>
    <row r="7582" spans="9:15" x14ac:dyDescent="0.35">
      <c r="I7582" s="35"/>
      <c r="O7582" s="35"/>
    </row>
    <row r="7583" spans="9:15" x14ac:dyDescent="0.35">
      <c r="I7583" s="35"/>
      <c r="O7583" s="35"/>
    </row>
    <row r="7584" spans="9:15" x14ac:dyDescent="0.35">
      <c r="I7584" s="35"/>
      <c r="O7584" s="35"/>
    </row>
    <row r="7585" spans="9:15" x14ac:dyDescent="0.35">
      <c r="I7585" s="35"/>
      <c r="O7585" s="35"/>
    </row>
    <row r="7586" spans="9:15" x14ac:dyDescent="0.35">
      <c r="I7586" s="35"/>
      <c r="O7586" s="35"/>
    </row>
    <row r="7587" spans="9:15" x14ac:dyDescent="0.35">
      <c r="I7587" s="35"/>
      <c r="O7587" s="35"/>
    </row>
    <row r="7588" spans="9:15" x14ac:dyDescent="0.35">
      <c r="I7588" s="35"/>
      <c r="O7588" s="35"/>
    </row>
    <row r="7589" spans="9:15" x14ac:dyDescent="0.35">
      <c r="I7589" s="35"/>
      <c r="O7589" s="35"/>
    </row>
    <row r="7590" spans="9:15" x14ac:dyDescent="0.35">
      <c r="I7590" s="35"/>
      <c r="O7590" s="35"/>
    </row>
    <row r="7591" spans="9:15" x14ac:dyDescent="0.35">
      <c r="I7591" s="35"/>
      <c r="O7591" s="35"/>
    </row>
    <row r="7592" spans="9:15" x14ac:dyDescent="0.35">
      <c r="I7592" s="35"/>
      <c r="O7592" s="35"/>
    </row>
    <row r="7593" spans="9:15" x14ac:dyDescent="0.35">
      <c r="I7593" s="35"/>
      <c r="O7593" s="35"/>
    </row>
    <row r="7594" spans="9:15" x14ac:dyDescent="0.35">
      <c r="I7594" s="35"/>
      <c r="O7594" s="35"/>
    </row>
    <row r="7595" spans="9:15" x14ac:dyDescent="0.35">
      <c r="I7595" s="35"/>
      <c r="O7595" s="35"/>
    </row>
    <row r="7596" spans="9:15" x14ac:dyDescent="0.35">
      <c r="I7596" s="35"/>
      <c r="O7596" s="35"/>
    </row>
    <row r="7597" spans="9:15" x14ac:dyDescent="0.35">
      <c r="I7597" s="35"/>
      <c r="O7597" s="35"/>
    </row>
    <row r="7598" spans="9:15" x14ac:dyDescent="0.35">
      <c r="I7598" s="35"/>
      <c r="O7598" s="35"/>
    </row>
    <row r="7599" spans="9:15" x14ac:dyDescent="0.35">
      <c r="I7599" s="35"/>
      <c r="O7599" s="35"/>
    </row>
    <row r="7600" spans="9:15" x14ac:dyDescent="0.35">
      <c r="I7600" s="35"/>
      <c r="O7600" s="35"/>
    </row>
    <row r="7601" spans="9:15" x14ac:dyDescent="0.35">
      <c r="I7601" s="35"/>
      <c r="O7601" s="35"/>
    </row>
    <row r="7602" spans="9:15" x14ac:dyDescent="0.35">
      <c r="I7602" s="35"/>
      <c r="O7602" s="35"/>
    </row>
    <row r="7603" spans="9:15" x14ac:dyDescent="0.35">
      <c r="I7603" s="35"/>
      <c r="O7603" s="35"/>
    </row>
    <row r="7604" spans="9:15" x14ac:dyDescent="0.35">
      <c r="I7604" s="35"/>
      <c r="O7604" s="35"/>
    </row>
    <row r="7605" spans="9:15" x14ac:dyDescent="0.35">
      <c r="I7605" s="35"/>
      <c r="O7605" s="35"/>
    </row>
    <row r="7606" spans="9:15" x14ac:dyDescent="0.35">
      <c r="I7606" s="35"/>
      <c r="O7606" s="35"/>
    </row>
    <row r="7607" spans="9:15" x14ac:dyDescent="0.35">
      <c r="I7607" s="35"/>
      <c r="O7607" s="35"/>
    </row>
    <row r="7608" spans="9:15" x14ac:dyDescent="0.35">
      <c r="I7608" s="35"/>
      <c r="O7608" s="35"/>
    </row>
    <row r="7609" spans="9:15" x14ac:dyDescent="0.35">
      <c r="I7609" s="35"/>
      <c r="O7609" s="35"/>
    </row>
    <row r="7610" spans="9:15" x14ac:dyDescent="0.35">
      <c r="I7610" s="35"/>
      <c r="O7610" s="35"/>
    </row>
    <row r="7611" spans="9:15" x14ac:dyDescent="0.35">
      <c r="I7611" s="35"/>
      <c r="O7611" s="35"/>
    </row>
    <row r="7612" spans="9:15" x14ac:dyDescent="0.35">
      <c r="I7612" s="35"/>
      <c r="O7612" s="35"/>
    </row>
    <row r="7613" spans="9:15" x14ac:dyDescent="0.35">
      <c r="I7613" s="35"/>
      <c r="O7613" s="35"/>
    </row>
    <row r="7614" spans="9:15" x14ac:dyDescent="0.35">
      <c r="I7614" s="35"/>
      <c r="O7614" s="35"/>
    </row>
    <row r="7615" spans="9:15" x14ac:dyDescent="0.35">
      <c r="I7615" s="35"/>
      <c r="O7615" s="35"/>
    </row>
    <row r="7616" spans="9:15" x14ac:dyDescent="0.35">
      <c r="I7616" s="35"/>
      <c r="O7616" s="35"/>
    </row>
    <row r="7617" spans="9:15" x14ac:dyDescent="0.35">
      <c r="I7617" s="35"/>
      <c r="O7617" s="35"/>
    </row>
    <row r="7618" spans="9:15" x14ac:dyDescent="0.35">
      <c r="I7618" s="35"/>
      <c r="O7618" s="35"/>
    </row>
    <row r="7619" spans="9:15" x14ac:dyDescent="0.35">
      <c r="I7619" s="35"/>
      <c r="O7619" s="35"/>
    </row>
    <row r="7620" spans="9:15" x14ac:dyDescent="0.35">
      <c r="I7620" s="35"/>
      <c r="O7620" s="35"/>
    </row>
    <row r="7621" spans="9:15" x14ac:dyDescent="0.35">
      <c r="I7621" s="35"/>
      <c r="O7621" s="35"/>
    </row>
    <row r="7622" spans="9:15" x14ac:dyDescent="0.35">
      <c r="I7622" s="35"/>
      <c r="O7622" s="35"/>
    </row>
    <row r="7623" spans="9:15" x14ac:dyDescent="0.35">
      <c r="I7623" s="35"/>
      <c r="O7623" s="35"/>
    </row>
    <row r="7624" spans="9:15" x14ac:dyDescent="0.35">
      <c r="I7624" s="35"/>
      <c r="O7624" s="35"/>
    </row>
    <row r="7625" spans="9:15" x14ac:dyDescent="0.35">
      <c r="I7625" s="35"/>
      <c r="O7625" s="35"/>
    </row>
    <row r="7626" spans="9:15" x14ac:dyDescent="0.35">
      <c r="I7626" s="35"/>
      <c r="O7626" s="35"/>
    </row>
    <row r="7627" spans="9:15" x14ac:dyDescent="0.35">
      <c r="I7627" s="35"/>
      <c r="O7627" s="35"/>
    </row>
    <row r="7628" spans="9:15" x14ac:dyDescent="0.35">
      <c r="I7628" s="35"/>
      <c r="O7628" s="35"/>
    </row>
    <row r="7629" spans="9:15" x14ac:dyDescent="0.35">
      <c r="I7629" s="35"/>
      <c r="O7629" s="35"/>
    </row>
    <row r="7630" spans="9:15" x14ac:dyDescent="0.35">
      <c r="I7630" s="35"/>
      <c r="O7630" s="35"/>
    </row>
    <row r="7631" spans="9:15" x14ac:dyDescent="0.35">
      <c r="I7631" s="35"/>
      <c r="O7631" s="35"/>
    </row>
    <row r="7632" spans="9:15" x14ac:dyDescent="0.35">
      <c r="I7632" s="35"/>
      <c r="O7632" s="35"/>
    </row>
    <row r="7633" spans="9:15" x14ac:dyDescent="0.35">
      <c r="I7633" s="35"/>
      <c r="O7633" s="35"/>
    </row>
    <row r="7634" spans="9:15" x14ac:dyDescent="0.35">
      <c r="I7634" s="35"/>
      <c r="O7634" s="35"/>
    </row>
    <row r="7635" spans="9:15" x14ac:dyDescent="0.35">
      <c r="I7635" s="35"/>
      <c r="O7635" s="35"/>
    </row>
    <row r="7636" spans="9:15" x14ac:dyDescent="0.35">
      <c r="I7636" s="35"/>
      <c r="O7636" s="35"/>
    </row>
    <row r="7637" spans="9:15" x14ac:dyDescent="0.35">
      <c r="I7637" s="35"/>
      <c r="O7637" s="35"/>
    </row>
    <row r="7638" spans="9:15" x14ac:dyDescent="0.35">
      <c r="I7638" s="35"/>
      <c r="O7638" s="35"/>
    </row>
    <row r="7639" spans="9:15" x14ac:dyDescent="0.35">
      <c r="I7639" s="35"/>
      <c r="O7639" s="35"/>
    </row>
    <row r="7640" spans="9:15" x14ac:dyDescent="0.35">
      <c r="I7640" s="35"/>
      <c r="O7640" s="35"/>
    </row>
    <row r="7641" spans="9:15" x14ac:dyDescent="0.35">
      <c r="I7641" s="35"/>
      <c r="O7641" s="35"/>
    </row>
    <row r="7642" spans="9:15" x14ac:dyDescent="0.35">
      <c r="I7642" s="35"/>
      <c r="O7642" s="35"/>
    </row>
    <row r="7643" spans="9:15" x14ac:dyDescent="0.35">
      <c r="I7643" s="35"/>
      <c r="O7643" s="35"/>
    </row>
    <row r="7644" spans="9:15" x14ac:dyDescent="0.35">
      <c r="I7644" s="35"/>
      <c r="O7644" s="35"/>
    </row>
    <row r="7645" spans="9:15" x14ac:dyDescent="0.35">
      <c r="I7645" s="35"/>
      <c r="O7645" s="35"/>
    </row>
    <row r="7646" spans="9:15" x14ac:dyDescent="0.35">
      <c r="I7646" s="35"/>
      <c r="O7646" s="35"/>
    </row>
    <row r="7647" spans="9:15" x14ac:dyDescent="0.35">
      <c r="I7647" s="35"/>
      <c r="O7647" s="35"/>
    </row>
    <row r="7648" spans="9:15" x14ac:dyDescent="0.35">
      <c r="I7648" s="35"/>
      <c r="O7648" s="35"/>
    </row>
    <row r="7649" spans="9:15" x14ac:dyDescent="0.35">
      <c r="I7649" s="35"/>
      <c r="O7649" s="35"/>
    </row>
    <row r="7650" spans="9:15" x14ac:dyDescent="0.35">
      <c r="I7650" s="35"/>
      <c r="O7650" s="35"/>
    </row>
    <row r="7651" spans="9:15" x14ac:dyDescent="0.35">
      <c r="I7651" s="35"/>
      <c r="O7651" s="35"/>
    </row>
    <row r="7652" spans="9:15" x14ac:dyDescent="0.35">
      <c r="I7652" s="35"/>
      <c r="O7652" s="35"/>
    </row>
    <row r="7653" spans="9:15" x14ac:dyDescent="0.35">
      <c r="I7653" s="35"/>
      <c r="O7653" s="35"/>
    </row>
    <row r="7654" spans="9:15" x14ac:dyDescent="0.35">
      <c r="I7654" s="35"/>
      <c r="O7654" s="35"/>
    </row>
    <row r="7655" spans="9:15" x14ac:dyDescent="0.35">
      <c r="I7655" s="35"/>
      <c r="O7655" s="35"/>
    </row>
    <row r="7656" spans="9:15" x14ac:dyDescent="0.35">
      <c r="I7656" s="35"/>
      <c r="O7656" s="35"/>
    </row>
    <row r="7657" spans="9:15" x14ac:dyDescent="0.35">
      <c r="I7657" s="35"/>
      <c r="O7657" s="35"/>
    </row>
    <row r="7658" spans="9:15" x14ac:dyDescent="0.35">
      <c r="I7658" s="35"/>
      <c r="O7658" s="35"/>
    </row>
    <row r="7659" spans="9:15" x14ac:dyDescent="0.35">
      <c r="I7659" s="35"/>
      <c r="O7659" s="35"/>
    </row>
    <row r="7660" spans="9:15" x14ac:dyDescent="0.35">
      <c r="I7660" s="35"/>
      <c r="O7660" s="35"/>
    </row>
    <row r="7661" spans="9:15" x14ac:dyDescent="0.35">
      <c r="I7661" s="35"/>
      <c r="O7661" s="35"/>
    </row>
    <row r="7662" spans="9:15" x14ac:dyDescent="0.35">
      <c r="I7662" s="35"/>
      <c r="O7662" s="35"/>
    </row>
    <row r="7663" spans="9:15" x14ac:dyDescent="0.35">
      <c r="I7663" s="35"/>
      <c r="O7663" s="35"/>
    </row>
    <row r="7664" spans="9:15" x14ac:dyDescent="0.35">
      <c r="I7664" s="35"/>
      <c r="O7664" s="35"/>
    </row>
    <row r="7665" spans="9:15" x14ac:dyDescent="0.35">
      <c r="I7665" s="35"/>
      <c r="O7665" s="35"/>
    </row>
    <row r="7666" spans="9:15" x14ac:dyDescent="0.35">
      <c r="I7666" s="35"/>
      <c r="O7666" s="35"/>
    </row>
    <row r="7667" spans="9:15" x14ac:dyDescent="0.35">
      <c r="I7667" s="35"/>
      <c r="O7667" s="35"/>
    </row>
    <row r="7668" spans="9:15" x14ac:dyDescent="0.35">
      <c r="I7668" s="35"/>
      <c r="O7668" s="35"/>
    </row>
    <row r="7669" spans="9:15" x14ac:dyDescent="0.35">
      <c r="I7669" s="35"/>
      <c r="O7669" s="35"/>
    </row>
    <row r="7670" spans="9:15" x14ac:dyDescent="0.35">
      <c r="I7670" s="35"/>
      <c r="O7670" s="35"/>
    </row>
    <row r="7671" spans="9:15" x14ac:dyDescent="0.35">
      <c r="I7671" s="35"/>
      <c r="O7671" s="35"/>
    </row>
    <row r="7672" spans="9:15" x14ac:dyDescent="0.35">
      <c r="I7672" s="35"/>
      <c r="O7672" s="35"/>
    </row>
    <row r="7673" spans="9:15" x14ac:dyDescent="0.35">
      <c r="I7673" s="35"/>
      <c r="O7673" s="35"/>
    </row>
    <row r="7674" spans="9:15" x14ac:dyDescent="0.35">
      <c r="I7674" s="35"/>
      <c r="O7674" s="35"/>
    </row>
    <row r="7675" spans="9:15" x14ac:dyDescent="0.35">
      <c r="I7675" s="35"/>
      <c r="O7675" s="35"/>
    </row>
    <row r="7676" spans="9:15" x14ac:dyDescent="0.35">
      <c r="I7676" s="35"/>
      <c r="O7676" s="35"/>
    </row>
    <row r="7677" spans="9:15" x14ac:dyDescent="0.35">
      <c r="I7677" s="35"/>
      <c r="O7677" s="35"/>
    </row>
    <row r="7678" spans="9:15" x14ac:dyDescent="0.35">
      <c r="I7678" s="35"/>
      <c r="O7678" s="35"/>
    </row>
    <row r="7679" spans="9:15" x14ac:dyDescent="0.35">
      <c r="I7679" s="35"/>
      <c r="O7679" s="35"/>
    </row>
    <row r="7680" spans="9:15" x14ac:dyDescent="0.35">
      <c r="I7680" s="35"/>
      <c r="O7680" s="35"/>
    </row>
    <row r="7681" spans="9:15" x14ac:dyDescent="0.35">
      <c r="I7681" s="35"/>
      <c r="O7681" s="35"/>
    </row>
    <row r="7682" spans="9:15" x14ac:dyDescent="0.35">
      <c r="I7682" s="35"/>
      <c r="O7682" s="35"/>
    </row>
    <row r="7683" spans="9:15" x14ac:dyDescent="0.35">
      <c r="I7683" s="35"/>
      <c r="O7683" s="35"/>
    </row>
    <row r="7684" spans="9:15" x14ac:dyDescent="0.35">
      <c r="I7684" s="35"/>
      <c r="O7684" s="35"/>
    </row>
    <row r="7685" spans="9:15" x14ac:dyDescent="0.35">
      <c r="I7685" s="35"/>
      <c r="O7685" s="35"/>
    </row>
    <row r="7686" spans="9:15" x14ac:dyDescent="0.35">
      <c r="I7686" s="35"/>
      <c r="O7686" s="35"/>
    </row>
    <row r="7687" spans="9:15" x14ac:dyDescent="0.35">
      <c r="I7687" s="35"/>
      <c r="O7687" s="35"/>
    </row>
    <row r="7688" spans="9:15" x14ac:dyDescent="0.35">
      <c r="I7688" s="35"/>
      <c r="O7688" s="35"/>
    </row>
    <row r="7689" spans="9:15" x14ac:dyDescent="0.35">
      <c r="I7689" s="35"/>
      <c r="O7689" s="35"/>
    </row>
    <row r="7690" spans="9:15" x14ac:dyDescent="0.35">
      <c r="I7690" s="35"/>
      <c r="O7690" s="35"/>
    </row>
    <row r="7691" spans="9:15" x14ac:dyDescent="0.35">
      <c r="I7691" s="35"/>
      <c r="O7691" s="35"/>
    </row>
    <row r="7692" spans="9:15" x14ac:dyDescent="0.35">
      <c r="I7692" s="35"/>
      <c r="O7692" s="35"/>
    </row>
    <row r="7693" spans="9:15" x14ac:dyDescent="0.35">
      <c r="I7693" s="35"/>
      <c r="O7693" s="35"/>
    </row>
    <row r="7694" spans="9:15" x14ac:dyDescent="0.35">
      <c r="I7694" s="35"/>
      <c r="O7694" s="35"/>
    </row>
    <row r="7695" spans="9:15" x14ac:dyDescent="0.35">
      <c r="I7695" s="35"/>
      <c r="O7695" s="35"/>
    </row>
    <row r="7696" spans="9:15" x14ac:dyDescent="0.35">
      <c r="I7696" s="35"/>
      <c r="O7696" s="35"/>
    </row>
    <row r="7697" spans="9:15" x14ac:dyDescent="0.35">
      <c r="I7697" s="35"/>
      <c r="O7697" s="35"/>
    </row>
    <row r="7698" spans="9:15" x14ac:dyDescent="0.35">
      <c r="I7698" s="35"/>
      <c r="O7698" s="35"/>
    </row>
    <row r="7699" spans="9:15" x14ac:dyDescent="0.35">
      <c r="I7699" s="35"/>
      <c r="O7699" s="35"/>
    </row>
    <row r="7700" spans="9:15" x14ac:dyDescent="0.35">
      <c r="I7700" s="35"/>
      <c r="O7700" s="35"/>
    </row>
    <row r="7701" spans="9:15" x14ac:dyDescent="0.35">
      <c r="I7701" s="35"/>
      <c r="O7701" s="35"/>
    </row>
    <row r="7702" spans="9:15" x14ac:dyDescent="0.35">
      <c r="I7702" s="35"/>
      <c r="O7702" s="35"/>
    </row>
    <row r="7703" spans="9:15" x14ac:dyDescent="0.35">
      <c r="I7703" s="35"/>
      <c r="O7703" s="35"/>
    </row>
    <row r="7704" spans="9:15" x14ac:dyDescent="0.35">
      <c r="I7704" s="35"/>
      <c r="O7704" s="35"/>
    </row>
    <row r="7705" spans="9:15" x14ac:dyDescent="0.35">
      <c r="I7705" s="35"/>
      <c r="O7705" s="35"/>
    </row>
    <row r="7706" spans="9:15" x14ac:dyDescent="0.35">
      <c r="I7706" s="35"/>
      <c r="O7706" s="35"/>
    </row>
    <row r="7707" spans="9:15" x14ac:dyDescent="0.35">
      <c r="I7707" s="35"/>
      <c r="O7707" s="35"/>
    </row>
    <row r="7708" spans="9:15" x14ac:dyDescent="0.35">
      <c r="I7708" s="35"/>
      <c r="O7708" s="35"/>
    </row>
    <row r="7709" spans="9:15" x14ac:dyDescent="0.35">
      <c r="I7709" s="35"/>
      <c r="O7709" s="35"/>
    </row>
    <row r="7710" spans="9:15" x14ac:dyDescent="0.35">
      <c r="I7710" s="35"/>
      <c r="O7710" s="35"/>
    </row>
    <row r="7711" spans="9:15" x14ac:dyDescent="0.35">
      <c r="I7711" s="35"/>
      <c r="O7711" s="35"/>
    </row>
    <row r="7712" spans="9:15" x14ac:dyDescent="0.35">
      <c r="I7712" s="35"/>
      <c r="O7712" s="35"/>
    </row>
    <row r="7713" spans="9:15" x14ac:dyDescent="0.35">
      <c r="I7713" s="35"/>
      <c r="O7713" s="35"/>
    </row>
    <row r="7714" spans="9:15" x14ac:dyDescent="0.35">
      <c r="I7714" s="35"/>
      <c r="O7714" s="35"/>
    </row>
    <row r="7715" spans="9:15" x14ac:dyDescent="0.35">
      <c r="I7715" s="35"/>
      <c r="O7715" s="35"/>
    </row>
    <row r="7716" spans="9:15" x14ac:dyDescent="0.35">
      <c r="I7716" s="35"/>
      <c r="O7716" s="35"/>
    </row>
    <row r="7717" spans="9:15" x14ac:dyDescent="0.35">
      <c r="I7717" s="35"/>
      <c r="O7717" s="35"/>
    </row>
    <row r="7718" spans="9:15" x14ac:dyDescent="0.35">
      <c r="I7718" s="35"/>
      <c r="O7718" s="35"/>
    </row>
    <row r="7719" spans="9:15" x14ac:dyDescent="0.35">
      <c r="I7719" s="35"/>
      <c r="O7719" s="35"/>
    </row>
    <row r="7720" spans="9:15" x14ac:dyDescent="0.35">
      <c r="I7720" s="35"/>
      <c r="O7720" s="35"/>
    </row>
    <row r="7721" spans="9:15" x14ac:dyDescent="0.35">
      <c r="I7721" s="35"/>
      <c r="O7721" s="35"/>
    </row>
    <row r="7722" spans="9:15" x14ac:dyDescent="0.35">
      <c r="I7722" s="35"/>
      <c r="O7722" s="35"/>
    </row>
    <row r="7723" spans="9:15" x14ac:dyDescent="0.35">
      <c r="I7723" s="35"/>
      <c r="O7723" s="35"/>
    </row>
    <row r="7724" spans="9:15" x14ac:dyDescent="0.35">
      <c r="I7724" s="35"/>
      <c r="O7724" s="35"/>
    </row>
    <row r="7725" spans="9:15" x14ac:dyDescent="0.35">
      <c r="I7725" s="35"/>
      <c r="O7725" s="35"/>
    </row>
    <row r="7726" spans="9:15" x14ac:dyDescent="0.35">
      <c r="I7726" s="35"/>
      <c r="O7726" s="35"/>
    </row>
    <row r="7727" spans="9:15" x14ac:dyDescent="0.35">
      <c r="I7727" s="35"/>
      <c r="O7727" s="35"/>
    </row>
    <row r="7728" spans="9:15" x14ac:dyDescent="0.35">
      <c r="I7728" s="35"/>
      <c r="O7728" s="35"/>
    </row>
    <row r="7729" spans="9:15" x14ac:dyDescent="0.35">
      <c r="I7729" s="35"/>
      <c r="O7729" s="35"/>
    </row>
    <row r="7730" spans="9:15" x14ac:dyDescent="0.35">
      <c r="I7730" s="35"/>
      <c r="O7730" s="35"/>
    </row>
    <row r="7731" spans="9:15" x14ac:dyDescent="0.35">
      <c r="I7731" s="35"/>
      <c r="O7731" s="35"/>
    </row>
    <row r="7732" spans="9:15" x14ac:dyDescent="0.35">
      <c r="I7732" s="35"/>
      <c r="O7732" s="35"/>
    </row>
    <row r="7733" spans="9:15" x14ac:dyDescent="0.35">
      <c r="I7733" s="35"/>
      <c r="O7733" s="35"/>
    </row>
    <row r="7734" spans="9:15" x14ac:dyDescent="0.35">
      <c r="I7734" s="35"/>
      <c r="O7734" s="35"/>
    </row>
    <row r="7735" spans="9:15" x14ac:dyDescent="0.35">
      <c r="I7735" s="35"/>
      <c r="O7735" s="35"/>
    </row>
    <row r="7736" spans="9:15" x14ac:dyDescent="0.35">
      <c r="I7736" s="35"/>
      <c r="O7736" s="35"/>
    </row>
    <row r="7737" spans="9:15" x14ac:dyDescent="0.35">
      <c r="I7737" s="35"/>
      <c r="O7737" s="35"/>
    </row>
    <row r="7738" spans="9:15" x14ac:dyDescent="0.35">
      <c r="I7738" s="35"/>
      <c r="O7738" s="35"/>
    </row>
    <row r="7739" spans="9:15" x14ac:dyDescent="0.35">
      <c r="I7739" s="35"/>
      <c r="O7739" s="35"/>
    </row>
    <row r="7740" spans="9:15" x14ac:dyDescent="0.35">
      <c r="I7740" s="35"/>
      <c r="O7740" s="35"/>
    </row>
    <row r="7741" spans="9:15" x14ac:dyDescent="0.35">
      <c r="I7741" s="35"/>
      <c r="O7741" s="35"/>
    </row>
    <row r="7742" spans="9:15" x14ac:dyDescent="0.35">
      <c r="I7742" s="35"/>
      <c r="O7742" s="35"/>
    </row>
    <row r="7743" spans="9:15" x14ac:dyDescent="0.35">
      <c r="I7743" s="35"/>
      <c r="O7743" s="35"/>
    </row>
    <row r="7744" spans="9:15" x14ac:dyDescent="0.35">
      <c r="I7744" s="35"/>
      <c r="O7744" s="35"/>
    </row>
    <row r="7745" spans="9:15" x14ac:dyDescent="0.35">
      <c r="I7745" s="35"/>
      <c r="O7745" s="35"/>
    </row>
    <row r="7746" spans="9:15" x14ac:dyDescent="0.35">
      <c r="I7746" s="35"/>
      <c r="O7746" s="35"/>
    </row>
    <row r="7747" spans="9:15" x14ac:dyDescent="0.35">
      <c r="I7747" s="35"/>
      <c r="O7747" s="35"/>
    </row>
    <row r="7748" spans="9:15" x14ac:dyDescent="0.35">
      <c r="I7748" s="35"/>
      <c r="O7748" s="35"/>
    </row>
    <row r="7749" spans="9:15" x14ac:dyDescent="0.35">
      <c r="I7749" s="35"/>
      <c r="O7749" s="35"/>
    </row>
    <row r="7750" spans="9:15" x14ac:dyDescent="0.35">
      <c r="I7750" s="35"/>
      <c r="O7750" s="35"/>
    </row>
    <row r="7751" spans="9:15" x14ac:dyDescent="0.35">
      <c r="I7751" s="35"/>
      <c r="O7751" s="35"/>
    </row>
    <row r="7752" spans="9:15" x14ac:dyDescent="0.35">
      <c r="I7752" s="35"/>
      <c r="O7752" s="35"/>
    </row>
    <row r="7753" spans="9:15" x14ac:dyDescent="0.35">
      <c r="I7753" s="35"/>
      <c r="O7753" s="35"/>
    </row>
    <row r="7754" spans="9:15" x14ac:dyDescent="0.35">
      <c r="I7754" s="35"/>
      <c r="O7754" s="35"/>
    </row>
    <row r="7755" spans="9:15" x14ac:dyDescent="0.35">
      <c r="I7755" s="35"/>
      <c r="O7755" s="35"/>
    </row>
    <row r="7756" spans="9:15" x14ac:dyDescent="0.35">
      <c r="I7756" s="35"/>
      <c r="O7756" s="35"/>
    </row>
    <row r="7757" spans="9:15" x14ac:dyDescent="0.35">
      <c r="I7757" s="35"/>
      <c r="O7757" s="35"/>
    </row>
    <row r="7758" spans="9:15" x14ac:dyDescent="0.35">
      <c r="I7758" s="35"/>
      <c r="O7758" s="35"/>
    </row>
    <row r="7759" spans="9:15" x14ac:dyDescent="0.35">
      <c r="I7759" s="35"/>
      <c r="O7759" s="35"/>
    </row>
    <row r="7760" spans="9:15" x14ac:dyDescent="0.35">
      <c r="I7760" s="35"/>
      <c r="O7760" s="35"/>
    </row>
    <row r="7761" spans="9:15" x14ac:dyDescent="0.35">
      <c r="I7761" s="35"/>
      <c r="O7761" s="35"/>
    </row>
    <row r="7762" spans="9:15" x14ac:dyDescent="0.35">
      <c r="I7762" s="35"/>
      <c r="O7762" s="35"/>
    </row>
    <row r="7763" spans="9:15" x14ac:dyDescent="0.35">
      <c r="I7763" s="35"/>
      <c r="O7763" s="35"/>
    </row>
    <row r="7764" spans="9:15" x14ac:dyDescent="0.35">
      <c r="I7764" s="35"/>
      <c r="O7764" s="35"/>
    </row>
    <row r="7765" spans="9:15" x14ac:dyDescent="0.35">
      <c r="I7765" s="35"/>
      <c r="O7765" s="35"/>
    </row>
    <row r="7766" spans="9:15" x14ac:dyDescent="0.35">
      <c r="I7766" s="35"/>
      <c r="O7766" s="35"/>
    </row>
    <row r="7767" spans="9:15" x14ac:dyDescent="0.35">
      <c r="I7767" s="35"/>
      <c r="O7767" s="35"/>
    </row>
    <row r="7768" spans="9:15" x14ac:dyDescent="0.35">
      <c r="I7768" s="35"/>
      <c r="O7768" s="35"/>
    </row>
    <row r="7769" spans="9:15" x14ac:dyDescent="0.35">
      <c r="I7769" s="35"/>
      <c r="O7769" s="35"/>
    </row>
    <row r="7770" spans="9:15" x14ac:dyDescent="0.35">
      <c r="I7770" s="35"/>
      <c r="O7770" s="35"/>
    </row>
    <row r="7771" spans="9:15" x14ac:dyDescent="0.35">
      <c r="I7771" s="35"/>
      <c r="O7771" s="35"/>
    </row>
    <row r="7772" spans="9:15" x14ac:dyDescent="0.35">
      <c r="I7772" s="35"/>
      <c r="O7772" s="35"/>
    </row>
    <row r="7773" spans="9:15" x14ac:dyDescent="0.35">
      <c r="I7773" s="35"/>
      <c r="O7773" s="35"/>
    </row>
    <row r="7774" spans="9:15" x14ac:dyDescent="0.35">
      <c r="I7774" s="35"/>
      <c r="O7774" s="35"/>
    </row>
    <row r="7775" spans="9:15" x14ac:dyDescent="0.35">
      <c r="I7775" s="35"/>
      <c r="O7775" s="35"/>
    </row>
    <row r="7776" spans="9:15" x14ac:dyDescent="0.35">
      <c r="I7776" s="35"/>
      <c r="O7776" s="35"/>
    </row>
    <row r="7777" spans="9:15" x14ac:dyDescent="0.35">
      <c r="I7777" s="35"/>
      <c r="O7777" s="35"/>
    </row>
    <row r="7778" spans="9:15" x14ac:dyDescent="0.35">
      <c r="I7778" s="35"/>
      <c r="O7778" s="35"/>
    </row>
    <row r="7779" spans="9:15" x14ac:dyDescent="0.35">
      <c r="I7779" s="35"/>
      <c r="O7779" s="35"/>
    </row>
    <row r="7780" spans="9:15" x14ac:dyDescent="0.35">
      <c r="I7780" s="35"/>
      <c r="O7780" s="35"/>
    </row>
    <row r="7781" spans="9:15" x14ac:dyDescent="0.35">
      <c r="I7781" s="35"/>
      <c r="O7781" s="35"/>
    </row>
    <row r="7782" spans="9:15" x14ac:dyDescent="0.35">
      <c r="I7782" s="35"/>
      <c r="O7782" s="35"/>
    </row>
    <row r="7783" spans="9:15" x14ac:dyDescent="0.35">
      <c r="I7783" s="35"/>
      <c r="O7783" s="35"/>
    </row>
    <row r="7784" spans="9:15" x14ac:dyDescent="0.35">
      <c r="I7784" s="35"/>
      <c r="O7784" s="35"/>
    </row>
    <row r="7785" spans="9:15" x14ac:dyDescent="0.35">
      <c r="I7785" s="35"/>
      <c r="O7785" s="35"/>
    </row>
    <row r="7786" spans="9:15" x14ac:dyDescent="0.35">
      <c r="I7786" s="35"/>
      <c r="O7786" s="35"/>
    </row>
    <row r="7787" spans="9:15" x14ac:dyDescent="0.35">
      <c r="I7787" s="35"/>
      <c r="O7787" s="35"/>
    </row>
    <row r="7788" spans="9:15" x14ac:dyDescent="0.35">
      <c r="I7788" s="35"/>
      <c r="O7788" s="35"/>
    </row>
    <row r="7789" spans="9:15" x14ac:dyDescent="0.35">
      <c r="I7789" s="35"/>
      <c r="O7789" s="35"/>
    </row>
    <row r="7790" spans="9:15" x14ac:dyDescent="0.35">
      <c r="I7790" s="35"/>
      <c r="O7790" s="35"/>
    </row>
    <row r="7791" spans="9:15" x14ac:dyDescent="0.35">
      <c r="I7791" s="35"/>
      <c r="O7791" s="35"/>
    </row>
    <row r="7792" spans="9:15" x14ac:dyDescent="0.35">
      <c r="I7792" s="35"/>
      <c r="O7792" s="35"/>
    </row>
    <row r="7793" spans="9:15" x14ac:dyDescent="0.35">
      <c r="I7793" s="35"/>
      <c r="O7793" s="35"/>
    </row>
    <row r="7794" spans="9:15" x14ac:dyDescent="0.35">
      <c r="I7794" s="35"/>
      <c r="O7794" s="35"/>
    </row>
    <row r="7795" spans="9:15" x14ac:dyDescent="0.35">
      <c r="I7795" s="35"/>
      <c r="O7795" s="35"/>
    </row>
    <row r="7796" spans="9:15" x14ac:dyDescent="0.35">
      <c r="I7796" s="35"/>
      <c r="O7796" s="35"/>
    </row>
    <row r="7797" spans="9:15" x14ac:dyDescent="0.35">
      <c r="I7797" s="35"/>
      <c r="O7797" s="35"/>
    </row>
    <row r="7798" spans="9:15" x14ac:dyDescent="0.35">
      <c r="I7798" s="35"/>
      <c r="O7798" s="35"/>
    </row>
    <row r="7799" spans="9:15" x14ac:dyDescent="0.35">
      <c r="I7799" s="35"/>
      <c r="O7799" s="35"/>
    </row>
    <row r="7800" spans="9:15" x14ac:dyDescent="0.35">
      <c r="I7800" s="35"/>
      <c r="O7800" s="35"/>
    </row>
    <row r="7801" spans="9:15" x14ac:dyDescent="0.35">
      <c r="I7801" s="35"/>
      <c r="O7801" s="35"/>
    </row>
    <row r="7802" spans="9:15" x14ac:dyDescent="0.35">
      <c r="I7802" s="35"/>
      <c r="O7802" s="35"/>
    </row>
    <row r="7803" spans="9:15" x14ac:dyDescent="0.35">
      <c r="I7803" s="35"/>
      <c r="O7803" s="35"/>
    </row>
    <row r="7804" spans="9:15" x14ac:dyDescent="0.35">
      <c r="I7804" s="35"/>
      <c r="O7804" s="35"/>
    </row>
    <row r="7805" spans="9:15" x14ac:dyDescent="0.35">
      <c r="I7805" s="35"/>
      <c r="O7805" s="35"/>
    </row>
    <row r="7806" spans="9:15" x14ac:dyDescent="0.35">
      <c r="I7806" s="35"/>
      <c r="O7806" s="35"/>
    </row>
    <row r="7807" spans="9:15" x14ac:dyDescent="0.35">
      <c r="I7807" s="35"/>
      <c r="O7807" s="35"/>
    </row>
    <row r="7808" spans="9:15" x14ac:dyDescent="0.35">
      <c r="I7808" s="35"/>
      <c r="O7808" s="35"/>
    </row>
    <row r="7809" spans="9:15" x14ac:dyDescent="0.35">
      <c r="I7809" s="35"/>
      <c r="O7809" s="35"/>
    </row>
    <row r="7810" spans="9:15" x14ac:dyDescent="0.35">
      <c r="I7810" s="35"/>
      <c r="O7810" s="35"/>
    </row>
    <row r="7811" spans="9:15" x14ac:dyDescent="0.35">
      <c r="I7811" s="35"/>
      <c r="O7811" s="35"/>
    </row>
    <row r="7812" spans="9:15" x14ac:dyDescent="0.35">
      <c r="I7812" s="35"/>
      <c r="O7812" s="35"/>
    </row>
    <row r="7813" spans="9:15" x14ac:dyDescent="0.35">
      <c r="I7813" s="35"/>
      <c r="O7813" s="35"/>
    </row>
    <row r="7814" spans="9:15" x14ac:dyDescent="0.35">
      <c r="I7814" s="35"/>
      <c r="O7814" s="35"/>
    </row>
    <row r="7815" spans="9:15" x14ac:dyDescent="0.35">
      <c r="I7815" s="35"/>
      <c r="O7815" s="35"/>
    </row>
    <row r="7816" spans="9:15" x14ac:dyDescent="0.35">
      <c r="I7816" s="35"/>
      <c r="O7816" s="35"/>
    </row>
    <row r="7817" spans="9:15" x14ac:dyDescent="0.35">
      <c r="I7817" s="35"/>
      <c r="O7817" s="35"/>
    </row>
    <row r="7818" spans="9:15" x14ac:dyDescent="0.35">
      <c r="I7818" s="35"/>
      <c r="O7818" s="35"/>
    </row>
    <row r="7819" spans="9:15" x14ac:dyDescent="0.35">
      <c r="I7819" s="35"/>
      <c r="O7819" s="35"/>
    </row>
    <row r="7820" spans="9:15" x14ac:dyDescent="0.35">
      <c r="I7820" s="35"/>
      <c r="O7820" s="35"/>
    </row>
    <row r="7821" spans="9:15" x14ac:dyDescent="0.35">
      <c r="I7821" s="35"/>
      <c r="O7821" s="35"/>
    </row>
    <row r="7822" spans="9:15" x14ac:dyDescent="0.35">
      <c r="I7822" s="35"/>
      <c r="O7822" s="35"/>
    </row>
    <row r="7823" spans="9:15" x14ac:dyDescent="0.35">
      <c r="I7823" s="35"/>
      <c r="O7823" s="35"/>
    </row>
    <row r="7824" spans="9:15" x14ac:dyDescent="0.35">
      <c r="I7824" s="35"/>
      <c r="O7824" s="35"/>
    </row>
    <row r="7825" spans="9:15" x14ac:dyDescent="0.35">
      <c r="I7825" s="35"/>
      <c r="O7825" s="35"/>
    </row>
    <row r="7826" spans="9:15" x14ac:dyDescent="0.35">
      <c r="I7826" s="35"/>
      <c r="O7826" s="35"/>
    </row>
    <row r="7827" spans="9:15" x14ac:dyDescent="0.35">
      <c r="I7827" s="35"/>
      <c r="O7827" s="35"/>
    </row>
    <row r="7828" spans="9:15" x14ac:dyDescent="0.35">
      <c r="I7828" s="35"/>
      <c r="O7828" s="35"/>
    </row>
    <row r="7829" spans="9:15" x14ac:dyDescent="0.35">
      <c r="I7829" s="35"/>
      <c r="O7829" s="35"/>
    </row>
    <row r="7830" spans="9:15" x14ac:dyDescent="0.35">
      <c r="I7830" s="35"/>
      <c r="O7830" s="35"/>
    </row>
    <row r="7831" spans="9:15" x14ac:dyDescent="0.35">
      <c r="I7831" s="35"/>
      <c r="O7831" s="35"/>
    </row>
    <row r="7832" spans="9:15" x14ac:dyDescent="0.35">
      <c r="I7832" s="35"/>
      <c r="O7832" s="35"/>
    </row>
    <row r="7833" spans="9:15" x14ac:dyDescent="0.35">
      <c r="I7833" s="35"/>
      <c r="O7833" s="35"/>
    </row>
    <row r="7834" spans="9:15" x14ac:dyDescent="0.35">
      <c r="I7834" s="35"/>
      <c r="O7834" s="35"/>
    </row>
    <row r="7835" spans="9:15" x14ac:dyDescent="0.35">
      <c r="I7835" s="35"/>
      <c r="O7835" s="35"/>
    </row>
    <row r="7836" spans="9:15" x14ac:dyDescent="0.35">
      <c r="I7836" s="35"/>
      <c r="O7836" s="35"/>
    </row>
    <row r="7837" spans="9:15" x14ac:dyDescent="0.35">
      <c r="I7837" s="35"/>
      <c r="O7837" s="35"/>
    </row>
    <row r="7838" spans="9:15" x14ac:dyDescent="0.35">
      <c r="I7838" s="35"/>
      <c r="O7838" s="35"/>
    </row>
    <row r="7839" spans="9:15" x14ac:dyDescent="0.35">
      <c r="I7839" s="35"/>
      <c r="O7839" s="35"/>
    </row>
    <row r="7840" spans="9:15" x14ac:dyDescent="0.35">
      <c r="I7840" s="35"/>
      <c r="O7840" s="35"/>
    </row>
    <row r="7841" spans="9:15" x14ac:dyDescent="0.35">
      <c r="I7841" s="35"/>
      <c r="O7841" s="35"/>
    </row>
    <row r="7842" spans="9:15" x14ac:dyDescent="0.35">
      <c r="I7842" s="35"/>
      <c r="O7842" s="35"/>
    </row>
    <row r="7843" spans="9:15" x14ac:dyDescent="0.35">
      <c r="I7843" s="35"/>
      <c r="O7843" s="35"/>
    </row>
    <row r="7844" spans="9:15" x14ac:dyDescent="0.35">
      <c r="I7844" s="35"/>
      <c r="O7844" s="35"/>
    </row>
    <row r="7845" spans="9:15" x14ac:dyDescent="0.35">
      <c r="I7845" s="35"/>
      <c r="O7845" s="35"/>
    </row>
    <row r="7846" spans="9:15" x14ac:dyDescent="0.35">
      <c r="I7846" s="35"/>
      <c r="O7846" s="35"/>
    </row>
    <row r="7847" spans="9:15" x14ac:dyDescent="0.35">
      <c r="I7847" s="35"/>
      <c r="O7847" s="35"/>
    </row>
    <row r="7848" spans="9:15" x14ac:dyDescent="0.35">
      <c r="I7848" s="35"/>
      <c r="O7848" s="35"/>
    </row>
    <row r="7849" spans="9:15" x14ac:dyDescent="0.35">
      <c r="I7849" s="35"/>
      <c r="O7849" s="35"/>
    </row>
    <row r="7850" spans="9:15" x14ac:dyDescent="0.35">
      <c r="I7850" s="35"/>
      <c r="O7850" s="35"/>
    </row>
    <row r="7851" spans="9:15" x14ac:dyDescent="0.35">
      <c r="I7851" s="35"/>
      <c r="O7851" s="35"/>
    </row>
    <row r="7852" spans="9:15" x14ac:dyDescent="0.35">
      <c r="I7852" s="35"/>
      <c r="O7852" s="35"/>
    </row>
    <row r="7853" spans="9:15" x14ac:dyDescent="0.35">
      <c r="I7853" s="35"/>
      <c r="O7853" s="35"/>
    </row>
    <row r="7854" spans="9:15" x14ac:dyDescent="0.35">
      <c r="I7854" s="35"/>
      <c r="O7854" s="35"/>
    </row>
    <row r="7855" spans="9:15" x14ac:dyDescent="0.35">
      <c r="I7855" s="35"/>
      <c r="O7855" s="35"/>
    </row>
    <row r="7856" spans="9:15" x14ac:dyDescent="0.35">
      <c r="I7856" s="35"/>
      <c r="O7856" s="35"/>
    </row>
    <row r="7857" spans="9:15" x14ac:dyDescent="0.35">
      <c r="I7857" s="35"/>
      <c r="O7857" s="35"/>
    </row>
    <row r="7858" spans="9:15" x14ac:dyDescent="0.35">
      <c r="I7858" s="35"/>
      <c r="O7858" s="35"/>
    </row>
    <row r="7859" spans="9:15" x14ac:dyDescent="0.35">
      <c r="I7859" s="35"/>
      <c r="O7859" s="35"/>
    </row>
    <row r="7860" spans="9:15" x14ac:dyDescent="0.35">
      <c r="I7860" s="35"/>
      <c r="O7860" s="35"/>
    </row>
    <row r="7861" spans="9:15" x14ac:dyDescent="0.35">
      <c r="I7861" s="35"/>
      <c r="O7861" s="35"/>
    </row>
    <row r="7862" spans="9:15" x14ac:dyDescent="0.35">
      <c r="I7862" s="35"/>
      <c r="O7862" s="35"/>
    </row>
    <row r="7863" spans="9:15" x14ac:dyDescent="0.35">
      <c r="I7863" s="35"/>
      <c r="O7863" s="35"/>
    </row>
    <row r="7864" spans="9:15" x14ac:dyDescent="0.35">
      <c r="I7864" s="35"/>
      <c r="O7864" s="35"/>
    </row>
    <row r="7865" spans="9:15" x14ac:dyDescent="0.35">
      <c r="I7865" s="35"/>
      <c r="O7865" s="35"/>
    </row>
    <row r="7866" spans="9:15" x14ac:dyDescent="0.35">
      <c r="I7866" s="35"/>
      <c r="O7866" s="35"/>
    </row>
    <row r="7867" spans="9:15" x14ac:dyDescent="0.35">
      <c r="I7867" s="35"/>
      <c r="O7867" s="35"/>
    </row>
    <row r="7868" spans="9:15" x14ac:dyDescent="0.35">
      <c r="I7868" s="35"/>
      <c r="O7868" s="35"/>
    </row>
    <row r="7869" spans="9:15" x14ac:dyDescent="0.35">
      <c r="I7869" s="35"/>
      <c r="O7869" s="35"/>
    </row>
    <row r="7870" spans="9:15" x14ac:dyDescent="0.35">
      <c r="I7870" s="35"/>
      <c r="O7870" s="35"/>
    </row>
    <row r="7871" spans="9:15" x14ac:dyDescent="0.35">
      <c r="I7871" s="35"/>
      <c r="O7871" s="35"/>
    </row>
    <row r="7872" spans="9:15" x14ac:dyDescent="0.35">
      <c r="I7872" s="35"/>
      <c r="O7872" s="35"/>
    </row>
    <row r="7873" spans="9:15" x14ac:dyDescent="0.35">
      <c r="I7873" s="35"/>
      <c r="O7873" s="35"/>
    </row>
    <row r="7874" spans="9:15" x14ac:dyDescent="0.35">
      <c r="I7874" s="35"/>
      <c r="O7874" s="35"/>
    </row>
    <row r="7875" spans="9:15" x14ac:dyDescent="0.35">
      <c r="I7875" s="35"/>
      <c r="O7875" s="35"/>
    </row>
    <row r="7876" spans="9:15" x14ac:dyDescent="0.35">
      <c r="I7876" s="35"/>
      <c r="O7876" s="35"/>
    </row>
    <row r="7877" spans="9:15" x14ac:dyDescent="0.35">
      <c r="I7877" s="35"/>
      <c r="O7877" s="35"/>
    </row>
    <row r="7878" spans="9:15" x14ac:dyDescent="0.35">
      <c r="I7878" s="35"/>
      <c r="O7878" s="35"/>
    </row>
    <row r="7879" spans="9:15" x14ac:dyDescent="0.35">
      <c r="I7879" s="35"/>
      <c r="O7879" s="35"/>
    </row>
    <row r="7880" spans="9:15" x14ac:dyDescent="0.35">
      <c r="I7880" s="35"/>
      <c r="O7880" s="35"/>
    </row>
    <row r="7881" spans="9:15" x14ac:dyDescent="0.35">
      <c r="I7881" s="35"/>
      <c r="O7881" s="35"/>
    </row>
    <row r="7882" spans="9:15" x14ac:dyDescent="0.35">
      <c r="I7882" s="35"/>
      <c r="O7882" s="35"/>
    </row>
    <row r="7883" spans="9:15" x14ac:dyDescent="0.35">
      <c r="I7883" s="35"/>
      <c r="O7883" s="35"/>
    </row>
    <row r="7884" spans="9:15" x14ac:dyDescent="0.35">
      <c r="I7884" s="35"/>
      <c r="O7884" s="35"/>
    </row>
    <row r="7885" spans="9:15" x14ac:dyDescent="0.35">
      <c r="I7885" s="35"/>
      <c r="O7885" s="35"/>
    </row>
    <row r="7886" spans="9:15" x14ac:dyDescent="0.35">
      <c r="I7886" s="35"/>
      <c r="O7886" s="35"/>
    </row>
    <row r="7887" spans="9:15" x14ac:dyDescent="0.35">
      <c r="I7887" s="35"/>
      <c r="O7887" s="35"/>
    </row>
    <row r="7888" spans="9:15" x14ac:dyDescent="0.35">
      <c r="I7888" s="35"/>
      <c r="O7888" s="35"/>
    </row>
    <row r="7889" spans="9:15" x14ac:dyDescent="0.35">
      <c r="I7889" s="35"/>
      <c r="O7889" s="35"/>
    </row>
    <row r="7890" spans="9:15" x14ac:dyDescent="0.35">
      <c r="I7890" s="35"/>
      <c r="O7890" s="35"/>
    </row>
    <row r="7891" spans="9:15" x14ac:dyDescent="0.35">
      <c r="I7891" s="35"/>
      <c r="O7891" s="35"/>
    </row>
    <row r="7892" spans="9:15" x14ac:dyDescent="0.35">
      <c r="I7892" s="35"/>
      <c r="O7892" s="35"/>
    </row>
    <row r="7893" spans="9:15" x14ac:dyDescent="0.35">
      <c r="I7893" s="35"/>
      <c r="O7893" s="35"/>
    </row>
    <row r="7894" spans="9:15" x14ac:dyDescent="0.35">
      <c r="I7894" s="35"/>
      <c r="O7894" s="35"/>
    </row>
    <row r="7895" spans="9:15" x14ac:dyDescent="0.35">
      <c r="I7895" s="35"/>
      <c r="O7895" s="35"/>
    </row>
    <row r="7896" spans="9:15" x14ac:dyDescent="0.35">
      <c r="I7896" s="35"/>
      <c r="O7896" s="35"/>
    </row>
    <row r="7897" spans="9:15" x14ac:dyDescent="0.35">
      <c r="I7897" s="35"/>
      <c r="O7897" s="35"/>
    </row>
    <row r="7898" spans="9:15" x14ac:dyDescent="0.35">
      <c r="I7898" s="35"/>
      <c r="O7898" s="35"/>
    </row>
    <row r="7899" spans="9:15" x14ac:dyDescent="0.35">
      <c r="I7899" s="35"/>
      <c r="O7899" s="35"/>
    </row>
    <row r="7900" spans="9:15" x14ac:dyDescent="0.35">
      <c r="I7900" s="35"/>
      <c r="O7900" s="35"/>
    </row>
    <row r="7901" spans="9:15" x14ac:dyDescent="0.35">
      <c r="I7901" s="35"/>
      <c r="O7901" s="35"/>
    </row>
    <row r="7902" spans="9:15" x14ac:dyDescent="0.35">
      <c r="I7902" s="35"/>
      <c r="O7902" s="35"/>
    </row>
    <row r="7903" spans="9:15" x14ac:dyDescent="0.35">
      <c r="I7903" s="35"/>
      <c r="O7903" s="35"/>
    </row>
    <row r="7904" spans="9:15" x14ac:dyDescent="0.35">
      <c r="I7904" s="35"/>
      <c r="O7904" s="35"/>
    </row>
    <row r="7905" spans="9:15" x14ac:dyDescent="0.35">
      <c r="I7905" s="35"/>
      <c r="O7905" s="35"/>
    </row>
    <row r="7906" spans="9:15" x14ac:dyDescent="0.35">
      <c r="I7906" s="35"/>
      <c r="O7906" s="35"/>
    </row>
    <row r="7907" spans="9:15" x14ac:dyDescent="0.35">
      <c r="I7907" s="35"/>
      <c r="O7907" s="35"/>
    </row>
    <row r="7908" spans="9:15" x14ac:dyDescent="0.35">
      <c r="I7908" s="35"/>
      <c r="O7908" s="35"/>
    </row>
    <row r="7909" spans="9:15" x14ac:dyDescent="0.35">
      <c r="I7909" s="35"/>
      <c r="O7909" s="35"/>
    </row>
    <row r="7910" spans="9:15" x14ac:dyDescent="0.35">
      <c r="I7910" s="35"/>
      <c r="O7910" s="35"/>
    </row>
    <row r="7911" spans="9:15" x14ac:dyDescent="0.35">
      <c r="I7911" s="35"/>
      <c r="O7911" s="35"/>
    </row>
    <row r="7912" spans="9:15" x14ac:dyDescent="0.35">
      <c r="I7912" s="35"/>
      <c r="O7912" s="35"/>
    </row>
    <row r="7913" spans="9:15" x14ac:dyDescent="0.35">
      <c r="I7913" s="35"/>
      <c r="O7913" s="35"/>
    </row>
    <row r="7914" spans="9:15" x14ac:dyDescent="0.35">
      <c r="I7914" s="35"/>
      <c r="O7914" s="35"/>
    </row>
    <row r="7915" spans="9:15" x14ac:dyDescent="0.35">
      <c r="I7915" s="35"/>
      <c r="O7915" s="35"/>
    </row>
    <row r="7916" spans="9:15" x14ac:dyDescent="0.35">
      <c r="I7916" s="35"/>
      <c r="O7916" s="35"/>
    </row>
    <row r="7917" spans="9:15" x14ac:dyDescent="0.35">
      <c r="I7917" s="35"/>
      <c r="O7917" s="35"/>
    </row>
    <row r="7918" spans="9:15" x14ac:dyDescent="0.35">
      <c r="I7918" s="35"/>
      <c r="O7918" s="35"/>
    </row>
    <row r="7919" spans="9:15" x14ac:dyDescent="0.35">
      <c r="I7919" s="35"/>
      <c r="O7919" s="35"/>
    </row>
    <row r="7920" spans="9:15" x14ac:dyDescent="0.35">
      <c r="I7920" s="35"/>
      <c r="O7920" s="35"/>
    </row>
    <row r="7921" spans="9:15" x14ac:dyDescent="0.35">
      <c r="I7921" s="35"/>
      <c r="O7921" s="35"/>
    </row>
    <row r="7922" spans="9:15" x14ac:dyDescent="0.35">
      <c r="I7922" s="35"/>
      <c r="O7922" s="35"/>
    </row>
    <row r="7923" spans="9:15" x14ac:dyDescent="0.35">
      <c r="I7923" s="35"/>
      <c r="O7923" s="35"/>
    </row>
    <row r="7924" spans="9:15" x14ac:dyDescent="0.35">
      <c r="I7924" s="35"/>
      <c r="O7924" s="35"/>
    </row>
    <row r="7925" spans="9:15" x14ac:dyDescent="0.35">
      <c r="I7925" s="35"/>
      <c r="O7925" s="35"/>
    </row>
    <row r="7926" spans="9:15" x14ac:dyDescent="0.35">
      <c r="I7926" s="35"/>
      <c r="O7926" s="35"/>
    </row>
    <row r="7927" spans="9:15" x14ac:dyDescent="0.35">
      <c r="I7927" s="35"/>
      <c r="O7927" s="35"/>
    </row>
    <row r="7928" spans="9:15" x14ac:dyDescent="0.35">
      <c r="I7928" s="35"/>
      <c r="O7928" s="35"/>
    </row>
    <row r="7929" spans="9:15" x14ac:dyDescent="0.35">
      <c r="I7929" s="35"/>
      <c r="O7929" s="35"/>
    </row>
    <row r="7930" spans="9:15" x14ac:dyDescent="0.35">
      <c r="I7930" s="35"/>
      <c r="O7930" s="35"/>
    </row>
    <row r="7931" spans="9:15" x14ac:dyDescent="0.35">
      <c r="I7931" s="35"/>
      <c r="O7931" s="35"/>
    </row>
    <row r="7932" spans="9:15" x14ac:dyDescent="0.35">
      <c r="I7932" s="35"/>
      <c r="O7932" s="35"/>
    </row>
    <row r="7933" spans="9:15" x14ac:dyDescent="0.35">
      <c r="I7933" s="35"/>
      <c r="O7933" s="35"/>
    </row>
    <row r="7934" spans="9:15" x14ac:dyDescent="0.35">
      <c r="I7934" s="35"/>
      <c r="O7934" s="35"/>
    </row>
    <row r="7935" spans="9:15" x14ac:dyDescent="0.35">
      <c r="I7935" s="35"/>
      <c r="O7935" s="35"/>
    </row>
    <row r="7936" spans="9:15" x14ac:dyDescent="0.35">
      <c r="I7936" s="35"/>
      <c r="O7936" s="35"/>
    </row>
    <row r="7937" spans="9:15" x14ac:dyDescent="0.35">
      <c r="I7937" s="35"/>
      <c r="O7937" s="35"/>
    </row>
    <row r="7938" spans="9:15" x14ac:dyDescent="0.35">
      <c r="I7938" s="35"/>
      <c r="O7938" s="35"/>
    </row>
    <row r="7939" spans="9:15" x14ac:dyDescent="0.35">
      <c r="I7939" s="35"/>
      <c r="O7939" s="35"/>
    </row>
    <row r="7940" spans="9:15" x14ac:dyDescent="0.35">
      <c r="I7940" s="35"/>
      <c r="O7940" s="35"/>
    </row>
    <row r="7941" spans="9:15" x14ac:dyDescent="0.35">
      <c r="I7941" s="35"/>
      <c r="O7941" s="35"/>
    </row>
    <row r="7942" spans="9:15" x14ac:dyDescent="0.35">
      <c r="I7942" s="35"/>
      <c r="O7942" s="35"/>
    </row>
    <row r="7943" spans="9:15" x14ac:dyDescent="0.35">
      <c r="I7943" s="35"/>
      <c r="O7943" s="35"/>
    </row>
    <row r="7944" spans="9:15" x14ac:dyDescent="0.35">
      <c r="I7944" s="35"/>
      <c r="O7944" s="35"/>
    </row>
    <row r="7945" spans="9:15" x14ac:dyDescent="0.35">
      <c r="I7945" s="35"/>
      <c r="O7945" s="35"/>
    </row>
    <row r="7946" spans="9:15" x14ac:dyDescent="0.35">
      <c r="I7946" s="35"/>
      <c r="O7946" s="35"/>
    </row>
    <row r="7947" spans="9:15" x14ac:dyDescent="0.35">
      <c r="I7947" s="35"/>
      <c r="O7947" s="35"/>
    </row>
    <row r="7948" spans="9:15" x14ac:dyDescent="0.35">
      <c r="I7948" s="35"/>
      <c r="O7948" s="35"/>
    </row>
    <row r="7949" spans="9:15" x14ac:dyDescent="0.35">
      <c r="I7949" s="35"/>
      <c r="O7949" s="35"/>
    </row>
    <row r="7950" spans="9:15" x14ac:dyDescent="0.35">
      <c r="I7950" s="35"/>
      <c r="O7950" s="35"/>
    </row>
    <row r="7951" spans="9:15" x14ac:dyDescent="0.35">
      <c r="I7951" s="35"/>
      <c r="O7951" s="35"/>
    </row>
    <row r="7952" spans="9:15" x14ac:dyDescent="0.35">
      <c r="I7952" s="35"/>
      <c r="O7952" s="35"/>
    </row>
    <row r="7953" spans="9:15" x14ac:dyDescent="0.35">
      <c r="I7953" s="35"/>
      <c r="O7953" s="35"/>
    </row>
    <row r="7954" spans="9:15" x14ac:dyDescent="0.35">
      <c r="I7954" s="35"/>
      <c r="O7954" s="35"/>
    </row>
    <row r="7955" spans="9:15" x14ac:dyDescent="0.35">
      <c r="I7955" s="35"/>
      <c r="O7955" s="35"/>
    </row>
    <row r="7956" spans="9:15" x14ac:dyDescent="0.35">
      <c r="I7956" s="35"/>
      <c r="O7956" s="35"/>
    </row>
    <row r="7957" spans="9:15" x14ac:dyDescent="0.35">
      <c r="I7957" s="35"/>
      <c r="O7957" s="35"/>
    </row>
    <row r="7958" spans="9:15" x14ac:dyDescent="0.35">
      <c r="I7958" s="35"/>
      <c r="O7958" s="35"/>
    </row>
    <row r="7959" spans="9:15" x14ac:dyDescent="0.35">
      <c r="I7959" s="35"/>
      <c r="O7959" s="35"/>
    </row>
    <row r="7960" spans="9:15" x14ac:dyDescent="0.35">
      <c r="I7960" s="35"/>
      <c r="O7960" s="35"/>
    </row>
    <row r="7961" spans="9:15" x14ac:dyDescent="0.35">
      <c r="I7961" s="35"/>
      <c r="O7961" s="35"/>
    </row>
    <row r="7962" spans="9:15" x14ac:dyDescent="0.35">
      <c r="I7962" s="35"/>
      <c r="O7962" s="35"/>
    </row>
    <row r="7963" spans="9:15" x14ac:dyDescent="0.35">
      <c r="I7963" s="35"/>
      <c r="O7963" s="35"/>
    </row>
    <row r="7964" spans="9:15" x14ac:dyDescent="0.35">
      <c r="I7964" s="35"/>
      <c r="O7964" s="35"/>
    </row>
    <row r="7965" spans="9:15" x14ac:dyDescent="0.35">
      <c r="I7965" s="35"/>
      <c r="O7965" s="35"/>
    </row>
    <row r="7966" spans="9:15" x14ac:dyDescent="0.35">
      <c r="I7966" s="35"/>
      <c r="O7966" s="35"/>
    </row>
    <row r="7967" spans="9:15" x14ac:dyDescent="0.35">
      <c r="I7967" s="35"/>
      <c r="O7967" s="35"/>
    </row>
    <row r="7968" spans="9:15" x14ac:dyDescent="0.35">
      <c r="I7968" s="35"/>
      <c r="O7968" s="35"/>
    </row>
    <row r="7969" spans="9:15" x14ac:dyDescent="0.35">
      <c r="I7969" s="35"/>
      <c r="O7969" s="35"/>
    </row>
    <row r="7970" spans="9:15" x14ac:dyDescent="0.35">
      <c r="I7970" s="35"/>
      <c r="O7970" s="35"/>
    </row>
    <row r="7971" spans="9:15" x14ac:dyDescent="0.35">
      <c r="I7971" s="35"/>
      <c r="O7971" s="35"/>
    </row>
    <row r="7972" spans="9:15" x14ac:dyDescent="0.35">
      <c r="I7972" s="35"/>
      <c r="O7972" s="35"/>
    </row>
    <row r="7973" spans="9:15" x14ac:dyDescent="0.35">
      <c r="I7973" s="35"/>
      <c r="O7973" s="35"/>
    </row>
    <row r="7974" spans="9:15" x14ac:dyDescent="0.35">
      <c r="I7974" s="35"/>
      <c r="O7974" s="35"/>
    </row>
    <row r="7975" spans="9:15" x14ac:dyDescent="0.35">
      <c r="I7975" s="35"/>
      <c r="O7975" s="35"/>
    </row>
    <row r="7976" spans="9:15" x14ac:dyDescent="0.35">
      <c r="I7976" s="35"/>
      <c r="O7976" s="35"/>
    </row>
    <row r="7977" spans="9:15" x14ac:dyDescent="0.35">
      <c r="I7977" s="35"/>
      <c r="O7977" s="35"/>
    </row>
    <row r="7978" spans="9:15" x14ac:dyDescent="0.35">
      <c r="I7978" s="35"/>
      <c r="O7978" s="35"/>
    </row>
    <row r="7979" spans="9:15" x14ac:dyDescent="0.35">
      <c r="I7979" s="35"/>
      <c r="O7979" s="35"/>
    </row>
    <row r="7980" spans="9:15" x14ac:dyDescent="0.35">
      <c r="I7980" s="35"/>
      <c r="O7980" s="35"/>
    </row>
    <row r="7981" spans="9:15" x14ac:dyDescent="0.35">
      <c r="I7981" s="35"/>
      <c r="O7981" s="35"/>
    </row>
    <row r="7982" spans="9:15" x14ac:dyDescent="0.35">
      <c r="I7982" s="35"/>
      <c r="O7982" s="35"/>
    </row>
    <row r="7983" spans="9:15" x14ac:dyDescent="0.35">
      <c r="I7983" s="35"/>
      <c r="O7983" s="35"/>
    </row>
    <row r="7984" spans="9:15" x14ac:dyDescent="0.35">
      <c r="I7984" s="35"/>
      <c r="O7984" s="35"/>
    </row>
    <row r="7985" spans="9:15" x14ac:dyDescent="0.35">
      <c r="I7985" s="35"/>
      <c r="O7985" s="35"/>
    </row>
    <row r="7986" spans="9:15" x14ac:dyDescent="0.35">
      <c r="I7986" s="35"/>
      <c r="O7986" s="35"/>
    </row>
    <row r="7987" spans="9:15" x14ac:dyDescent="0.35">
      <c r="I7987" s="35"/>
      <c r="O7987" s="35"/>
    </row>
    <row r="7988" spans="9:15" x14ac:dyDescent="0.35">
      <c r="I7988" s="35"/>
      <c r="O7988" s="35"/>
    </row>
    <row r="7989" spans="9:15" x14ac:dyDescent="0.35">
      <c r="I7989" s="35"/>
      <c r="O7989" s="35"/>
    </row>
    <row r="7990" spans="9:15" x14ac:dyDescent="0.35">
      <c r="I7990" s="35"/>
      <c r="O7990" s="35"/>
    </row>
    <row r="7991" spans="9:15" x14ac:dyDescent="0.35">
      <c r="I7991" s="35"/>
      <c r="O7991" s="35"/>
    </row>
    <row r="7992" spans="9:15" x14ac:dyDescent="0.35">
      <c r="I7992" s="35"/>
      <c r="O7992" s="35"/>
    </row>
    <row r="7993" spans="9:15" x14ac:dyDescent="0.35">
      <c r="I7993" s="35"/>
      <c r="O7993" s="35"/>
    </row>
    <row r="7994" spans="9:15" x14ac:dyDescent="0.35">
      <c r="I7994" s="35"/>
      <c r="O7994" s="35"/>
    </row>
    <row r="7995" spans="9:15" x14ac:dyDescent="0.35">
      <c r="I7995" s="35"/>
      <c r="O7995" s="35"/>
    </row>
    <row r="7996" spans="9:15" x14ac:dyDescent="0.35">
      <c r="I7996" s="35"/>
      <c r="O7996" s="35"/>
    </row>
    <row r="7997" spans="9:15" x14ac:dyDescent="0.35">
      <c r="I7997" s="35"/>
      <c r="O7997" s="35"/>
    </row>
    <row r="7998" spans="9:15" x14ac:dyDescent="0.35">
      <c r="I7998" s="35"/>
      <c r="O7998" s="35"/>
    </row>
    <row r="7999" spans="9:15" x14ac:dyDescent="0.35">
      <c r="I7999" s="35"/>
      <c r="O7999" s="35"/>
    </row>
    <row r="8000" spans="9:15" x14ac:dyDescent="0.35">
      <c r="I8000" s="35"/>
      <c r="O8000" s="35"/>
    </row>
    <row r="8001" spans="9:15" x14ac:dyDescent="0.35">
      <c r="I8001" s="35"/>
      <c r="O8001" s="35"/>
    </row>
    <row r="8002" spans="9:15" x14ac:dyDescent="0.35">
      <c r="I8002" s="35"/>
      <c r="O8002" s="35"/>
    </row>
    <row r="8003" spans="9:15" x14ac:dyDescent="0.35">
      <c r="I8003" s="35"/>
      <c r="O8003" s="35"/>
    </row>
    <row r="8004" spans="9:15" x14ac:dyDescent="0.35">
      <c r="I8004" s="35"/>
      <c r="O8004" s="35"/>
    </row>
    <row r="8005" spans="9:15" x14ac:dyDescent="0.35">
      <c r="I8005" s="35"/>
      <c r="O8005" s="35"/>
    </row>
    <row r="8006" spans="9:15" x14ac:dyDescent="0.35">
      <c r="I8006" s="35"/>
      <c r="O8006" s="35"/>
    </row>
    <row r="8007" spans="9:15" x14ac:dyDescent="0.35">
      <c r="I8007" s="35"/>
      <c r="O8007" s="35"/>
    </row>
    <row r="8008" spans="9:15" x14ac:dyDescent="0.35">
      <c r="I8008" s="35"/>
      <c r="O8008" s="35"/>
    </row>
    <row r="8009" spans="9:15" x14ac:dyDescent="0.35">
      <c r="I8009" s="35"/>
      <c r="O8009" s="35"/>
    </row>
    <row r="8010" spans="9:15" x14ac:dyDescent="0.35">
      <c r="I8010" s="35"/>
      <c r="O8010" s="35"/>
    </row>
    <row r="8011" spans="9:15" x14ac:dyDescent="0.35">
      <c r="I8011" s="35"/>
      <c r="O8011" s="35"/>
    </row>
    <row r="8012" spans="9:15" x14ac:dyDescent="0.35">
      <c r="I8012" s="35"/>
      <c r="O8012" s="35"/>
    </row>
    <row r="8013" spans="9:15" x14ac:dyDescent="0.35">
      <c r="I8013" s="35"/>
      <c r="O8013" s="35"/>
    </row>
    <row r="8014" spans="9:15" x14ac:dyDescent="0.35">
      <c r="I8014" s="35"/>
      <c r="O8014" s="35"/>
    </row>
    <row r="8015" spans="9:15" x14ac:dyDescent="0.35">
      <c r="I8015" s="35"/>
      <c r="O8015" s="35"/>
    </row>
    <row r="8016" spans="9:15" x14ac:dyDescent="0.35">
      <c r="I8016" s="35"/>
      <c r="O8016" s="35"/>
    </row>
    <row r="8017" spans="9:15" x14ac:dyDescent="0.35">
      <c r="I8017" s="35"/>
      <c r="O8017" s="35"/>
    </row>
    <row r="8018" spans="9:15" x14ac:dyDescent="0.35">
      <c r="I8018" s="35"/>
      <c r="O8018" s="35"/>
    </row>
    <row r="8019" spans="9:15" x14ac:dyDescent="0.35">
      <c r="I8019" s="35"/>
      <c r="O8019" s="35"/>
    </row>
    <row r="8020" spans="9:15" x14ac:dyDescent="0.35">
      <c r="I8020" s="35"/>
      <c r="O8020" s="35"/>
    </row>
    <row r="8021" spans="9:15" x14ac:dyDescent="0.35">
      <c r="I8021" s="35"/>
      <c r="O8021" s="35"/>
    </row>
    <row r="8022" spans="9:15" x14ac:dyDescent="0.35">
      <c r="I8022" s="35"/>
      <c r="O8022" s="35"/>
    </row>
    <row r="8023" spans="9:15" x14ac:dyDescent="0.35">
      <c r="I8023" s="35"/>
      <c r="O8023" s="35"/>
    </row>
    <row r="8024" spans="9:15" x14ac:dyDescent="0.35">
      <c r="I8024" s="35"/>
      <c r="O8024" s="35"/>
    </row>
    <row r="8025" spans="9:15" x14ac:dyDescent="0.35">
      <c r="I8025" s="35"/>
      <c r="O8025" s="35"/>
    </row>
    <row r="8026" spans="9:15" x14ac:dyDescent="0.35">
      <c r="I8026" s="35"/>
      <c r="O8026" s="35"/>
    </row>
    <row r="8027" spans="9:15" x14ac:dyDescent="0.35">
      <c r="I8027" s="35"/>
      <c r="O8027" s="35"/>
    </row>
    <row r="8028" spans="9:15" x14ac:dyDescent="0.35">
      <c r="I8028" s="35"/>
      <c r="O8028" s="35"/>
    </row>
    <row r="8029" spans="9:15" x14ac:dyDescent="0.35">
      <c r="I8029" s="35"/>
      <c r="O8029" s="35"/>
    </row>
    <row r="8030" spans="9:15" x14ac:dyDescent="0.35">
      <c r="I8030" s="35"/>
      <c r="O8030" s="35"/>
    </row>
    <row r="8031" spans="9:15" x14ac:dyDescent="0.35">
      <c r="I8031" s="35"/>
      <c r="O8031" s="35"/>
    </row>
    <row r="8032" spans="9:15" x14ac:dyDescent="0.35">
      <c r="I8032" s="35"/>
      <c r="O8032" s="35"/>
    </row>
    <row r="8033" spans="9:15" x14ac:dyDescent="0.35">
      <c r="I8033" s="35"/>
      <c r="O8033" s="35"/>
    </row>
    <row r="8034" spans="9:15" x14ac:dyDescent="0.35">
      <c r="I8034" s="35"/>
      <c r="O8034" s="35"/>
    </row>
    <row r="8035" spans="9:15" x14ac:dyDescent="0.35">
      <c r="I8035" s="35"/>
      <c r="O8035" s="35"/>
    </row>
    <row r="8036" spans="9:15" x14ac:dyDescent="0.35">
      <c r="I8036" s="35"/>
      <c r="O8036" s="35"/>
    </row>
    <row r="8037" spans="9:15" x14ac:dyDescent="0.35">
      <c r="I8037" s="35"/>
      <c r="O8037" s="35"/>
    </row>
    <row r="8038" spans="9:15" x14ac:dyDescent="0.35">
      <c r="I8038" s="35"/>
      <c r="O8038" s="35"/>
    </row>
    <row r="8039" spans="9:15" x14ac:dyDescent="0.35">
      <c r="I8039" s="35"/>
      <c r="O8039" s="35"/>
    </row>
    <row r="8040" spans="9:15" x14ac:dyDescent="0.35">
      <c r="I8040" s="35"/>
      <c r="O8040" s="35"/>
    </row>
    <row r="8041" spans="9:15" x14ac:dyDescent="0.35">
      <c r="I8041" s="35"/>
      <c r="O8041" s="35"/>
    </row>
    <row r="8042" spans="9:15" x14ac:dyDescent="0.35">
      <c r="I8042" s="35"/>
      <c r="O8042" s="35"/>
    </row>
    <row r="8043" spans="9:15" x14ac:dyDescent="0.35">
      <c r="I8043" s="35"/>
      <c r="O8043" s="35"/>
    </row>
    <row r="8044" spans="9:15" x14ac:dyDescent="0.35">
      <c r="I8044" s="35"/>
      <c r="O8044" s="35"/>
    </row>
    <row r="8045" spans="9:15" x14ac:dyDescent="0.35">
      <c r="I8045" s="35"/>
      <c r="O8045" s="35"/>
    </row>
    <row r="8046" spans="9:15" x14ac:dyDescent="0.35">
      <c r="I8046" s="35"/>
      <c r="O8046" s="35"/>
    </row>
    <row r="8047" spans="9:15" x14ac:dyDescent="0.35">
      <c r="I8047" s="35"/>
      <c r="O8047" s="35"/>
    </row>
    <row r="8048" spans="9:15" x14ac:dyDescent="0.35">
      <c r="I8048" s="35"/>
      <c r="O8048" s="35"/>
    </row>
    <row r="8049" spans="9:15" x14ac:dyDescent="0.35">
      <c r="I8049" s="35"/>
      <c r="O8049" s="35"/>
    </row>
    <row r="8050" spans="9:15" x14ac:dyDescent="0.35">
      <c r="I8050" s="35"/>
      <c r="O8050" s="35"/>
    </row>
    <row r="8051" spans="9:15" x14ac:dyDescent="0.35">
      <c r="I8051" s="35"/>
      <c r="O8051" s="35"/>
    </row>
    <row r="8052" spans="9:15" x14ac:dyDescent="0.35">
      <c r="I8052" s="35"/>
      <c r="O8052" s="35"/>
    </row>
    <row r="8053" spans="9:15" x14ac:dyDescent="0.35">
      <c r="I8053" s="35"/>
      <c r="O8053" s="35"/>
    </row>
    <row r="8054" spans="9:15" x14ac:dyDescent="0.35">
      <c r="I8054" s="35"/>
      <c r="O8054" s="35"/>
    </row>
    <row r="8055" spans="9:15" x14ac:dyDescent="0.35">
      <c r="I8055" s="35"/>
      <c r="O8055" s="35"/>
    </row>
    <row r="8056" spans="9:15" x14ac:dyDescent="0.35">
      <c r="I8056" s="35"/>
      <c r="O8056" s="35"/>
    </row>
    <row r="8057" spans="9:15" x14ac:dyDescent="0.35">
      <c r="I8057" s="35"/>
      <c r="O8057" s="35"/>
    </row>
    <row r="8058" spans="9:15" x14ac:dyDescent="0.35">
      <c r="I8058" s="35"/>
      <c r="O8058" s="35"/>
    </row>
    <row r="8059" spans="9:15" x14ac:dyDescent="0.35">
      <c r="I8059" s="35"/>
      <c r="O8059" s="35"/>
    </row>
    <row r="8060" spans="9:15" x14ac:dyDescent="0.35">
      <c r="I8060" s="35"/>
      <c r="O8060" s="35"/>
    </row>
    <row r="8061" spans="9:15" x14ac:dyDescent="0.35">
      <c r="I8061" s="35"/>
      <c r="O8061" s="35"/>
    </row>
    <row r="8062" spans="9:15" x14ac:dyDescent="0.35">
      <c r="I8062" s="35"/>
      <c r="O8062" s="35"/>
    </row>
    <row r="8063" spans="9:15" x14ac:dyDescent="0.35">
      <c r="I8063" s="35"/>
      <c r="O8063" s="35"/>
    </row>
    <row r="8064" spans="9:15" x14ac:dyDescent="0.35">
      <c r="I8064" s="35"/>
      <c r="O8064" s="35"/>
    </row>
    <row r="8065" spans="9:15" x14ac:dyDescent="0.35">
      <c r="I8065" s="35"/>
      <c r="O8065" s="35"/>
    </row>
    <row r="8066" spans="9:15" x14ac:dyDescent="0.35">
      <c r="I8066" s="35"/>
      <c r="O8066" s="35"/>
    </row>
    <row r="8067" spans="9:15" x14ac:dyDescent="0.35">
      <c r="I8067" s="35"/>
      <c r="O8067" s="35"/>
    </row>
    <row r="8068" spans="9:15" x14ac:dyDescent="0.35">
      <c r="I8068" s="35"/>
      <c r="O8068" s="35"/>
    </row>
    <row r="8069" spans="9:15" x14ac:dyDescent="0.35">
      <c r="I8069" s="35"/>
      <c r="O8069" s="35"/>
    </row>
    <row r="8070" spans="9:15" x14ac:dyDescent="0.35">
      <c r="I8070" s="35"/>
      <c r="O8070" s="35"/>
    </row>
    <row r="8071" spans="9:15" x14ac:dyDescent="0.35">
      <c r="I8071" s="35"/>
      <c r="O8071" s="35"/>
    </row>
    <row r="8072" spans="9:15" x14ac:dyDescent="0.35">
      <c r="I8072" s="35"/>
      <c r="O8072" s="35"/>
    </row>
    <row r="8073" spans="9:15" x14ac:dyDescent="0.35">
      <c r="I8073" s="35"/>
      <c r="O8073" s="35"/>
    </row>
    <row r="8074" spans="9:15" x14ac:dyDescent="0.35">
      <c r="I8074" s="35"/>
      <c r="O8074" s="35"/>
    </row>
    <row r="8075" spans="9:15" x14ac:dyDescent="0.35">
      <c r="I8075" s="35"/>
      <c r="O8075" s="35"/>
    </row>
    <row r="8076" spans="9:15" x14ac:dyDescent="0.35">
      <c r="I8076" s="35"/>
      <c r="O8076" s="35"/>
    </row>
    <row r="8077" spans="9:15" x14ac:dyDescent="0.35">
      <c r="I8077" s="35"/>
      <c r="O8077" s="35"/>
    </row>
    <row r="8078" spans="9:15" x14ac:dyDescent="0.35">
      <c r="I8078" s="35"/>
      <c r="O8078" s="35"/>
    </row>
    <row r="8079" spans="9:15" x14ac:dyDescent="0.35">
      <c r="I8079" s="35"/>
      <c r="O8079" s="35"/>
    </row>
    <row r="8080" spans="9:15" x14ac:dyDescent="0.35">
      <c r="I8080" s="35"/>
      <c r="O8080" s="35"/>
    </row>
    <row r="8081" spans="9:15" x14ac:dyDescent="0.35">
      <c r="I8081" s="35"/>
      <c r="O8081" s="35"/>
    </row>
    <row r="8082" spans="9:15" x14ac:dyDescent="0.35">
      <c r="I8082" s="35"/>
      <c r="O8082" s="35"/>
    </row>
    <row r="8083" spans="9:15" x14ac:dyDescent="0.35">
      <c r="I8083" s="35"/>
      <c r="O8083" s="35"/>
    </row>
    <row r="8084" spans="9:15" x14ac:dyDescent="0.35">
      <c r="I8084" s="35"/>
      <c r="O8084" s="35"/>
    </row>
    <row r="8085" spans="9:15" x14ac:dyDescent="0.35">
      <c r="I8085" s="35"/>
      <c r="O8085" s="35"/>
    </row>
    <row r="8086" spans="9:15" x14ac:dyDescent="0.35">
      <c r="I8086" s="35"/>
      <c r="O8086" s="35"/>
    </row>
    <row r="8087" spans="9:15" x14ac:dyDescent="0.35">
      <c r="I8087" s="35"/>
      <c r="O8087" s="35"/>
    </row>
    <row r="8088" spans="9:15" x14ac:dyDescent="0.35">
      <c r="I8088" s="35"/>
      <c r="O8088" s="35"/>
    </row>
    <row r="8089" spans="9:15" x14ac:dyDescent="0.35">
      <c r="I8089" s="35"/>
      <c r="O8089" s="35"/>
    </row>
    <row r="8090" spans="9:15" x14ac:dyDescent="0.35">
      <c r="I8090" s="35"/>
      <c r="O8090" s="35"/>
    </row>
    <row r="8091" spans="9:15" x14ac:dyDescent="0.35">
      <c r="I8091" s="35"/>
      <c r="O8091" s="35"/>
    </row>
    <row r="8092" spans="9:15" x14ac:dyDescent="0.35">
      <c r="I8092" s="35"/>
      <c r="O8092" s="35"/>
    </row>
    <row r="8093" spans="9:15" x14ac:dyDescent="0.35">
      <c r="I8093" s="35"/>
      <c r="O8093" s="35"/>
    </row>
    <row r="8094" spans="9:15" x14ac:dyDescent="0.35">
      <c r="I8094" s="35"/>
      <c r="O8094" s="35"/>
    </row>
    <row r="8095" spans="9:15" x14ac:dyDescent="0.35">
      <c r="I8095" s="35"/>
      <c r="O8095" s="35"/>
    </row>
    <row r="8096" spans="9:15" x14ac:dyDescent="0.35">
      <c r="I8096" s="35"/>
      <c r="O8096" s="35"/>
    </row>
    <row r="8097" spans="9:15" x14ac:dyDescent="0.35">
      <c r="I8097" s="35"/>
      <c r="O8097" s="35"/>
    </row>
    <row r="8098" spans="9:15" x14ac:dyDescent="0.35">
      <c r="I8098" s="35"/>
      <c r="O8098" s="35"/>
    </row>
    <row r="8099" spans="9:15" x14ac:dyDescent="0.35">
      <c r="I8099" s="35"/>
      <c r="O8099" s="35"/>
    </row>
    <row r="8100" spans="9:15" x14ac:dyDescent="0.35">
      <c r="I8100" s="35"/>
      <c r="O8100" s="35"/>
    </row>
    <row r="8101" spans="9:15" x14ac:dyDescent="0.35">
      <c r="I8101" s="35"/>
      <c r="O8101" s="35"/>
    </row>
    <row r="8102" spans="9:15" x14ac:dyDescent="0.35">
      <c r="I8102" s="35"/>
      <c r="O8102" s="35"/>
    </row>
    <row r="8103" spans="9:15" x14ac:dyDescent="0.35">
      <c r="I8103" s="35"/>
      <c r="O8103" s="35"/>
    </row>
    <row r="8104" spans="9:15" x14ac:dyDescent="0.35">
      <c r="I8104" s="35"/>
      <c r="O8104" s="35"/>
    </row>
    <row r="8105" spans="9:15" x14ac:dyDescent="0.35">
      <c r="I8105" s="35"/>
      <c r="O8105" s="35"/>
    </row>
    <row r="8106" spans="9:15" x14ac:dyDescent="0.35">
      <c r="I8106" s="35"/>
      <c r="O8106" s="35"/>
    </row>
    <row r="8107" spans="9:15" x14ac:dyDescent="0.35">
      <c r="I8107" s="35"/>
      <c r="O8107" s="35"/>
    </row>
    <row r="8108" spans="9:15" x14ac:dyDescent="0.35">
      <c r="I8108" s="35"/>
      <c r="O8108" s="35"/>
    </row>
    <row r="8109" spans="9:15" x14ac:dyDescent="0.35">
      <c r="I8109" s="35"/>
      <c r="O8109" s="35"/>
    </row>
    <row r="8110" spans="9:15" x14ac:dyDescent="0.35">
      <c r="I8110" s="35"/>
      <c r="O8110" s="35"/>
    </row>
    <row r="8111" spans="9:15" x14ac:dyDescent="0.35">
      <c r="I8111" s="35"/>
      <c r="O8111" s="35"/>
    </row>
    <row r="8112" spans="9:15" x14ac:dyDescent="0.35">
      <c r="I8112" s="35"/>
      <c r="O8112" s="35"/>
    </row>
    <row r="8113" spans="9:15" x14ac:dyDescent="0.35">
      <c r="I8113" s="35"/>
      <c r="O8113" s="35"/>
    </row>
    <row r="8114" spans="9:15" x14ac:dyDescent="0.35">
      <c r="I8114" s="35"/>
      <c r="O8114" s="35"/>
    </row>
    <row r="8115" spans="9:15" x14ac:dyDescent="0.35">
      <c r="I8115" s="35"/>
      <c r="O8115" s="35"/>
    </row>
    <row r="8116" spans="9:15" x14ac:dyDescent="0.35">
      <c r="I8116" s="35"/>
      <c r="O8116" s="35"/>
    </row>
    <row r="8117" spans="9:15" x14ac:dyDescent="0.35">
      <c r="I8117" s="35"/>
      <c r="O8117" s="35"/>
    </row>
    <row r="8118" spans="9:15" x14ac:dyDescent="0.35">
      <c r="I8118" s="35"/>
      <c r="O8118" s="35"/>
    </row>
    <row r="8119" spans="9:15" x14ac:dyDescent="0.35">
      <c r="I8119" s="35"/>
      <c r="O8119" s="35"/>
    </row>
    <row r="8120" spans="9:15" x14ac:dyDescent="0.35">
      <c r="I8120" s="35"/>
      <c r="O8120" s="35"/>
    </row>
    <row r="8121" spans="9:15" x14ac:dyDescent="0.35">
      <c r="I8121" s="35"/>
      <c r="O8121" s="35"/>
    </row>
    <row r="8122" spans="9:15" x14ac:dyDescent="0.35">
      <c r="I8122" s="35"/>
      <c r="O8122" s="35"/>
    </row>
    <row r="8123" spans="9:15" x14ac:dyDescent="0.35">
      <c r="I8123" s="35"/>
      <c r="O8123" s="35"/>
    </row>
    <row r="8124" spans="9:15" x14ac:dyDescent="0.35">
      <c r="I8124" s="35"/>
      <c r="O8124" s="35"/>
    </row>
    <row r="8125" spans="9:15" x14ac:dyDescent="0.35">
      <c r="I8125" s="35"/>
      <c r="O8125" s="35"/>
    </row>
    <row r="8126" spans="9:15" x14ac:dyDescent="0.35">
      <c r="I8126" s="35"/>
      <c r="O8126" s="35"/>
    </row>
    <row r="8127" spans="9:15" x14ac:dyDescent="0.35">
      <c r="I8127" s="35"/>
      <c r="O8127" s="35"/>
    </row>
    <row r="8128" spans="9:15" x14ac:dyDescent="0.35">
      <c r="I8128" s="35"/>
      <c r="O8128" s="35"/>
    </row>
    <row r="8129" spans="9:15" x14ac:dyDescent="0.35">
      <c r="I8129" s="35"/>
      <c r="O8129" s="35"/>
    </row>
    <row r="8130" spans="9:15" x14ac:dyDescent="0.35">
      <c r="I8130" s="35"/>
      <c r="O8130" s="35"/>
    </row>
    <row r="8131" spans="9:15" x14ac:dyDescent="0.35">
      <c r="I8131" s="35"/>
      <c r="O8131" s="35"/>
    </row>
    <row r="8132" spans="9:15" x14ac:dyDescent="0.35">
      <c r="I8132" s="35"/>
      <c r="O8132" s="35"/>
    </row>
    <row r="8133" spans="9:15" x14ac:dyDescent="0.35">
      <c r="I8133" s="35"/>
      <c r="O8133" s="35"/>
    </row>
    <row r="8134" spans="9:15" x14ac:dyDescent="0.35">
      <c r="I8134" s="35"/>
      <c r="O8134" s="35"/>
    </row>
    <row r="8135" spans="9:15" x14ac:dyDescent="0.35">
      <c r="I8135" s="35"/>
      <c r="O8135" s="35"/>
    </row>
    <row r="8136" spans="9:15" x14ac:dyDescent="0.35">
      <c r="I8136" s="35"/>
      <c r="O8136" s="35"/>
    </row>
    <row r="8137" spans="9:15" x14ac:dyDescent="0.35">
      <c r="I8137" s="35"/>
      <c r="O8137" s="35"/>
    </row>
    <row r="8138" spans="9:15" x14ac:dyDescent="0.35">
      <c r="I8138" s="35"/>
      <c r="O8138" s="35"/>
    </row>
    <row r="8139" spans="9:15" x14ac:dyDescent="0.35">
      <c r="I8139" s="35"/>
      <c r="O8139" s="35"/>
    </row>
    <row r="8140" spans="9:15" x14ac:dyDescent="0.35">
      <c r="I8140" s="35"/>
      <c r="O8140" s="35"/>
    </row>
    <row r="8141" spans="9:15" x14ac:dyDescent="0.35">
      <c r="I8141" s="35"/>
      <c r="O8141" s="35"/>
    </row>
    <row r="8142" spans="9:15" x14ac:dyDescent="0.35">
      <c r="I8142" s="35"/>
      <c r="O8142" s="35"/>
    </row>
    <row r="8143" spans="9:15" x14ac:dyDescent="0.35">
      <c r="I8143" s="35"/>
      <c r="O8143" s="35"/>
    </row>
    <row r="8144" spans="9:15" x14ac:dyDescent="0.35">
      <c r="I8144" s="35"/>
      <c r="O8144" s="35"/>
    </row>
    <row r="8145" spans="9:15" x14ac:dyDescent="0.35">
      <c r="I8145" s="35"/>
      <c r="O8145" s="35"/>
    </row>
    <row r="8146" spans="9:15" x14ac:dyDescent="0.35">
      <c r="I8146" s="35"/>
      <c r="O8146" s="35"/>
    </row>
    <row r="8147" spans="9:15" x14ac:dyDescent="0.35">
      <c r="I8147" s="35"/>
      <c r="O8147" s="35"/>
    </row>
    <row r="8148" spans="9:15" x14ac:dyDescent="0.35">
      <c r="I8148" s="35"/>
      <c r="O8148" s="35"/>
    </row>
    <row r="8149" spans="9:15" x14ac:dyDescent="0.35">
      <c r="I8149" s="35"/>
      <c r="O8149" s="35"/>
    </row>
    <row r="8150" spans="9:15" x14ac:dyDescent="0.35">
      <c r="I8150" s="35"/>
      <c r="O8150" s="35"/>
    </row>
    <row r="8151" spans="9:15" x14ac:dyDescent="0.35">
      <c r="I8151" s="35"/>
      <c r="O8151" s="35"/>
    </row>
    <row r="8152" spans="9:15" x14ac:dyDescent="0.35">
      <c r="I8152" s="35"/>
      <c r="O8152" s="35"/>
    </row>
    <row r="8153" spans="9:15" x14ac:dyDescent="0.35">
      <c r="I8153" s="35"/>
      <c r="O8153" s="35"/>
    </row>
    <row r="8154" spans="9:15" x14ac:dyDescent="0.35">
      <c r="I8154" s="35"/>
      <c r="O8154" s="35"/>
    </row>
    <row r="8155" spans="9:15" x14ac:dyDescent="0.35">
      <c r="I8155" s="35"/>
      <c r="O8155" s="35"/>
    </row>
    <row r="8156" spans="9:15" x14ac:dyDescent="0.35">
      <c r="I8156" s="35"/>
      <c r="O8156" s="35"/>
    </row>
    <row r="8157" spans="9:15" x14ac:dyDescent="0.35">
      <c r="I8157" s="35"/>
      <c r="O8157" s="35"/>
    </row>
    <row r="8158" spans="9:15" x14ac:dyDescent="0.35">
      <c r="I8158" s="35"/>
      <c r="O8158" s="35"/>
    </row>
    <row r="8159" spans="9:15" x14ac:dyDescent="0.35">
      <c r="I8159" s="35"/>
      <c r="O8159" s="35"/>
    </row>
    <row r="8160" spans="9:15" x14ac:dyDescent="0.35">
      <c r="I8160" s="35"/>
      <c r="O8160" s="35"/>
    </row>
    <row r="8161" spans="9:15" x14ac:dyDescent="0.35">
      <c r="I8161" s="35"/>
      <c r="O8161" s="35"/>
    </row>
    <row r="8162" spans="9:15" x14ac:dyDescent="0.35">
      <c r="I8162" s="35"/>
      <c r="O8162" s="35"/>
    </row>
    <row r="8163" spans="9:15" x14ac:dyDescent="0.35">
      <c r="I8163" s="35"/>
      <c r="O8163" s="35"/>
    </row>
    <row r="8164" spans="9:15" x14ac:dyDescent="0.35">
      <c r="I8164" s="35"/>
      <c r="O8164" s="35"/>
    </row>
    <row r="8165" spans="9:15" x14ac:dyDescent="0.35">
      <c r="I8165" s="35"/>
      <c r="O8165" s="35"/>
    </row>
    <row r="8166" spans="9:15" x14ac:dyDescent="0.35">
      <c r="I8166" s="35"/>
      <c r="O8166" s="35"/>
    </row>
    <row r="8167" spans="9:15" x14ac:dyDescent="0.35">
      <c r="I8167" s="35"/>
      <c r="O8167" s="35"/>
    </row>
    <row r="8168" spans="9:15" x14ac:dyDescent="0.35">
      <c r="I8168" s="35"/>
      <c r="O8168" s="35"/>
    </row>
    <row r="8169" spans="9:15" x14ac:dyDescent="0.35">
      <c r="I8169" s="35"/>
      <c r="O8169" s="35"/>
    </row>
    <row r="8170" spans="9:15" x14ac:dyDescent="0.35">
      <c r="I8170" s="35"/>
      <c r="O8170" s="35"/>
    </row>
    <row r="8171" spans="9:15" x14ac:dyDescent="0.35">
      <c r="I8171" s="35"/>
      <c r="O8171" s="35"/>
    </row>
    <row r="8172" spans="9:15" x14ac:dyDescent="0.35">
      <c r="I8172" s="35"/>
      <c r="O8172" s="35"/>
    </row>
    <row r="8173" spans="9:15" x14ac:dyDescent="0.35">
      <c r="I8173" s="35"/>
      <c r="O8173" s="35"/>
    </row>
    <row r="8174" spans="9:15" x14ac:dyDescent="0.35">
      <c r="I8174" s="35"/>
      <c r="O8174" s="35"/>
    </row>
    <row r="8175" spans="9:15" x14ac:dyDescent="0.35">
      <c r="I8175" s="35"/>
      <c r="O8175" s="35"/>
    </row>
    <row r="8176" spans="9:15" x14ac:dyDescent="0.35">
      <c r="I8176" s="35"/>
      <c r="O8176" s="35"/>
    </row>
    <row r="8177" spans="9:15" x14ac:dyDescent="0.35">
      <c r="I8177" s="35"/>
      <c r="O8177" s="35"/>
    </row>
    <row r="8178" spans="9:15" x14ac:dyDescent="0.35">
      <c r="I8178" s="35"/>
      <c r="O8178" s="35"/>
    </row>
    <row r="8179" spans="9:15" x14ac:dyDescent="0.35">
      <c r="I8179" s="35"/>
      <c r="O8179" s="35"/>
    </row>
    <row r="8180" spans="9:15" x14ac:dyDescent="0.35">
      <c r="I8180" s="35"/>
      <c r="O8180" s="35"/>
    </row>
    <row r="8181" spans="9:15" x14ac:dyDescent="0.35">
      <c r="I8181" s="35"/>
      <c r="O8181" s="35"/>
    </row>
    <row r="8182" spans="9:15" x14ac:dyDescent="0.35">
      <c r="I8182" s="35"/>
      <c r="O8182" s="35"/>
    </row>
    <row r="8183" spans="9:15" x14ac:dyDescent="0.35">
      <c r="I8183" s="35"/>
      <c r="O8183" s="35"/>
    </row>
    <row r="8184" spans="9:15" x14ac:dyDescent="0.35">
      <c r="I8184" s="35"/>
      <c r="O8184" s="35"/>
    </row>
    <row r="8185" spans="9:15" x14ac:dyDescent="0.35">
      <c r="I8185" s="35"/>
      <c r="O8185" s="35"/>
    </row>
    <row r="8186" spans="9:15" x14ac:dyDescent="0.35">
      <c r="I8186" s="35"/>
      <c r="O8186" s="35"/>
    </row>
    <row r="8187" spans="9:15" x14ac:dyDescent="0.35">
      <c r="I8187" s="35"/>
      <c r="O8187" s="35"/>
    </row>
    <row r="8188" spans="9:15" x14ac:dyDescent="0.35">
      <c r="I8188" s="35"/>
      <c r="O8188" s="35"/>
    </row>
    <row r="8189" spans="9:15" x14ac:dyDescent="0.35">
      <c r="I8189" s="35"/>
      <c r="O8189" s="35"/>
    </row>
    <row r="8190" spans="9:15" x14ac:dyDescent="0.35">
      <c r="I8190" s="35"/>
      <c r="O8190" s="35"/>
    </row>
    <row r="8191" spans="9:15" x14ac:dyDescent="0.35">
      <c r="I8191" s="35"/>
      <c r="O8191" s="35"/>
    </row>
    <row r="8192" spans="9:15" x14ac:dyDescent="0.35">
      <c r="I8192" s="35"/>
      <c r="O8192" s="35"/>
    </row>
    <row r="8193" spans="9:15" x14ac:dyDescent="0.35">
      <c r="I8193" s="35"/>
      <c r="O8193" s="35"/>
    </row>
    <row r="8194" spans="9:15" x14ac:dyDescent="0.35">
      <c r="I8194" s="35"/>
      <c r="O8194" s="35"/>
    </row>
    <row r="8195" spans="9:15" x14ac:dyDescent="0.35">
      <c r="I8195" s="35"/>
      <c r="O8195" s="35"/>
    </row>
    <row r="8196" spans="9:15" x14ac:dyDescent="0.35">
      <c r="I8196" s="35"/>
      <c r="O8196" s="35"/>
    </row>
    <row r="8197" spans="9:15" x14ac:dyDescent="0.35">
      <c r="I8197" s="35"/>
      <c r="O8197" s="35"/>
    </row>
    <row r="8198" spans="9:15" x14ac:dyDescent="0.35">
      <c r="I8198" s="35"/>
      <c r="O8198" s="35"/>
    </row>
    <row r="8199" spans="9:15" x14ac:dyDescent="0.35">
      <c r="I8199" s="35"/>
      <c r="O8199" s="35"/>
    </row>
    <row r="8200" spans="9:15" x14ac:dyDescent="0.35">
      <c r="I8200" s="35"/>
      <c r="O8200" s="35"/>
    </row>
    <row r="8201" spans="9:15" x14ac:dyDescent="0.35">
      <c r="I8201" s="35"/>
      <c r="O8201" s="35"/>
    </row>
    <row r="8202" spans="9:15" x14ac:dyDescent="0.35">
      <c r="I8202" s="35"/>
      <c r="O8202" s="35"/>
    </row>
    <row r="8203" spans="9:15" x14ac:dyDescent="0.35">
      <c r="I8203" s="35"/>
      <c r="O8203" s="35"/>
    </row>
    <row r="8204" spans="9:15" x14ac:dyDescent="0.35">
      <c r="I8204" s="35"/>
      <c r="O8204" s="35"/>
    </row>
    <row r="8205" spans="9:15" x14ac:dyDescent="0.35">
      <c r="I8205" s="35"/>
      <c r="O8205" s="35"/>
    </row>
    <row r="8206" spans="9:15" x14ac:dyDescent="0.35">
      <c r="I8206" s="35"/>
      <c r="O8206" s="35"/>
    </row>
    <row r="8207" spans="9:15" x14ac:dyDescent="0.35">
      <c r="I8207" s="35"/>
      <c r="O8207" s="35"/>
    </row>
    <row r="8208" spans="9:15" x14ac:dyDescent="0.35">
      <c r="I8208" s="35"/>
      <c r="O8208" s="35"/>
    </row>
    <row r="8209" spans="9:15" x14ac:dyDescent="0.35">
      <c r="I8209" s="35"/>
      <c r="O8209" s="35"/>
    </row>
    <row r="8210" spans="9:15" x14ac:dyDescent="0.35">
      <c r="I8210" s="35"/>
      <c r="O8210" s="35"/>
    </row>
    <row r="8211" spans="9:15" x14ac:dyDescent="0.35">
      <c r="I8211" s="35"/>
      <c r="O8211" s="35"/>
    </row>
    <row r="8212" spans="9:15" x14ac:dyDescent="0.35">
      <c r="I8212" s="35"/>
      <c r="O8212" s="35"/>
    </row>
    <row r="8213" spans="9:15" x14ac:dyDescent="0.35">
      <c r="I8213" s="35"/>
      <c r="O8213" s="35"/>
    </row>
    <row r="8214" spans="9:15" x14ac:dyDescent="0.35">
      <c r="I8214" s="35"/>
      <c r="O8214" s="35"/>
    </row>
    <row r="8215" spans="9:15" x14ac:dyDescent="0.35">
      <c r="I8215" s="35"/>
      <c r="O8215" s="35"/>
    </row>
    <row r="8216" spans="9:15" x14ac:dyDescent="0.35">
      <c r="I8216" s="35"/>
      <c r="O8216" s="35"/>
    </row>
    <row r="8217" spans="9:15" x14ac:dyDescent="0.35">
      <c r="I8217" s="35"/>
      <c r="O8217" s="35"/>
    </row>
    <row r="8218" spans="9:15" x14ac:dyDescent="0.35">
      <c r="I8218" s="35"/>
      <c r="O8218" s="35"/>
    </row>
    <row r="8219" spans="9:15" x14ac:dyDescent="0.35">
      <c r="I8219" s="35"/>
      <c r="O8219" s="35"/>
    </row>
    <row r="8220" spans="9:15" x14ac:dyDescent="0.35">
      <c r="I8220" s="35"/>
      <c r="O8220" s="35"/>
    </row>
    <row r="8221" spans="9:15" x14ac:dyDescent="0.35">
      <c r="I8221" s="35"/>
      <c r="O8221" s="35"/>
    </row>
    <row r="8222" spans="9:15" x14ac:dyDescent="0.35">
      <c r="I8222" s="35"/>
      <c r="O8222" s="35"/>
    </row>
    <row r="8223" spans="9:15" x14ac:dyDescent="0.35">
      <c r="I8223" s="35"/>
      <c r="O8223" s="35"/>
    </row>
    <row r="8224" spans="9:15" x14ac:dyDescent="0.35">
      <c r="I8224" s="35"/>
      <c r="O8224" s="35"/>
    </row>
    <row r="8225" spans="9:15" x14ac:dyDescent="0.35">
      <c r="I8225" s="35"/>
      <c r="O8225" s="35"/>
    </row>
    <row r="8226" spans="9:15" x14ac:dyDescent="0.35">
      <c r="I8226" s="35"/>
      <c r="O8226" s="35"/>
    </row>
    <row r="8227" spans="9:15" x14ac:dyDescent="0.35">
      <c r="I8227" s="35"/>
      <c r="O8227" s="35"/>
    </row>
    <row r="8228" spans="9:15" x14ac:dyDescent="0.35">
      <c r="I8228" s="35"/>
      <c r="O8228" s="35"/>
    </row>
    <row r="8229" spans="9:15" x14ac:dyDescent="0.35">
      <c r="I8229" s="35"/>
      <c r="O8229" s="35"/>
    </row>
    <row r="8230" spans="9:15" x14ac:dyDescent="0.35">
      <c r="I8230" s="35"/>
      <c r="O8230" s="35"/>
    </row>
    <row r="8231" spans="9:15" x14ac:dyDescent="0.35">
      <c r="I8231" s="35"/>
      <c r="O8231" s="35"/>
    </row>
    <row r="8232" spans="9:15" x14ac:dyDescent="0.35">
      <c r="I8232" s="35"/>
      <c r="O8232" s="35"/>
    </row>
    <row r="8233" spans="9:15" x14ac:dyDescent="0.35">
      <c r="I8233" s="35"/>
      <c r="O8233" s="35"/>
    </row>
    <row r="8234" spans="9:15" x14ac:dyDescent="0.35">
      <c r="I8234" s="35"/>
      <c r="O8234" s="35"/>
    </row>
    <row r="8235" spans="9:15" x14ac:dyDescent="0.35">
      <c r="I8235" s="35"/>
      <c r="O8235" s="35"/>
    </row>
    <row r="8236" spans="9:15" x14ac:dyDescent="0.35">
      <c r="I8236" s="35"/>
      <c r="O8236" s="35"/>
    </row>
    <row r="8237" spans="9:15" x14ac:dyDescent="0.35">
      <c r="I8237" s="35"/>
      <c r="O8237" s="35"/>
    </row>
    <row r="8238" spans="9:15" x14ac:dyDescent="0.35">
      <c r="I8238" s="35"/>
      <c r="O8238" s="35"/>
    </row>
    <row r="8239" spans="9:15" x14ac:dyDescent="0.35">
      <c r="I8239" s="35"/>
      <c r="O8239" s="35"/>
    </row>
    <row r="8240" spans="9:15" x14ac:dyDescent="0.35">
      <c r="I8240" s="35"/>
      <c r="O8240" s="35"/>
    </row>
    <row r="8241" spans="9:15" x14ac:dyDescent="0.35">
      <c r="I8241" s="35"/>
      <c r="O8241" s="35"/>
    </row>
    <row r="8242" spans="9:15" x14ac:dyDescent="0.35">
      <c r="I8242" s="35"/>
      <c r="O8242" s="35"/>
    </row>
    <row r="8243" spans="9:15" x14ac:dyDescent="0.35">
      <c r="I8243" s="35"/>
      <c r="O8243" s="35"/>
    </row>
    <row r="8244" spans="9:15" x14ac:dyDescent="0.35">
      <c r="I8244" s="35"/>
      <c r="O8244" s="35"/>
    </row>
    <row r="8245" spans="9:15" x14ac:dyDescent="0.35">
      <c r="I8245" s="35"/>
      <c r="O8245" s="35"/>
    </row>
    <row r="8246" spans="9:15" x14ac:dyDescent="0.35">
      <c r="I8246" s="35"/>
      <c r="O8246" s="35"/>
    </row>
    <row r="8247" spans="9:15" x14ac:dyDescent="0.35">
      <c r="I8247" s="35"/>
      <c r="O8247" s="35"/>
    </row>
    <row r="8248" spans="9:15" x14ac:dyDescent="0.35">
      <c r="I8248" s="35"/>
      <c r="O8248" s="35"/>
    </row>
    <row r="8249" spans="9:15" x14ac:dyDescent="0.35">
      <c r="I8249" s="35"/>
      <c r="O8249" s="35"/>
    </row>
    <row r="8250" spans="9:15" x14ac:dyDescent="0.35">
      <c r="I8250" s="35"/>
      <c r="O8250" s="35"/>
    </row>
    <row r="8251" spans="9:15" x14ac:dyDescent="0.35">
      <c r="I8251" s="35"/>
      <c r="O8251" s="35"/>
    </row>
    <row r="8252" spans="9:15" x14ac:dyDescent="0.35">
      <c r="I8252" s="35"/>
      <c r="O8252" s="35"/>
    </row>
    <row r="8253" spans="9:15" x14ac:dyDescent="0.35">
      <c r="I8253" s="35"/>
      <c r="O8253" s="35"/>
    </row>
    <row r="8254" spans="9:15" x14ac:dyDescent="0.35">
      <c r="I8254" s="35"/>
      <c r="O8254" s="35"/>
    </row>
    <row r="8255" spans="9:15" x14ac:dyDescent="0.35">
      <c r="I8255" s="35"/>
      <c r="O8255" s="35"/>
    </row>
    <row r="8256" spans="9:15" x14ac:dyDescent="0.35">
      <c r="I8256" s="35"/>
      <c r="O8256" s="35"/>
    </row>
    <row r="8257" spans="9:15" x14ac:dyDescent="0.35">
      <c r="I8257" s="35"/>
      <c r="O8257" s="35"/>
    </row>
    <row r="8258" spans="9:15" x14ac:dyDescent="0.35">
      <c r="I8258" s="35"/>
      <c r="O8258" s="35"/>
    </row>
    <row r="8259" spans="9:15" x14ac:dyDescent="0.35">
      <c r="I8259" s="35"/>
      <c r="O8259" s="35"/>
    </row>
    <row r="8260" spans="9:15" x14ac:dyDescent="0.35">
      <c r="I8260" s="35"/>
      <c r="O8260" s="35"/>
    </row>
    <row r="8261" spans="9:15" x14ac:dyDescent="0.35">
      <c r="I8261" s="35"/>
      <c r="O8261" s="35"/>
    </row>
    <row r="8262" spans="9:15" x14ac:dyDescent="0.35">
      <c r="I8262" s="35"/>
      <c r="O8262" s="35"/>
    </row>
    <row r="8263" spans="9:15" x14ac:dyDescent="0.35">
      <c r="I8263" s="35"/>
      <c r="O8263" s="35"/>
    </row>
    <row r="8264" spans="9:15" x14ac:dyDescent="0.35">
      <c r="I8264" s="35"/>
      <c r="O8264" s="35"/>
    </row>
    <row r="8265" spans="9:15" x14ac:dyDescent="0.35">
      <c r="I8265" s="35"/>
      <c r="O8265" s="35"/>
    </row>
    <row r="8266" spans="9:15" x14ac:dyDescent="0.35">
      <c r="I8266" s="35"/>
      <c r="O8266" s="35"/>
    </row>
    <row r="8267" spans="9:15" x14ac:dyDescent="0.35">
      <c r="I8267" s="35"/>
      <c r="O8267" s="35"/>
    </row>
    <row r="8268" spans="9:15" x14ac:dyDescent="0.35">
      <c r="I8268" s="35"/>
      <c r="O8268" s="35"/>
    </row>
    <row r="8269" spans="9:15" x14ac:dyDescent="0.35">
      <c r="I8269" s="35"/>
      <c r="O8269" s="35"/>
    </row>
    <row r="8270" spans="9:15" x14ac:dyDescent="0.35">
      <c r="I8270" s="35"/>
      <c r="O8270" s="35"/>
    </row>
    <row r="8271" spans="9:15" x14ac:dyDescent="0.35">
      <c r="I8271" s="35"/>
      <c r="O8271" s="35"/>
    </row>
    <row r="8272" spans="9:15" x14ac:dyDescent="0.35">
      <c r="I8272" s="35"/>
      <c r="O8272" s="35"/>
    </row>
    <row r="8273" spans="9:15" x14ac:dyDescent="0.35">
      <c r="I8273" s="35"/>
      <c r="O8273" s="35"/>
    </row>
    <row r="8274" spans="9:15" x14ac:dyDescent="0.35">
      <c r="I8274" s="35"/>
      <c r="O8274" s="35"/>
    </row>
    <row r="8275" spans="9:15" x14ac:dyDescent="0.35">
      <c r="I8275" s="35"/>
      <c r="O8275" s="35"/>
    </row>
    <row r="8276" spans="9:15" x14ac:dyDescent="0.35">
      <c r="I8276" s="35"/>
      <c r="O8276" s="35"/>
    </row>
    <row r="8277" spans="9:15" x14ac:dyDescent="0.35">
      <c r="I8277" s="35"/>
      <c r="O8277" s="35"/>
    </row>
    <row r="8278" spans="9:15" x14ac:dyDescent="0.35">
      <c r="I8278" s="35"/>
      <c r="O8278" s="35"/>
    </row>
    <row r="8279" spans="9:15" x14ac:dyDescent="0.35">
      <c r="I8279" s="35"/>
      <c r="O8279" s="35"/>
    </row>
    <row r="8280" spans="9:15" x14ac:dyDescent="0.35">
      <c r="I8280" s="35"/>
      <c r="O8280" s="35"/>
    </row>
    <row r="8281" spans="9:15" x14ac:dyDescent="0.35">
      <c r="I8281" s="35"/>
      <c r="O8281" s="35"/>
    </row>
    <row r="8282" spans="9:15" x14ac:dyDescent="0.35">
      <c r="I8282" s="35"/>
      <c r="O8282" s="35"/>
    </row>
    <row r="8283" spans="9:15" x14ac:dyDescent="0.35">
      <c r="I8283" s="35"/>
      <c r="O8283" s="35"/>
    </row>
    <row r="8284" spans="9:15" x14ac:dyDescent="0.35">
      <c r="I8284" s="35"/>
      <c r="O8284" s="35"/>
    </row>
    <row r="8285" spans="9:15" x14ac:dyDescent="0.35">
      <c r="I8285" s="35"/>
      <c r="O8285" s="35"/>
    </row>
    <row r="8286" spans="9:15" x14ac:dyDescent="0.35">
      <c r="I8286" s="35"/>
      <c r="O8286" s="35"/>
    </row>
    <row r="8287" spans="9:15" x14ac:dyDescent="0.35">
      <c r="I8287" s="35"/>
      <c r="O8287" s="35"/>
    </row>
    <row r="8288" spans="9:15" x14ac:dyDescent="0.35">
      <c r="I8288" s="35"/>
      <c r="O8288" s="35"/>
    </row>
    <row r="8289" spans="9:15" x14ac:dyDescent="0.35">
      <c r="I8289" s="35"/>
      <c r="O8289" s="35"/>
    </row>
    <row r="8290" spans="9:15" x14ac:dyDescent="0.35">
      <c r="I8290" s="35"/>
      <c r="O8290" s="35"/>
    </row>
    <row r="8291" spans="9:15" x14ac:dyDescent="0.35">
      <c r="I8291" s="35"/>
      <c r="O8291" s="35"/>
    </row>
    <row r="8292" spans="9:15" x14ac:dyDescent="0.35">
      <c r="I8292" s="35"/>
      <c r="O8292" s="35"/>
    </row>
    <row r="8293" spans="9:15" x14ac:dyDescent="0.35">
      <c r="I8293" s="35"/>
      <c r="O8293" s="35"/>
    </row>
    <row r="8294" spans="9:15" x14ac:dyDescent="0.35">
      <c r="I8294" s="35"/>
      <c r="O8294" s="35"/>
    </row>
    <row r="8295" spans="9:15" x14ac:dyDescent="0.35">
      <c r="I8295" s="35"/>
      <c r="O8295" s="35"/>
    </row>
    <row r="8296" spans="9:15" x14ac:dyDescent="0.35">
      <c r="I8296" s="35"/>
      <c r="O8296" s="35"/>
    </row>
    <row r="8297" spans="9:15" x14ac:dyDescent="0.35">
      <c r="I8297" s="35"/>
      <c r="O8297" s="35"/>
    </row>
    <row r="8298" spans="9:15" x14ac:dyDescent="0.35">
      <c r="I8298" s="35"/>
      <c r="O8298" s="35"/>
    </row>
    <row r="8299" spans="9:15" x14ac:dyDescent="0.35">
      <c r="I8299" s="35"/>
      <c r="O8299" s="35"/>
    </row>
    <row r="8300" spans="9:15" x14ac:dyDescent="0.35">
      <c r="I8300" s="35"/>
      <c r="O8300" s="35"/>
    </row>
    <row r="8301" spans="9:15" x14ac:dyDescent="0.35">
      <c r="I8301" s="35"/>
      <c r="O8301" s="35"/>
    </row>
    <row r="8302" spans="9:15" x14ac:dyDescent="0.35">
      <c r="I8302" s="35"/>
      <c r="O8302" s="35"/>
    </row>
    <row r="8303" spans="9:15" x14ac:dyDescent="0.35">
      <c r="I8303" s="35"/>
      <c r="O8303" s="35"/>
    </row>
    <row r="8304" spans="9:15" x14ac:dyDescent="0.35">
      <c r="I8304" s="35"/>
      <c r="O8304" s="35"/>
    </row>
    <row r="8305" spans="9:15" x14ac:dyDescent="0.35">
      <c r="I8305" s="35"/>
      <c r="O8305" s="35"/>
    </row>
    <row r="8306" spans="9:15" x14ac:dyDescent="0.35">
      <c r="I8306" s="35"/>
      <c r="O8306" s="35"/>
    </row>
    <row r="8307" spans="9:15" x14ac:dyDescent="0.35">
      <c r="I8307" s="35"/>
      <c r="O8307" s="35"/>
    </row>
    <row r="8308" spans="9:15" x14ac:dyDescent="0.35">
      <c r="I8308" s="35"/>
      <c r="O8308" s="35"/>
    </row>
    <row r="8309" spans="9:15" x14ac:dyDescent="0.35">
      <c r="I8309" s="35"/>
      <c r="O8309" s="35"/>
    </row>
    <row r="8310" spans="9:15" x14ac:dyDescent="0.35">
      <c r="I8310" s="35"/>
      <c r="O8310" s="35"/>
    </row>
    <row r="8311" spans="9:15" x14ac:dyDescent="0.35">
      <c r="I8311" s="35"/>
      <c r="O8311" s="35"/>
    </row>
    <row r="8312" spans="9:15" x14ac:dyDescent="0.35">
      <c r="I8312" s="35"/>
      <c r="O8312" s="35"/>
    </row>
    <row r="8313" spans="9:15" x14ac:dyDescent="0.35">
      <c r="I8313" s="35"/>
      <c r="O8313" s="35"/>
    </row>
    <row r="8314" spans="9:15" x14ac:dyDescent="0.35">
      <c r="I8314" s="35"/>
      <c r="O8314" s="35"/>
    </row>
    <row r="8315" spans="9:15" x14ac:dyDescent="0.35">
      <c r="I8315" s="35"/>
      <c r="O8315" s="35"/>
    </row>
    <row r="8316" spans="9:15" x14ac:dyDescent="0.35">
      <c r="I8316" s="35"/>
      <c r="O8316" s="35"/>
    </row>
    <row r="8317" spans="9:15" x14ac:dyDescent="0.35">
      <c r="I8317" s="35"/>
      <c r="O8317" s="35"/>
    </row>
    <row r="8318" spans="9:15" x14ac:dyDescent="0.35">
      <c r="I8318" s="35"/>
      <c r="O8318" s="35"/>
    </row>
    <row r="8319" spans="9:15" x14ac:dyDescent="0.35">
      <c r="I8319" s="35"/>
      <c r="O8319" s="35"/>
    </row>
    <row r="8320" spans="9:15" x14ac:dyDescent="0.35">
      <c r="I8320" s="35"/>
      <c r="O8320" s="35"/>
    </row>
    <row r="8321" spans="9:15" x14ac:dyDescent="0.35">
      <c r="I8321" s="35"/>
      <c r="O8321" s="35"/>
    </row>
    <row r="8322" spans="9:15" x14ac:dyDescent="0.35">
      <c r="I8322" s="35"/>
      <c r="O8322" s="35"/>
    </row>
    <row r="8323" spans="9:15" x14ac:dyDescent="0.35">
      <c r="I8323" s="35"/>
      <c r="O8323" s="35"/>
    </row>
    <row r="8324" spans="9:15" x14ac:dyDescent="0.35">
      <c r="I8324" s="35"/>
      <c r="O8324" s="35"/>
    </row>
    <row r="8325" spans="9:15" x14ac:dyDescent="0.35">
      <c r="I8325" s="35"/>
      <c r="O8325" s="35"/>
    </row>
    <row r="8326" spans="9:15" x14ac:dyDescent="0.35">
      <c r="I8326" s="35"/>
      <c r="O8326" s="35"/>
    </row>
    <row r="8327" spans="9:15" x14ac:dyDescent="0.35">
      <c r="I8327" s="35"/>
      <c r="O8327" s="35"/>
    </row>
    <row r="8328" spans="9:15" x14ac:dyDescent="0.35">
      <c r="I8328" s="35"/>
      <c r="O8328" s="35"/>
    </row>
    <row r="8329" spans="9:15" x14ac:dyDescent="0.35">
      <c r="I8329" s="35"/>
      <c r="O8329" s="35"/>
    </row>
    <row r="8330" spans="9:15" x14ac:dyDescent="0.35">
      <c r="I8330" s="35"/>
      <c r="O8330" s="35"/>
    </row>
    <row r="8331" spans="9:15" x14ac:dyDescent="0.35">
      <c r="I8331" s="35"/>
      <c r="O8331" s="35"/>
    </row>
    <row r="8332" spans="9:15" x14ac:dyDescent="0.35">
      <c r="I8332" s="35"/>
      <c r="O8332" s="35"/>
    </row>
    <row r="8333" spans="9:15" x14ac:dyDescent="0.35">
      <c r="I8333" s="35"/>
      <c r="O8333" s="35"/>
    </row>
    <row r="8334" spans="9:15" x14ac:dyDescent="0.35">
      <c r="I8334" s="35"/>
      <c r="O8334" s="35"/>
    </row>
    <row r="8335" spans="9:15" x14ac:dyDescent="0.35">
      <c r="I8335" s="35"/>
      <c r="O8335" s="35"/>
    </row>
    <row r="8336" spans="9:15" x14ac:dyDescent="0.35">
      <c r="I8336" s="35"/>
      <c r="O8336" s="35"/>
    </row>
    <row r="8337" spans="9:15" x14ac:dyDescent="0.35">
      <c r="I8337" s="35"/>
      <c r="O8337" s="35"/>
    </row>
    <row r="8338" spans="9:15" x14ac:dyDescent="0.35">
      <c r="I8338" s="35"/>
      <c r="O8338" s="35"/>
    </row>
    <row r="8339" spans="9:15" x14ac:dyDescent="0.35">
      <c r="I8339" s="35"/>
      <c r="O8339" s="35"/>
    </row>
    <row r="8340" spans="9:15" x14ac:dyDescent="0.35">
      <c r="I8340" s="35"/>
      <c r="O8340" s="35"/>
    </row>
    <row r="8341" spans="9:15" x14ac:dyDescent="0.35">
      <c r="I8341" s="35"/>
      <c r="O8341" s="35"/>
    </row>
    <row r="8342" spans="9:15" x14ac:dyDescent="0.35">
      <c r="I8342" s="35"/>
      <c r="O8342" s="35"/>
    </row>
    <row r="8343" spans="9:15" x14ac:dyDescent="0.35">
      <c r="I8343" s="35"/>
      <c r="O8343" s="35"/>
    </row>
    <row r="8344" spans="9:15" x14ac:dyDescent="0.35">
      <c r="I8344" s="35"/>
      <c r="O8344" s="35"/>
    </row>
    <row r="8345" spans="9:15" x14ac:dyDescent="0.35">
      <c r="I8345" s="35"/>
      <c r="O8345" s="35"/>
    </row>
    <row r="8346" spans="9:15" x14ac:dyDescent="0.35">
      <c r="I8346" s="35"/>
      <c r="O8346" s="35"/>
    </row>
    <row r="8347" spans="9:15" x14ac:dyDescent="0.35">
      <c r="I8347" s="35"/>
      <c r="O8347" s="35"/>
    </row>
    <row r="8348" spans="9:15" x14ac:dyDescent="0.35">
      <c r="I8348" s="35"/>
      <c r="O8348" s="35"/>
    </row>
    <row r="8349" spans="9:15" x14ac:dyDescent="0.35">
      <c r="I8349" s="35"/>
      <c r="O8349" s="35"/>
    </row>
    <row r="8350" spans="9:15" x14ac:dyDescent="0.35">
      <c r="I8350" s="35"/>
      <c r="O8350" s="35"/>
    </row>
    <row r="8351" spans="9:15" x14ac:dyDescent="0.35">
      <c r="I8351" s="35"/>
      <c r="O8351" s="35"/>
    </row>
    <row r="8352" spans="9:15" x14ac:dyDescent="0.35">
      <c r="I8352" s="35"/>
      <c r="O8352" s="35"/>
    </row>
    <row r="8353" spans="9:15" x14ac:dyDescent="0.35">
      <c r="I8353" s="35"/>
      <c r="O8353" s="35"/>
    </row>
    <row r="8354" spans="9:15" x14ac:dyDescent="0.35">
      <c r="I8354" s="35"/>
      <c r="O8354" s="35"/>
    </row>
    <row r="8355" spans="9:15" x14ac:dyDescent="0.35">
      <c r="I8355" s="35"/>
      <c r="O8355" s="35"/>
    </row>
    <row r="8356" spans="9:15" x14ac:dyDescent="0.35">
      <c r="I8356" s="35"/>
      <c r="O8356" s="35"/>
    </row>
    <row r="8357" spans="9:15" x14ac:dyDescent="0.35">
      <c r="I8357" s="35"/>
      <c r="O8357" s="35"/>
    </row>
    <row r="8358" spans="9:15" x14ac:dyDescent="0.35">
      <c r="I8358" s="35"/>
      <c r="O8358" s="35"/>
    </row>
    <row r="8359" spans="9:15" x14ac:dyDescent="0.35">
      <c r="I8359" s="35"/>
      <c r="O8359" s="35"/>
    </row>
    <row r="8360" spans="9:15" x14ac:dyDescent="0.35">
      <c r="I8360" s="35"/>
      <c r="O8360" s="35"/>
    </row>
    <row r="8361" spans="9:15" x14ac:dyDescent="0.35">
      <c r="I8361" s="35"/>
      <c r="O8361" s="35"/>
    </row>
    <row r="8362" spans="9:15" x14ac:dyDescent="0.35">
      <c r="I8362" s="35"/>
      <c r="O8362" s="35"/>
    </row>
    <row r="8363" spans="9:15" x14ac:dyDescent="0.35">
      <c r="I8363" s="35"/>
      <c r="O8363" s="35"/>
    </row>
    <row r="8364" spans="9:15" x14ac:dyDescent="0.35">
      <c r="I8364" s="35"/>
      <c r="O8364" s="35"/>
    </row>
    <row r="8365" spans="9:15" x14ac:dyDescent="0.35">
      <c r="I8365" s="35"/>
      <c r="O8365" s="35"/>
    </row>
    <row r="8366" spans="9:15" x14ac:dyDescent="0.35">
      <c r="I8366" s="35"/>
      <c r="O8366" s="35"/>
    </row>
    <row r="8367" spans="9:15" x14ac:dyDescent="0.35">
      <c r="I8367" s="35"/>
      <c r="O8367" s="35"/>
    </row>
    <row r="8368" spans="9:15" x14ac:dyDescent="0.35">
      <c r="I8368" s="35"/>
      <c r="O8368" s="35"/>
    </row>
    <row r="8369" spans="9:15" x14ac:dyDescent="0.35">
      <c r="I8369" s="35"/>
      <c r="O8369" s="35"/>
    </row>
    <row r="8370" spans="9:15" x14ac:dyDescent="0.35">
      <c r="I8370" s="35"/>
      <c r="O8370" s="35"/>
    </row>
    <row r="8371" spans="9:15" x14ac:dyDescent="0.35">
      <c r="I8371" s="35"/>
      <c r="O8371" s="35"/>
    </row>
    <row r="8372" spans="9:15" x14ac:dyDescent="0.35">
      <c r="I8372" s="35"/>
      <c r="O8372" s="35"/>
    </row>
    <row r="8373" spans="9:15" x14ac:dyDescent="0.35">
      <c r="I8373" s="35"/>
      <c r="O8373" s="35"/>
    </row>
    <row r="8374" spans="9:15" x14ac:dyDescent="0.35">
      <c r="I8374" s="35"/>
      <c r="O8374" s="35"/>
    </row>
    <row r="8375" spans="9:15" x14ac:dyDescent="0.35">
      <c r="I8375" s="35"/>
      <c r="O8375" s="35"/>
    </row>
    <row r="8376" spans="9:15" x14ac:dyDescent="0.35">
      <c r="I8376" s="35"/>
      <c r="O8376" s="35"/>
    </row>
    <row r="8377" spans="9:15" x14ac:dyDescent="0.35">
      <c r="I8377" s="35"/>
      <c r="O8377" s="35"/>
    </row>
    <row r="8378" spans="9:15" x14ac:dyDescent="0.35">
      <c r="I8378" s="35"/>
      <c r="O8378" s="35"/>
    </row>
    <row r="8379" spans="9:15" x14ac:dyDescent="0.35">
      <c r="I8379" s="35"/>
      <c r="O8379" s="35"/>
    </row>
    <row r="8380" spans="9:15" x14ac:dyDescent="0.35">
      <c r="I8380" s="35"/>
      <c r="O8380" s="35"/>
    </row>
    <row r="8381" spans="9:15" x14ac:dyDescent="0.35">
      <c r="I8381" s="35"/>
      <c r="O8381" s="35"/>
    </row>
    <row r="8382" spans="9:15" x14ac:dyDescent="0.35">
      <c r="I8382" s="35"/>
      <c r="O8382" s="35"/>
    </row>
    <row r="8383" spans="9:15" x14ac:dyDescent="0.35">
      <c r="I8383" s="35"/>
      <c r="O8383" s="35"/>
    </row>
    <row r="8384" spans="9:15" x14ac:dyDescent="0.35">
      <c r="I8384" s="35"/>
      <c r="O8384" s="35"/>
    </row>
    <row r="8385" spans="9:15" x14ac:dyDescent="0.35">
      <c r="I8385" s="35"/>
      <c r="O8385" s="35"/>
    </row>
    <row r="8386" spans="9:15" x14ac:dyDescent="0.35">
      <c r="I8386" s="35"/>
      <c r="O8386" s="35"/>
    </row>
    <row r="8387" spans="9:15" x14ac:dyDescent="0.35">
      <c r="I8387" s="35"/>
      <c r="O8387" s="35"/>
    </row>
    <row r="8388" spans="9:15" x14ac:dyDescent="0.35">
      <c r="I8388" s="35"/>
      <c r="O8388" s="35"/>
    </row>
    <row r="8389" spans="9:15" x14ac:dyDescent="0.35">
      <c r="I8389" s="35"/>
      <c r="O8389" s="35"/>
    </row>
    <row r="8390" spans="9:15" x14ac:dyDescent="0.35">
      <c r="I8390" s="35"/>
      <c r="O8390" s="35"/>
    </row>
    <row r="8391" spans="9:15" x14ac:dyDescent="0.35">
      <c r="I8391" s="35"/>
      <c r="O8391" s="35"/>
    </row>
    <row r="8392" spans="9:15" x14ac:dyDescent="0.35">
      <c r="I8392" s="35"/>
      <c r="O8392" s="35"/>
    </row>
    <row r="8393" spans="9:15" x14ac:dyDescent="0.35">
      <c r="I8393" s="35"/>
      <c r="O8393" s="35"/>
    </row>
    <row r="8394" spans="9:15" x14ac:dyDescent="0.35">
      <c r="I8394" s="35"/>
      <c r="O8394" s="35"/>
    </row>
    <row r="8395" spans="9:15" x14ac:dyDescent="0.35">
      <c r="I8395" s="35"/>
      <c r="O8395" s="35"/>
    </row>
    <row r="8396" spans="9:15" x14ac:dyDescent="0.35">
      <c r="I8396" s="35"/>
      <c r="O8396" s="35"/>
    </row>
    <row r="8397" spans="9:15" x14ac:dyDescent="0.35">
      <c r="I8397" s="35"/>
      <c r="O8397" s="35"/>
    </row>
    <row r="8398" spans="9:15" x14ac:dyDescent="0.35">
      <c r="I8398" s="35"/>
      <c r="O8398" s="35"/>
    </row>
    <row r="8399" spans="9:15" x14ac:dyDescent="0.35">
      <c r="I8399" s="35"/>
      <c r="O8399" s="35"/>
    </row>
    <row r="8400" spans="9:15" x14ac:dyDescent="0.35">
      <c r="I8400" s="35"/>
      <c r="O8400" s="35"/>
    </row>
    <row r="8401" spans="9:15" x14ac:dyDescent="0.35">
      <c r="I8401" s="35"/>
      <c r="O8401" s="35"/>
    </row>
    <row r="8402" spans="9:15" x14ac:dyDescent="0.35">
      <c r="I8402" s="35"/>
      <c r="O8402" s="35"/>
    </row>
    <row r="8403" spans="9:15" x14ac:dyDescent="0.35">
      <c r="I8403" s="35"/>
      <c r="O8403" s="35"/>
    </row>
    <row r="8404" spans="9:15" x14ac:dyDescent="0.35">
      <c r="I8404" s="35"/>
      <c r="O8404" s="35"/>
    </row>
    <row r="8405" spans="9:15" x14ac:dyDescent="0.35">
      <c r="I8405" s="35"/>
      <c r="O8405" s="35"/>
    </row>
    <row r="8406" spans="9:15" x14ac:dyDescent="0.35">
      <c r="I8406" s="35"/>
      <c r="O8406" s="35"/>
    </row>
    <row r="8407" spans="9:15" x14ac:dyDescent="0.35">
      <c r="I8407" s="35"/>
      <c r="O8407" s="35"/>
    </row>
    <row r="8408" spans="9:15" x14ac:dyDescent="0.35">
      <c r="I8408" s="35"/>
      <c r="O8408" s="35"/>
    </row>
    <row r="8409" spans="9:15" x14ac:dyDescent="0.35">
      <c r="I8409" s="35"/>
      <c r="O8409" s="35"/>
    </row>
    <row r="8410" spans="9:15" x14ac:dyDescent="0.35">
      <c r="I8410" s="35"/>
      <c r="O8410" s="35"/>
    </row>
    <row r="8411" spans="9:15" x14ac:dyDescent="0.35">
      <c r="I8411" s="35"/>
      <c r="O8411" s="35"/>
    </row>
    <row r="8412" spans="9:15" x14ac:dyDescent="0.35">
      <c r="I8412" s="35"/>
      <c r="O8412" s="35"/>
    </row>
    <row r="8413" spans="9:15" x14ac:dyDescent="0.35">
      <c r="I8413" s="35"/>
      <c r="O8413" s="35"/>
    </row>
    <row r="8414" spans="9:15" x14ac:dyDescent="0.35">
      <c r="I8414" s="35"/>
      <c r="O8414" s="35"/>
    </row>
    <row r="8415" spans="9:15" x14ac:dyDescent="0.35">
      <c r="I8415" s="35"/>
      <c r="O8415" s="35"/>
    </row>
    <row r="8416" spans="9:15" x14ac:dyDescent="0.35">
      <c r="I8416" s="35"/>
      <c r="O8416" s="35"/>
    </row>
    <row r="8417" spans="9:15" x14ac:dyDescent="0.35">
      <c r="I8417" s="35"/>
      <c r="O8417" s="35"/>
    </row>
    <row r="8418" spans="9:15" x14ac:dyDescent="0.35">
      <c r="I8418" s="35"/>
      <c r="O8418" s="35"/>
    </row>
    <row r="8419" spans="9:15" x14ac:dyDescent="0.35">
      <c r="I8419" s="35"/>
      <c r="O8419" s="35"/>
    </row>
    <row r="8420" spans="9:15" x14ac:dyDescent="0.35">
      <c r="I8420" s="35"/>
      <c r="O8420" s="35"/>
    </row>
    <row r="8421" spans="9:15" x14ac:dyDescent="0.35">
      <c r="I8421" s="35"/>
      <c r="O8421" s="35"/>
    </row>
    <row r="8422" spans="9:15" x14ac:dyDescent="0.35">
      <c r="I8422" s="35"/>
      <c r="O8422" s="35"/>
    </row>
    <row r="8423" spans="9:15" x14ac:dyDescent="0.35">
      <c r="I8423" s="35"/>
      <c r="O8423" s="35"/>
    </row>
    <row r="8424" spans="9:15" x14ac:dyDescent="0.35">
      <c r="I8424" s="35"/>
      <c r="O8424" s="35"/>
    </row>
    <row r="8425" spans="9:15" x14ac:dyDescent="0.35">
      <c r="I8425" s="35"/>
      <c r="O8425" s="35"/>
    </row>
    <row r="8426" spans="9:15" x14ac:dyDescent="0.35">
      <c r="I8426" s="35"/>
      <c r="O8426" s="35"/>
    </row>
    <row r="8427" spans="9:15" x14ac:dyDescent="0.35">
      <c r="I8427" s="35"/>
      <c r="O8427" s="35"/>
    </row>
    <row r="8428" spans="9:15" x14ac:dyDescent="0.35">
      <c r="I8428" s="35"/>
      <c r="O8428" s="35"/>
    </row>
    <row r="8429" spans="9:15" x14ac:dyDescent="0.35">
      <c r="I8429" s="35"/>
      <c r="O8429" s="35"/>
    </row>
    <row r="8430" spans="9:15" x14ac:dyDescent="0.35">
      <c r="I8430" s="35"/>
      <c r="O8430" s="35"/>
    </row>
    <row r="8431" spans="9:15" x14ac:dyDescent="0.35">
      <c r="I8431" s="35"/>
      <c r="O8431" s="35"/>
    </row>
    <row r="8432" spans="9:15" x14ac:dyDescent="0.35">
      <c r="I8432" s="35"/>
      <c r="O8432" s="35"/>
    </row>
    <row r="8433" spans="9:15" x14ac:dyDescent="0.35">
      <c r="I8433" s="35"/>
      <c r="O8433" s="35"/>
    </row>
    <row r="8434" spans="9:15" x14ac:dyDescent="0.35">
      <c r="I8434" s="35"/>
      <c r="O8434" s="35"/>
    </row>
    <row r="8435" spans="9:15" x14ac:dyDescent="0.35">
      <c r="I8435" s="35"/>
      <c r="O8435" s="35"/>
    </row>
    <row r="8436" spans="9:15" x14ac:dyDescent="0.35">
      <c r="I8436" s="35"/>
      <c r="O8436" s="35"/>
    </row>
    <row r="8437" spans="9:15" x14ac:dyDescent="0.35">
      <c r="I8437" s="35"/>
      <c r="O8437" s="35"/>
    </row>
    <row r="8438" spans="9:15" x14ac:dyDescent="0.35">
      <c r="I8438" s="35"/>
      <c r="O8438" s="35"/>
    </row>
    <row r="8439" spans="9:15" x14ac:dyDescent="0.35">
      <c r="I8439" s="35"/>
      <c r="O8439" s="35"/>
    </row>
    <row r="8440" spans="9:15" x14ac:dyDescent="0.35">
      <c r="I8440" s="35"/>
      <c r="O8440" s="35"/>
    </row>
    <row r="8441" spans="9:15" x14ac:dyDescent="0.35">
      <c r="I8441" s="35"/>
      <c r="O8441" s="35"/>
    </row>
    <row r="8442" spans="9:15" x14ac:dyDescent="0.35">
      <c r="I8442" s="35"/>
      <c r="O8442" s="35"/>
    </row>
    <row r="8443" spans="9:15" x14ac:dyDescent="0.35">
      <c r="I8443" s="35"/>
      <c r="O8443" s="35"/>
    </row>
    <row r="8444" spans="9:15" x14ac:dyDescent="0.35">
      <c r="I8444" s="35"/>
      <c r="O8444" s="35"/>
    </row>
    <row r="8445" spans="9:15" x14ac:dyDescent="0.35">
      <c r="I8445" s="35"/>
      <c r="O8445" s="35"/>
    </row>
    <row r="8446" spans="9:15" x14ac:dyDescent="0.35">
      <c r="I8446" s="35"/>
      <c r="O8446" s="35"/>
    </row>
    <row r="8447" spans="9:15" x14ac:dyDescent="0.35">
      <c r="I8447" s="35"/>
      <c r="O8447" s="35"/>
    </row>
    <row r="8448" spans="9:15" x14ac:dyDescent="0.35">
      <c r="I8448" s="35"/>
      <c r="O8448" s="35"/>
    </row>
    <row r="8449" spans="9:15" x14ac:dyDescent="0.35">
      <c r="I8449" s="35"/>
      <c r="O8449" s="35"/>
    </row>
    <row r="8450" spans="9:15" x14ac:dyDescent="0.35">
      <c r="I8450" s="35"/>
      <c r="O8450" s="35"/>
    </row>
    <row r="8451" spans="9:15" x14ac:dyDescent="0.35">
      <c r="I8451" s="35"/>
      <c r="O8451" s="35"/>
    </row>
    <row r="8452" spans="9:15" x14ac:dyDescent="0.35">
      <c r="I8452" s="35"/>
      <c r="O8452" s="35"/>
    </row>
    <row r="8453" spans="9:15" x14ac:dyDescent="0.35">
      <c r="I8453" s="35"/>
      <c r="O8453" s="35"/>
    </row>
    <row r="8454" spans="9:15" x14ac:dyDescent="0.35">
      <c r="I8454" s="35"/>
      <c r="O8454" s="35"/>
    </row>
    <row r="8455" spans="9:15" x14ac:dyDescent="0.35">
      <c r="I8455" s="35"/>
      <c r="O8455" s="35"/>
    </row>
    <row r="8456" spans="9:15" x14ac:dyDescent="0.35">
      <c r="I8456" s="35"/>
      <c r="O8456" s="35"/>
    </row>
    <row r="8457" spans="9:15" x14ac:dyDescent="0.35">
      <c r="I8457" s="35"/>
      <c r="O8457" s="35"/>
    </row>
    <row r="8458" spans="9:15" x14ac:dyDescent="0.35">
      <c r="I8458" s="35"/>
      <c r="O8458" s="35"/>
    </row>
    <row r="8459" spans="9:15" x14ac:dyDescent="0.35">
      <c r="I8459" s="35"/>
      <c r="O8459" s="35"/>
    </row>
    <row r="8460" spans="9:15" x14ac:dyDescent="0.35">
      <c r="I8460" s="35"/>
      <c r="O8460" s="35"/>
    </row>
    <row r="8461" spans="9:15" x14ac:dyDescent="0.35">
      <c r="I8461" s="35"/>
      <c r="O8461" s="35"/>
    </row>
    <row r="8462" spans="9:15" x14ac:dyDescent="0.35">
      <c r="I8462" s="35"/>
      <c r="O8462" s="35"/>
    </row>
    <row r="8463" spans="9:15" x14ac:dyDescent="0.35">
      <c r="I8463" s="35"/>
      <c r="O8463" s="35"/>
    </row>
    <row r="8464" spans="9:15" x14ac:dyDescent="0.35">
      <c r="I8464" s="35"/>
      <c r="O8464" s="35"/>
    </row>
    <row r="8465" spans="9:15" x14ac:dyDescent="0.35">
      <c r="I8465" s="35"/>
      <c r="O8465" s="35"/>
    </row>
    <row r="8466" spans="9:15" x14ac:dyDescent="0.35">
      <c r="I8466" s="35"/>
      <c r="O8466" s="35"/>
    </row>
    <row r="8467" spans="9:15" x14ac:dyDescent="0.35">
      <c r="I8467" s="35"/>
      <c r="O8467" s="35"/>
    </row>
    <row r="8468" spans="9:15" x14ac:dyDescent="0.35">
      <c r="I8468" s="35"/>
      <c r="O8468" s="35"/>
    </row>
    <row r="8469" spans="9:15" x14ac:dyDescent="0.35">
      <c r="I8469" s="35"/>
      <c r="O8469" s="35"/>
    </row>
    <row r="8470" spans="9:15" x14ac:dyDescent="0.35">
      <c r="I8470" s="35"/>
      <c r="O8470" s="35"/>
    </row>
    <row r="8471" spans="9:15" x14ac:dyDescent="0.35">
      <c r="I8471" s="35"/>
      <c r="O8471" s="35"/>
    </row>
    <row r="8472" spans="9:15" x14ac:dyDescent="0.35">
      <c r="I8472" s="35"/>
      <c r="O8472" s="35"/>
    </row>
    <row r="8473" spans="9:15" x14ac:dyDescent="0.35">
      <c r="I8473" s="35"/>
      <c r="O8473" s="35"/>
    </row>
    <row r="8474" spans="9:15" x14ac:dyDescent="0.35">
      <c r="I8474" s="35"/>
      <c r="O8474" s="35"/>
    </row>
    <row r="8475" spans="9:15" x14ac:dyDescent="0.35">
      <c r="I8475" s="35"/>
      <c r="O8475" s="35"/>
    </row>
    <row r="8476" spans="9:15" x14ac:dyDescent="0.35">
      <c r="I8476" s="35"/>
      <c r="O8476" s="35"/>
    </row>
    <row r="8477" spans="9:15" x14ac:dyDescent="0.35">
      <c r="I8477" s="35"/>
      <c r="O8477" s="35"/>
    </row>
    <row r="8478" spans="9:15" x14ac:dyDescent="0.35">
      <c r="I8478" s="35"/>
      <c r="O8478" s="35"/>
    </row>
    <row r="8479" spans="9:15" x14ac:dyDescent="0.35">
      <c r="I8479" s="35"/>
      <c r="O8479" s="35"/>
    </row>
    <row r="8480" spans="9:15" x14ac:dyDescent="0.35">
      <c r="I8480" s="35"/>
      <c r="O8480" s="35"/>
    </row>
    <row r="8481" spans="9:15" x14ac:dyDescent="0.35">
      <c r="I8481" s="35"/>
      <c r="O8481" s="35"/>
    </row>
    <row r="8482" spans="9:15" x14ac:dyDescent="0.35">
      <c r="I8482" s="35"/>
      <c r="O8482" s="35"/>
    </row>
    <row r="8483" spans="9:15" x14ac:dyDescent="0.35">
      <c r="I8483" s="35"/>
      <c r="O8483" s="35"/>
    </row>
    <row r="8484" spans="9:15" x14ac:dyDescent="0.35">
      <c r="I8484" s="35"/>
      <c r="O8484" s="35"/>
    </row>
    <row r="8485" spans="9:15" x14ac:dyDescent="0.35">
      <c r="I8485" s="35"/>
      <c r="O8485" s="35"/>
    </row>
    <row r="8486" spans="9:15" x14ac:dyDescent="0.35">
      <c r="I8486" s="35"/>
      <c r="O8486" s="35"/>
    </row>
    <row r="8487" spans="9:15" x14ac:dyDescent="0.35">
      <c r="I8487" s="35"/>
      <c r="O8487" s="35"/>
    </row>
    <row r="8488" spans="9:15" x14ac:dyDescent="0.35">
      <c r="I8488" s="35"/>
      <c r="O8488" s="35"/>
    </row>
    <row r="8489" spans="9:15" x14ac:dyDescent="0.35">
      <c r="I8489" s="35"/>
      <c r="O8489" s="35"/>
    </row>
    <row r="8490" spans="9:15" x14ac:dyDescent="0.35">
      <c r="I8490" s="35"/>
      <c r="O8490" s="35"/>
    </row>
    <row r="8491" spans="9:15" x14ac:dyDescent="0.35">
      <c r="I8491" s="35"/>
      <c r="O8491" s="35"/>
    </row>
    <row r="8492" spans="9:15" x14ac:dyDescent="0.35">
      <c r="I8492" s="35"/>
      <c r="O8492" s="35"/>
    </row>
    <row r="8493" spans="9:15" x14ac:dyDescent="0.35">
      <c r="I8493" s="35"/>
      <c r="O8493" s="35"/>
    </row>
    <row r="8494" spans="9:15" x14ac:dyDescent="0.35">
      <c r="I8494" s="35"/>
      <c r="O8494" s="35"/>
    </row>
    <row r="8495" spans="9:15" x14ac:dyDescent="0.35">
      <c r="I8495" s="35"/>
      <c r="O8495" s="35"/>
    </row>
    <row r="8496" spans="9:15" x14ac:dyDescent="0.35">
      <c r="I8496" s="35"/>
      <c r="O8496" s="35"/>
    </row>
    <row r="8497" spans="9:15" x14ac:dyDescent="0.35">
      <c r="I8497" s="35"/>
      <c r="O8497" s="35"/>
    </row>
    <row r="8498" spans="9:15" x14ac:dyDescent="0.35">
      <c r="I8498" s="35"/>
      <c r="O8498" s="35"/>
    </row>
    <row r="8499" spans="9:15" x14ac:dyDescent="0.35">
      <c r="I8499" s="35"/>
      <c r="O8499" s="35"/>
    </row>
    <row r="8500" spans="9:15" x14ac:dyDescent="0.35">
      <c r="I8500" s="35"/>
      <c r="O8500" s="35"/>
    </row>
    <row r="8501" spans="9:15" x14ac:dyDescent="0.35">
      <c r="I8501" s="35"/>
      <c r="O8501" s="35"/>
    </row>
    <row r="8502" spans="9:15" x14ac:dyDescent="0.35">
      <c r="I8502" s="35"/>
      <c r="O8502" s="35"/>
    </row>
    <row r="8503" spans="9:15" x14ac:dyDescent="0.35">
      <c r="I8503" s="35"/>
      <c r="O8503" s="35"/>
    </row>
    <row r="8504" spans="9:15" x14ac:dyDescent="0.35">
      <c r="I8504" s="35"/>
      <c r="O8504" s="35"/>
    </row>
    <row r="8505" spans="9:15" x14ac:dyDescent="0.35">
      <c r="I8505" s="35"/>
      <c r="O8505" s="35"/>
    </row>
    <row r="8506" spans="9:15" x14ac:dyDescent="0.35">
      <c r="I8506" s="35"/>
      <c r="O8506" s="35"/>
    </row>
    <row r="8507" spans="9:15" x14ac:dyDescent="0.35">
      <c r="I8507" s="35"/>
      <c r="O8507" s="35"/>
    </row>
    <row r="8508" spans="9:15" x14ac:dyDescent="0.35">
      <c r="I8508" s="35"/>
      <c r="O8508" s="35"/>
    </row>
    <row r="8509" spans="9:15" x14ac:dyDescent="0.35">
      <c r="I8509" s="35"/>
      <c r="O8509" s="35"/>
    </row>
    <row r="8510" spans="9:15" x14ac:dyDescent="0.35">
      <c r="I8510" s="35"/>
      <c r="O8510" s="35"/>
    </row>
    <row r="8511" spans="9:15" x14ac:dyDescent="0.35">
      <c r="I8511" s="35"/>
      <c r="O8511" s="35"/>
    </row>
    <row r="8512" spans="9:15" x14ac:dyDescent="0.35">
      <c r="I8512" s="35"/>
      <c r="O8512" s="35"/>
    </row>
    <row r="8513" spans="9:15" x14ac:dyDescent="0.35">
      <c r="I8513" s="35"/>
      <c r="O8513" s="35"/>
    </row>
    <row r="8514" spans="9:15" x14ac:dyDescent="0.35">
      <c r="I8514" s="35"/>
      <c r="O8514" s="35"/>
    </row>
    <row r="8515" spans="9:15" x14ac:dyDescent="0.35">
      <c r="I8515" s="35"/>
      <c r="O8515" s="35"/>
    </row>
    <row r="8516" spans="9:15" x14ac:dyDescent="0.35">
      <c r="I8516" s="35"/>
      <c r="O8516" s="35"/>
    </row>
    <row r="8517" spans="9:15" x14ac:dyDescent="0.35">
      <c r="I8517" s="35"/>
      <c r="O8517" s="35"/>
    </row>
    <row r="8518" spans="9:15" x14ac:dyDescent="0.35">
      <c r="I8518" s="35"/>
      <c r="O8518" s="35"/>
    </row>
    <row r="8519" spans="9:15" x14ac:dyDescent="0.35">
      <c r="I8519" s="35"/>
      <c r="O8519" s="35"/>
    </row>
    <row r="8520" spans="9:15" x14ac:dyDescent="0.35">
      <c r="I8520" s="35"/>
      <c r="O8520" s="35"/>
    </row>
    <row r="8521" spans="9:15" x14ac:dyDescent="0.35">
      <c r="I8521" s="35"/>
      <c r="O8521" s="35"/>
    </row>
    <row r="8522" spans="9:15" x14ac:dyDescent="0.35">
      <c r="I8522" s="35"/>
      <c r="O8522" s="35"/>
    </row>
    <row r="8523" spans="9:15" x14ac:dyDescent="0.35">
      <c r="I8523" s="35"/>
      <c r="O8523" s="35"/>
    </row>
    <row r="8524" spans="9:15" x14ac:dyDescent="0.35">
      <c r="I8524" s="35"/>
      <c r="O8524" s="35"/>
    </row>
    <row r="8525" spans="9:15" x14ac:dyDescent="0.35">
      <c r="I8525" s="35"/>
      <c r="O8525" s="35"/>
    </row>
    <row r="8526" spans="9:15" x14ac:dyDescent="0.35">
      <c r="I8526" s="35"/>
      <c r="O8526" s="35"/>
    </row>
    <row r="8527" spans="9:15" x14ac:dyDescent="0.35">
      <c r="I8527" s="35"/>
      <c r="O8527" s="35"/>
    </row>
    <row r="8528" spans="9:15" x14ac:dyDescent="0.35">
      <c r="I8528" s="35"/>
      <c r="O8528" s="35"/>
    </row>
    <row r="8529" spans="9:15" x14ac:dyDescent="0.35">
      <c r="I8529" s="35"/>
      <c r="O8529" s="35"/>
    </row>
    <row r="8530" spans="9:15" x14ac:dyDescent="0.35">
      <c r="I8530" s="35"/>
      <c r="O8530" s="35"/>
    </row>
    <row r="8531" spans="9:15" x14ac:dyDescent="0.35">
      <c r="I8531" s="35"/>
      <c r="O8531" s="35"/>
    </row>
    <row r="8532" spans="9:15" x14ac:dyDescent="0.35">
      <c r="I8532" s="35"/>
      <c r="O8532" s="35"/>
    </row>
    <row r="8533" spans="9:15" x14ac:dyDescent="0.35">
      <c r="I8533" s="35"/>
      <c r="O8533" s="35"/>
    </row>
    <row r="8534" spans="9:15" x14ac:dyDescent="0.35">
      <c r="I8534" s="35"/>
      <c r="O8534" s="35"/>
    </row>
    <row r="8535" spans="9:15" x14ac:dyDescent="0.35">
      <c r="I8535" s="35"/>
      <c r="O8535" s="35"/>
    </row>
    <row r="8536" spans="9:15" x14ac:dyDescent="0.35">
      <c r="I8536" s="35"/>
      <c r="O8536" s="35"/>
    </row>
    <row r="8537" spans="9:15" x14ac:dyDescent="0.35">
      <c r="I8537" s="35"/>
      <c r="O8537" s="35"/>
    </row>
    <row r="8538" spans="9:15" x14ac:dyDescent="0.35">
      <c r="I8538" s="35"/>
      <c r="O8538" s="35"/>
    </row>
    <row r="8539" spans="9:15" x14ac:dyDescent="0.35">
      <c r="I8539" s="35"/>
      <c r="O8539" s="35"/>
    </row>
    <row r="8540" spans="9:15" x14ac:dyDescent="0.35">
      <c r="I8540" s="35"/>
      <c r="O8540" s="35"/>
    </row>
    <row r="8541" spans="9:15" x14ac:dyDescent="0.35">
      <c r="I8541" s="35"/>
      <c r="O8541" s="35"/>
    </row>
    <row r="8542" spans="9:15" x14ac:dyDescent="0.35">
      <c r="I8542" s="35"/>
      <c r="O8542" s="35"/>
    </row>
    <row r="8543" spans="9:15" x14ac:dyDescent="0.35">
      <c r="I8543" s="35"/>
      <c r="O8543" s="35"/>
    </row>
    <row r="8544" spans="9:15" x14ac:dyDescent="0.35">
      <c r="I8544" s="35"/>
      <c r="O8544" s="35"/>
    </row>
    <row r="8545" spans="9:15" x14ac:dyDescent="0.35">
      <c r="I8545" s="35"/>
      <c r="O8545" s="35"/>
    </row>
    <row r="8546" spans="9:15" x14ac:dyDescent="0.35">
      <c r="I8546" s="35"/>
      <c r="O8546" s="35"/>
    </row>
    <row r="8547" spans="9:15" x14ac:dyDescent="0.35">
      <c r="I8547" s="35"/>
      <c r="O8547" s="35"/>
    </row>
    <row r="8548" spans="9:15" x14ac:dyDescent="0.35">
      <c r="I8548" s="35"/>
      <c r="O8548" s="35"/>
    </row>
    <row r="8549" spans="9:15" x14ac:dyDescent="0.35">
      <c r="I8549" s="35"/>
      <c r="O8549" s="35"/>
    </row>
    <row r="8550" spans="9:15" x14ac:dyDescent="0.35">
      <c r="I8550" s="35"/>
      <c r="O8550" s="35"/>
    </row>
    <row r="8551" spans="9:15" x14ac:dyDescent="0.35">
      <c r="I8551" s="35"/>
      <c r="O8551" s="35"/>
    </row>
    <row r="8552" spans="9:15" x14ac:dyDescent="0.35">
      <c r="I8552" s="35"/>
      <c r="O8552" s="35"/>
    </row>
    <row r="8553" spans="9:15" x14ac:dyDescent="0.35">
      <c r="I8553" s="35"/>
      <c r="O8553" s="35"/>
    </row>
    <row r="8554" spans="9:15" x14ac:dyDescent="0.35">
      <c r="I8554" s="35"/>
      <c r="O8554" s="35"/>
    </row>
    <row r="8555" spans="9:15" x14ac:dyDescent="0.35">
      <c r="I8555" s="35"/>
      <c r="O8555" s="35"/>
    </row>
    <row r="8556" spans="9:15" x14ac:dyDescent="0.35">
      <c r="I8556" s="35"/>
      <c r="O8556" s="35"/>
    </row>
    <row r="8557" spans="9:15" x14ac:dyDescent="0.35">
      <c r="I8557" s="35"/>
      <c r="O8557" s="35"/>
    </row>
    <row r="8558" spans="9:15" x14ac:dyDescent="0.35">
      <c r="I8558" s="35"/>
      <c r="O8558" s="35"/>
    </row>
    <row r="8559" spans="9:15" x14ac:dyDescent="0.35">
      <c r="I8559" s="35"/>
      <c r="O8559" s="35"/>
    </row>
    <row r="8560" spans="9:15" x14ac:dyDescent="0.35">
      <c r="I8560" s="35"/>
      <c r="O8560" s="35"/>
    </row>
    <row r="8561" spans="9:15" x14ac:dyDescent="0.35">
      <c r="I8561" s="35"/>
      <c r="O8561" s="35"/>
    </row>
    <row r="8562" spans="9:15" x14ac:dyDescent="0.35">
      <c r="I8562" s="35"/>
      <c r="O8562" s="35"/>
    </row>
    <row r="8563" spans="9:15" x14ac:dyDescent="0.35">
      <c r="I8563" s="35"/>
      <c r="O8563" s="35"/>
    </row>
    <row r="8564" spans="9:15" x14ac:dyDescent="0.35">
      <c r="I8564" s="35"/>
      <c r="O8564" s="35"/>
    </row>
    <row r="8565" spans="9:15" x14ac:dyDescent="0.35">
      <c r="I8565" s="35"/>
      <c r="O8565" s="35"/>
    </row>
    <row r="8566" spans="9:15" x14ac:dyDescent="0.35">
      <c r="I8566" s="35"/>
      <c r="O8566" s="35"/>
    </row>
    <row r="8567" spans="9:15" x14ac:dyDescent="0.35">
      <c r="I8567" s="35"/>
      <c r="O8567" s="35"/>
    </row>
    <row r="8568" spans="9:15" x14ac:dyDescent="0.35">
      <c r="I8568" s="35"/>
      <c r="O8568" s="35"/>
    </row>
    <row r="8569" spans="9:15" x14ac:dyDescent="0.35">
      <c r="I8569" s="35"/>
      <c r="O8569" s="35"/>
    </row>
    <row r="8570" spans="9:15" x14ac:dyDescent="0.35">
      <c r="I8570" s="35"/>
      <c r="O8570" s="35"/>
    </row>
    <row r="8571" spans="9:15" x14ac:dyDescent="0.35">
      <c r="I8571" s="35"/>
      <c r="O8571" s="35"/>
    </row>
    <row r="8572" spans="9:15" x14ac:dyDescent="0.35">
      <c r="I8572" s="35"/>
      <c r="O8572" s="35"/>
    </row>
    <row r="8573" spans="9:15" x14ac:dyDescent="0.35">
      <c r="I8573" s="35"/>
      <c r="O8573" s="35"/>
    </row>
    <row r="8574" spans="9:15" x14ac:dyDescent="0.35">
      <c r="I8574" s="35"/>
      <c r="O8574" s="35"/>
    </row>
    <row r="8575" spans="9:15" x14ac:dyDescent="0.35">
      <c r="I8575" s="35"/>
      <c r="O8575" s="35"/>
    </row>
    <row r="8576" spans="9:15" x14ac:dyDescent="0.35">
      <c r="I8576" s="35"/>
      <c r="O8576" s="35"/>
    </row>
    <row r="8577" spans="9:15" x14ac:dyDescent="0.35">
      <c r="I8577" s="35"/>
      <c r="O8577" s="35"/>
    </row>
    <row r="8578" spans="9:15" x14ac:dyDescent="0.35">
      <c r="I8578" s="35"/>
      <c r="O8578" s="35"/>
    </row>
    <row r="8579" spans="9:15" x14ac:dyDescent="0.35">
      <c r="I8579" s="35"/>
      <c r="O8579" s="35"/>
    </row>
    <row r="8580" spans="9:15" x14ac:dyDescent="0.35">
      <c r="I8580" s="35"/>
      <c r="O8580" s="35"/>
    </row>
    <row r="8581" spans="9:15" x14ac:dyDescent="0.35">
      <c r="I8581" s="35"/>
      <c r="O8581" s="35"/>
    </row>
    <row r="8582" spans="9:15" x14ac:dyDescent="0.35">
      <c r="I8582" s="35"/>
      <c r="O8582" s="35"/>
    </row>
    <row r="8583" spans="9:15" x14ac:dyDescent="0.35">
      <c r="I8583" s="35"/>
      <c r="O8583" s="35"/>
    </row>
    <row r="8584" spans="9:15" x14ac:dyDescent="0.35">
      <c r="I8584" s="35"/>
      <c r="O8584" s="35"/>
    </row>
    <row r="8585" spans="9:15" x14ac:dyDescent="0.35">
      <c r="I8585" s="35"/>
      <c r="O8585" s="35"/>
    </row>
    <row r="8586" spans="9:15" x14ac:dyDescent="0.35">
      <c r="I8586" s="35"/>
      <c r="O8586" s="35"/>
    </row>
    <row r="8587" spans="9:15" x14ac:dyDescent="0.35">
      <c r="I8587" s="35"/>
      <c r="O8587" s="35"/>
    </row>
    <row r="8588" spans="9:15" x14ac:dyDescent="0.35">
      <c r="I8588" s="35"/>
      <c r="O8588" s="35"/>
    </row>
    <row r="8589" spans="9:15" x14ac:dyDescent="0.35">
      <c r="I8589" s="35"/>
      <c r="O8589" s="35"/>
    </row>
    <row r="8590" spans="9:15" x14ac:dyDescent="0.35">
      <c r="I8590" s="35"/>
      <c r="O8590" s="35"/>
    </row>
    <row r="8591" spans="9:15" x14ac:dyDescent="0.35">
      <c r="I8591" s="35"/>
      <c r="O8591" s="35"/>
    </row>
    <row r="8592" spans="9:15" x14ac:dyDescent="0.35">
      <c r="I8592" s="35"/>
      <c r="O8592" s="35"/>
    </row>
    <row r="8593" spans="9:15" x14ac:dyDescent="0.35">
      <c r="I8593" s="35"/>
      <c r="O8593" s="35"/>
    </row>
    <row r="8594" spans="9:15" x14ac:dyDescent="0.35">
      <c r="I8594" s="35"/>
      <c r="O8594" s="35"/>
    </row>
    <row r="8595" spans="9:15" x14ac:dyDescent="0.35">
      <c r="I8595" s="35"/>
      <c r="O8595" s="35"/>
    </row>
    <row r="8596" spans="9:15" x14ac:dyDescent="0.35">
      <c r="I8596" s="35"/>
      <c r="O8596" s="35"/>
    </row>
    <row r="8597" spans="9:15" x14ac:dyDescent="0.35">
      <c r="I8597" s="35"/>
      <c r="O8597" s="35"/>
    </row>
    <row r="8598" spans="9:15" x14ac:dyDescent="0.35">
      <c r="I8598" s="35"/>
      <c r="O8598" s="35"/>
    </row>
    <row r="8599" spans="9:15" x14ac:dyDescent="0.35">
      <c r="I8599" s="35"/>
      <c r="O8599" s="35"/>
    </row>
    <row r="8600" spans="9:15" x14ac:dyDescent="0.35">
      <c r="I8600" s="35"/>
      <c r="O8600" s="35"/>
    </row>
    <row r="8601" spans="9:15" x14ac:dyDescent="0.35">
      <c r="I8601" s="35"/>
      <c r="O8601" s="35"/>
    </row>
    <row r="8602" spans="9:15" x14ac:dyDescent="0.35">
      <c r="I8602" s="35"/>
      <c r="O8602" s="35"/>
    </row>
    <row r="8603" spans="9:15" x14ac:dyDescent="0.35">
      <c r="I8603" s="35"/>
      <c r="O8603" s="35"/>
    </row>
    <row r="8604" spans="9:15" x14ac:dyDescent="0.35">
      <c r="I8604" s="35"/>
      <c r="O8604" s="35"/>
    </row>
    <row r="8605" spans="9:15" x14ac:dyDescent="0.35">
      <c r="I8605" s="35"/>
      <c r="O8605" s="35"/>
    </row>
    <row r="8606" spans="9:15" x14ac:dyDescent="0.35">
      <c r="I8606" s="35"/>
      <c r="O8606" s="35"/>
    </row>
    <row r="8607" spans="9:15" x14ac:dyDescent="0.35">
      <c r="I8607" s="35"/>
      <c r="O8607" s="35"/>
    </row>
    <row r="8608" spans="9:15" x14ac:dyDescent="0.35">
      <c r="I8608" s="35"/>
      <c r="O8608" s="35"/>
    </row>
    <row r="8609" spans="9:15" x14ac:dyDescent="0.35">
      <c r="I8609" s="35"/>
      <c r="O8609" s="35"/>
    </row>
    <row r="8610" spans="9:15" x14ac:dyDescent="0.35">
      <c r="I8610" s="35"/>
      <c r="O8610" s="35"/>
    </row>
    <row r="8611" spans="9:15" x14ac:dyDescent="0.35">
      <c r="I8611" s="35"/>
      <c r="O8611" s="35"/>
    </row>
    <row r="8612" spans="9:15" x14ac:dyDescent="0.35">
      <c r="I8612" s="35"/>
      <c r="O8612" s="35"/>
    </row>
    <row r="8613" spans="9:15" x14ac:dyDescent="0.35">
      <c r="I8613" s="35"/>
      <c r="O8613" s="35"/>
    </row>
    <row r="8614" spans="9:15" x14ac:dyDescent="0.35">
      <c r="I8614" s="35"/>
      <c r="O8614" s="35"/>
    </row>
    <row r="8615" spans="9:15" x14ac:dyDescent="0.35">
      <c r="I8615" s="35"/>
      <c r="O8615" s="35"/>
    </row>
    <row r="8616" spans="9:15" x14ac:dyDescent="0.35">
      <c r="I8616" s="35"/>
      <c r="O8616" s="35"/>
    </row>
    <row r="8617" spans="9:15" x14ac:dyDescent="0.35">
      <c r="I8617" s="35"/>
      <c r="O8617" s="35"/>
    </row>
    <row r="8618" spans="9:15" x14ac:dyDescent="0.35">
      <c r="I8618" s="35"/>
      <c r="O8618" s="35"/>
    </row>
    <row r="8619" spans="9:15" x14ac:dyDescent="0.35">
      <c r="I8619" s="35"/>
      <c r="O8619" s="35"/>
    </row>
    <row r="8620" spans="9:15" x14ac:dyDescent="0.35">
      <c r="I8620" s="35"/>
      <c r="O8620" s="35"/>
    </row>
    <row r="8621" spans="9:15" x14ac:dyDescent="0.35">
      <c r="I8621" s="35"/>
      <c r="O8621" s="35"/>
    </row>
    <row r="8622" spans="9:15" x14ac:dyDescent="0.35">
      <c r="I8622" s="35"/>
      <c r="O8622" s="35"/>
    </row>
    <row r="8623" spans="9:15" x14ac:dyDescent="0.35">
      <c r="I8623" s="35"/>
      <c r="O8623" s="35"/>
    </row>
    <row r="8624" spans="9:15" x14ac:dyDescent="0.35">
      <c r="I8624" s="35"/>
      <c r="O8624" s="35"/>
    </row>
    <row r="8625" spans="9:15" x14ac:dyDescent="0.35">
      <c r="I8625" s="35"/>
      <c r="O8625" s="35"/>
    </row>
    <row r="8626" spans="9:15" x14ac:dyDescent="0.35">
      <c r="I8626" s="35"/>
      <c r="O8626" s="35"/>
    </row>
    <row r="8627" spans="9:15" x14ac:dyDescent="0.35">
      <c r="I8627" s="35"/>
      <c r="O8627" s="35"/>
    </row>
    <row r="8628" spans="9:15" x14ac:dyDescent="0.35">
      <c r="I8628" s="35"/>
      <c r="O8628" s="35"/>
    </row>
    <row r="8629" spans="9:15" x14ac:dyDescent="0.35">
      <c r="I8629" s="35"/>
      <c r="O8629" s="35"/>
    </row>
    <row r="8630" spans="9:15" x14ac:dyDescent="0.35">
      <c r="I8630" s="35"/>
      <c r="O8630" s="35"/>
    </row>
    <row r="8631" spans="9:15" x14ac:dyDescent="0.35">
      <c r="I8631" s="35"/>
      <c r="O8631" s="35"/>
    </row>
    <row r="8632" spans="9:15" x14ac:dyDescent="0.35">
      <c r="I8632" s="35"/>
      <c r="O8632" s="35"/>
    </row>
    <row r="8633" spans="9:15" x14ac:dyDescent="0.35">
      <c r="I8633" s="35"/>
      <c r="O8633" s="35"/>
    </row>
    <row r="8634" spans="9:15" x14ac:dyDescent="0.35">
      <c r="I8634" s="35"/>
      <c r="O8634" s="35"/>
    </row>
    <row r="8635" spans="9:15" x14ac:dyDescent="0.35">
      <c r="I8635" s="35"/>
      <c r="O8635" s="35"/>
    </row>
    <row r="8636" spans="9:15" x14ac:dyDescent="0.35">
      <c r="I8636" s="35"/>
      <c r="O8636" s="35"/>
    </row>
    <row r="8637" spans="9:15" x14ac:dyDescent="0.35">
      <c r="I8637" s="35"/>
      <c r="O8637" s="35"/>
    </row>
    <row r="8638" spans="9:15" x14ac:dyDescent="0.35">
      <c r="I8638" s="35"/>
      <c r="O8638" s="35"/>
    </row>
    <row r="8639" spans="9:15" x14ac:dyDescent="0.35">
      <c r="I8639" s="35"/>
      <c r="O8639" s="35"/>
    </row>
    <row r="8640" spans="9:15" x14ac:dyDescent="0.35">
      <c r="I8640" s="35"/>
      <c r="O8640" s="35"/>
    </row>
    <row r="8641" spans="9:15" x14ac:dyDescent="0.35">
      <c r="I8641" s="35"/>
      <c r="O8641" s="35"/>
    </row>
    <row r="8642" spans="9:15" x14ac:dyDescent="0.35">
      <c r="I8642" s="35"/>
      <c r="O8642" s="35"/>
    </row>
    <row r="8643" spans="9:15" x14ac:dyDescent="0.35">
      <c r="I8643" s="35"/>
      <c r="O8643" s="35"/>
    </row>
    <row r="8644" spans="9:15" x14ac:dyDescent="0.35">
      <c r="I8644" s="35"/>
      <c r="O8644" s="35"/>
    </row>
    <row r="8645" spans="9:15" x14ac:dyDescent="0.35">
      <c r="I8645" s="35"/>
      <c r="O8645" s="35"/>
    </row>
    <row r="8646" spans="9:15" x14ac:dyDescent="0.35">
      <c r="I8646" s="35"/>
      <c r="O8646" s="35"/>
    </row>
    <row r="8647" spans="9:15" x14ac:dyDescent="0.35">
      <c r="I8647" s="35"/>
      <c r="O8647" s="35"/>
    </row>
    <row r="8648" spans="9:15" x14ac:dyDescent="0.35">
      <c r="I8648" s="35"/>
      <c r="O8648" s="35"/>
    </row>
    <row r="8649" spans="9:15" x14ac:dyDescent="0.35">
      <c r="I8649" s="35"/>
      <c r="O8649" s="35"/>
    </row>
    <row r="8650" spans="9:15" x14ac:dyDescent="0.35">
      <c r="I8650" s="35"/>
      <c r="O8650" s="35"/>
    </row>
    <row r="8651" spans="9:15" x14ac:dyDescent="0.35">
      <c r="I8651" s="35"/>
      <c r="O8651" s="35"/>
    </row>
    <row r="8652" spans="9:15" x14ac:dyDescent="0.35">
      <c r="I8652" s="35"/>
      <c r="O8652" s="35"/>
    </row>
    <row r="8653" spans="9:15" x14ac:dyDescent="0.35">
      <c r="I8653" s="35"/>
      <c r="O8653" s="35"/>
    </row>
    <row r="8654" spans="9:15" x14ac:dyDescent="0.35">
      <c r="I8654" s="35"/>
      <c r="O8654" s="35"/>
    </row>
    <row r="8655" spans="9:15" x14ac:dyDescent="0.35">
      <c r="I8655" s="35"/>
      <c r="O8655" s="35"/>
    </row>
    <row r="8656" spans="9:15" x14ac:dyDescent="0.35">
      <c r="I8656" s="35"/>
      <c r="O8656" s="35"/>
    </row>
    <row r="8657" spans="9:15" x14ac:dyDescent="0.35">
      <c r="I8657" s="35"/>
      <c r="O8657" s="35"/>
    </row>
    <row r="8658" spans="9:15" x14ac:dyDescent="0.35">
      <c r="I8658" s="35"/>
      <c r="O8658" s="35"/>
    </row>
    <row r="8659" spans="9:15" x14ac:dyDescent="0.35">
      <c r="I8659" s="35"/>
      <c r="O8659" s="35"/>
    </row>
    <row r="8660" spans="9:15" x14ac:dyDescent="0.35">
      <c r="I8660" s="35"/>
      <c r="O8660" s="35"/>
    </row>
    <row r="8661" spans="9:15" x14ac:dyDescent="0.35">
      <c r="I8661" s="35"/>
      <c r="O8661" s="35"/>
    </row>
    <row r="8662" spans="9:15" x14ac:dyDescent="0.35">
      <c r="I8662" s="35"/>
      <c r="O8662" s="35"/>
    </row>
    <row r="8663" spans="9:15" x14ac:dyDescent="0.35">
      <c r="I8663" s="35"/>
      <c r="O8663" s="35"/>
    </row>
    <row r="8664" spans="9:15" x14ac:dyDescent="0.35">
      <c r="I8664" s="35"/>
      <c r="O8664" s="35"/>
    </row>
    <row r="8665" spans="9:15" x14ac:dyDescent="0.35">
      <c r="I8665" s="35"/>
      <c r="O8665" s="35"/>
    </row>
    <row r="8666" spans="9:15" x14ac:dyDescent="0.35">
      <c r="I8666" s="35"/>
      <c r="O8666" s="35"/>
    </row>
    <row r="8667" spans="9:15" x14ac:dyDescent="0.35">
      <c r="I8667" s="35"/>
      <c r="O8667" s="35"/>
    </row>
    <row r="8668" spans="9:15" x14ac:dyDescent="0.35">
      <c r="I8668" s="35"/>
      <c r="O8668" s="35"/>
    </row>
    <row r="8669" spans="9:15" x14ac:dyDescent="0.35">
      <c r="I8669" s="35"/>
      <c r="O8669" s="35"/>
    </row>
    <row r="8670" spans="9:15" x14ac:dyDescent="0.35">
      <c r="I8670" s="35"/>
      <c r="O8670" s="35"/>
    </row>
    <row r="8671" spans="9:15" x14ac:dyDescent="0.35">
      <c r="I8671" s="35"/>
      <c r="O8671" s="35"/>
    </row>
    <row r="8672" spans="9:15" x14ac:dyDescent="0.35">
      <c r="I8672" s="35"/>
      <c r="O8672" s="35"/>
    </row>
    <row r="8673" spans="9:15" x14ac:dyDescent="0.35">
      <c r="I8673" s="35"/>
      <c r="O8673" s="35"/>
    </row>
    <row r="8674" spans="9:15" x14ac:dyDescent="0.35">
      <c r="I8674" s="35"/>
      <c r="O8674" s="35"/>
    </row>
    <row r="8675" spans="9:15" x14ac:dyDescent="0.35">
      <c r="I8675" s="35"/>
      <c r="O8675" s="35"/>
    </row>
    <row r="8676" spans="9:15" x14ac:dyDescent="0.35">
      <c r="I8676" s="35"/>
      <c r="O8676" s="35"/>
    </row>
    <row r="8677" spans="9:15" x14ac:dyDescent="0.35">
      <c r="I8677" s="35"/>
      <c r="O8677" s="35"/>
    </row>
    <row r="8678" spans="9:15" x14ac:dyDescent="0.35">
      <c r="I8678" s="35"/>
      <c r="O8678" s="35"/>
    </row>
    <row r="8679" spans="9:15" x14ac:dyDescent="0.35">
      <c r="I8679" s="35"/>
      <c r="O8679" s="35"/>
    </row>
    <row r="8680" spans="9:15" x14ac:dyDescent="0.35">
      <c r="I8680" s="35"/>
      <c r="O8680" s="35"/>
    </row>
    <row r="8681" spans="9:15" x14ac:dyDescent="0.35">
      <c r="I8681" s="35"/>
      <c r="O8681" s="35"/>
    </row>
    <row r="8682" spans="9:15" x14ac:dyDescent="0.35">
      <c r="I8682" s="35"/>
      <c r="O8682" s="35"/>
    </row>
    <row r="8683" spans="9:15" x14ac:dyDescent="0.35">
      <c r="I8683" s="35"/>
      <c r="O8683" s="35"/>
    </row>
    <row r="8684" spans="9:15" x14ac:dyDescent="0.35">
      <c r="I8684" s="35"/>
      <c r="O8684" s="35"/>
    </row>
    <row r="8685" spans="9:15" x14ac:dyDescent="0.35">
      <c r="I8685" s="35"/>
      <c r="O8685" s="35"/>
    </row>
    <row r="8686" spans="9:15" x14ac:dyDescent="0.35">
      <c r="I8686" s="35"/>
      <c r="O8686" s="35"/>
    </row>
    <row r="8687" spans="9:15" x14ac:dyDescent="0.35">
      <c r="I8687" s="35"/>
      <c r="O8687" s="35"/>
    </row>
    <row r="8688" spans="9:15" x14ac:dyDescent="0.35">
      <c r="I8688" s="35"/>
      <c r="O8688" s="35"/>
    </row>
    <row r="8689" spans="9:15" x14ac:dyDescent="0.35">
      <c r="I8689" s="35"/>
      <c r="O8689" s="35"/>
    </row>
    <row r="8690" spans="9:15" x14ac:dyDescent="0.35">
      <c r="I8690" s="35"/>
      <c r="O8690" s="35"/>
    </row>
    <row r="8691" spans="9:15" x14ac:dyDescent="0.35">
      <c r="I8691" s="35"/>
      <c r="O8691" s="35"/>
    </row>
    <row r="8692" spans="9:15" x14ac:dyDescent="0.35">
      <c r="I8692" s="35"/>
      <c r="O8692" s="35"/>
    </row>
    <row r="8693" spans="9:15" x14ac:dyDescent="0.35">
      <c r="I8693" s="35"/>
      <c r="O8693" s="35"/>
    </row>
    <row r="8694" spans="9:15" x14ac:dyDescent="0.35">
      <c r="I8694" s="35"/>
      <c r="O8694" s="35"/>
    </row>
    <row r="8695" spans="9:15" x14ac:dyDescent="0.35">
      <c r="I8695" s="35"/>
      <c r="O8695" s="35"/>
    </row>
    <row r="8696" spans="9:15" x14ac:dyDescent="0.35">
      <c r="I8696" s="35"/>
      <c r="O8696" s="35"/>
    </row>
    <row r="8697" spans="9:15" x14ac:dyDescent="0.35">
      <c r="I8697" s="35"/>
      <c r="O8697" s="35"/>
    </row>
    <row r="8698" spans="9:15" x14ac:dyDescent="0.35">
      <c r="I8698" s="35"/>
      <c r="O8698" s="35"/>
    </row>
    <row r="8699" spans="9:15" x14ac:dyDescent="0.35">
      <c r="I8699" s="35"/>
      <c r="O8699" s="35"/>
    </row>
    <row r="8700" spans="9:15" x14ac:dyDescent="0.35">
      <c r="I8700" s="35"/>
      <c r="O8700" s="35"/>
    </row>
    <row r="8701" spans="9:15" x14ac:dyDescent="0.35">
      <c r="I8701" s="35"/>
      <c r="O8701" s="35"/>
    </row>
    <row r="8702" spans="9:15" x14ac:dyDescent="0.35">
      <c r="I8702" s="35"/>
      <c r="O8702" s="35"/>
    </row>
    <row r="8703" spans="9:15" x14ac:dyDescent="0.35">
      <c r="I8703" s="35"/>
      <c r="O8703" s="35"/>
    </row>
    <row r="8704" spans="9:15" x14ac:dyDescent="0.35">
      <c r="I8704" s="35"/>
      <c r="O8704" s="35"/>
    </row>
    <row r="8705" spans="9:15" x14ac:dyDescent="0.35">
      <c r="I8705" s="35"/>
      <c r="O8705" s="35"/>
    </row>
    <row r="8706" spans="9:15" x14ac:dyDescent="0.35">
      <c r="I8706" s="35"/>
      <c r="O8706" s="35"/>
    </row>
    <row r="8707" spans="9:15" x14ac:dyDescent="0.35">
      <c r="I8707" s="35"/>
      <c r="O8707" s="35"/>
    </row>
    <row r="8708" spans="9:15" x14ac:dyDescent="0.35">
      <c r="I8708" s="35"/>
      <c r="O8708" s="35"/>
    </row>
    <row r="8709" spans="9:15" x14ac:dyDescent="0.35">
      <c r="I8709" s="35"/>
      <c r="O8709" s="35"/>
    </row>
    <row r="8710" spans="9:15" x14ac:dyDescent="0.35">
      <c r="I8710" s="35"/>
      <c r="O8710" s="35"/>
    </row>
    <row r="8711" spans="9:15" x14ac:dyDescent="0.35">
      <c r="I8711" s="35"/>
      <c r="O8711" s="35"/>
    </row>
    <row r="8712" spans="9:15" x14ac:dyDescent="0.35">
      <c r="I8712" s="35"/>
      <c r="O8712" s="35"/>
    </row>
    <row r="8713" spans="9:15" x14ac:dyDescent="0.35">
      <c r="I8713" s="35"/>
      <c r="O8713" s="35"/>
    </row>
    <row r="8714" spans="9:15" x14ac:dyDescent="0.35">
      <c r="I8714" s="35"/>
      <c r="O8714" s="35"/>
    </row>
    <row r="8715" spans="9:15" x14ac:dyDescent="0.35">
      <c r="I8715" s="35"/>
      <c r="O8715" s="35"/>
    </row>
    <row r="8716" spans="9:15" x14ac:dyDescent="0.35">
      <c r="I8716" s="35"/>
      <c r="O8716" s="35"/>
    </row>
    <row r="8717" spans="9:15" x14ac:dyDescent="0.35">
      <c r="I8717" s="35"/>
      <c r="O8717" s="35"/>
    </row>
    <row r="8718" spans="9:15" x14ac:dyDescent="0.35">
      <c r="I8718" s="35"/>
      <c r="O8718" s="35"/>
    </row>
    <row r="8719" spans="9:15" x14ac:dyDescent="0.35">
      <c r="I8719" s="35"/>
      <c r="O8719" s="35"/>
    </row>
    <row r="8720" spans="9:15" x14ac:dyDescent="0.35">
      <c r="I8720" s="35"/>
      <c r="O8720" s="35"/>
    </row>
    <row r="8721" spans="9:15" x14ac:dyDescent="0.35">
      <c r="I8721" s="35"/>
      <c r="O8721" s="35"/>
    </row>
    <row r="8722" spans="9:15" x14ac:dyDescent="0.35">
      <c r="I8722" s="35"/>
      <c r="O8722" s="35"/>
    </row>
    <row r="8723" spans="9:15" x14ac:dyDescent="0.35">
      <c r="I8723" s="35"/>
      <c r="O8723" s="35"/>
    </row>
    <row r="8724" spans="9:15" x14ac:dyDescent="0.35">
      <c r="I8724" s="35"/>
      <c r="O8724" s="35"/>
    </row>
    <row r="8725" spans="9:15" x14ac:dyDescent="0.35">
      <c r="I8725" s="35"/>
      <c r="O8725" s="35"/>
    </row>
    <row r="8726" spans="9:15" x14ac:dyDescent="0.35">
      <c r="I8726" s="35"/>
      <c r="O8726" s="35"/>
    </row>
    <row r="8727" spans="9:15" x14ac:dyDescent="0.35">
      <c r="I8727" s="35"/>
      <c r="O8727" s="35"/>
    </row>
    <row r="8728" spans="9:15" x14ac:dyDescent="0.35">
      <c r="I8728" s="35"/>
      <c r="O8728" s="35"/>
    </row>
    <row r="8729" spans="9:15" x14ac:dyDescent="0.35">
      <c r="I8729" s="35"/>
      <c r="O8729" s="35"/>
    </row>
    <row r="8730" spans="9:15" x14ac:dyDescent="0.35">
      <c r="I8730" s="35"/>
      <c r="O8730" s="35"/>
    </row>
    <row r="8731" spans="9:15" x14ac:dyDescent="0.35">
      <c r="I8731" s="35"/>
      <c r="O8731" s="35"/>
    </row>
    <row r="8732" spans="9:15" x14ac:dyDescent="0.35">
      <c r="I8732" s="35"/>
      <c r="O8732" s="35"/>
    </row>
    <row r="8733" spans="9:15" x14ac:dyDescent="0.35">
      <c r="I8733" s="35"/>
      <c r="O8733" s="35"/>
    </row>
    <row r="8734" spans="9:15" x14ac:dyDescent="0.35">
      <c r="I8734" s="35"/>
      <c r="O8734" s="35"/>
    </row>
    <row r="8735" spans="9:15" x14ac:dyDescent="0.35">
      <c r="I8735" s="35"/>
      <c r="O8735" s="35"/>
    </row>
    <row r="8736" spans="9:15" x14ac:dyDescent="0.35">
      <c r="I8736" s="35"/>
      <c r="O8736" s="35"/>
    </row>
    <row r="8737" spans="9:15" x14ac:dyDescent="0.35">
      <c r="I8737" s="35"/>
      <c r="O8737" s="35"/>
    </row>
    <row r="8738" spans="9:15" x14ac:dyDescent="0.35">
      <c r="I8738" s="35"/>
      <c r="O8738" s="35"/>
    </row>
    <row r="8739" spans="9:15" x14ac:dyDescent="0.35">
      <c r="I8739" s="35"/>
      <c r="O8739" s="35"/>
    </row>
    <row r="8740" spans="9:15" x14ac:dyDescent="0.35">
      <c r="I8740" s="35"/>
      <c r="O8740" s="35"/>
    </row>
    <row r="8741" spans="9:15" x14ac:dyDescent="0.35">
      <c r="I8741" s="35"/>
      <c r="O8741" s="35"/>
    </row>
    <row r="8742" spans="9:15" x14ac:dyDescent="0.35">
      <c r="I8742" s="35"/>
      <c r="O8742" s="35"/>
    </row>
    <row r="8743" spans="9:15" x14ac:dyDescent="0.35">
      <c r="I8743" s="35"/>
      <c r="O8743" s="35"/>
    </row>
    <row r="8744" spans="9:15" x14ac:dyDescent="0.35">
      <c r="I8744" s="35"/>
      <c r="O8744" s="35"/>
    </row>
    <row r="8745" spans="9:15" x14ac:dyDescent="0.35">
      <c r="I8745" s="35"/>
      <c r="O8745" s="35"/>
    </row>
    <row r="8746" spans="9:15" x14ac:dyDescent="0.35">
      <c r="I8746" s="35"/>
      <c r="O8746" s="35"/>
    </row>
    <row r="8747" spans="9:15" x14ac:dyDescent="0.35">
      <c r="I8747" s="35"/>
      <c r="O8747" s="35"/>
    </row>
    <row r="8748" spans="9:15" x14ac:dyDescent="0.35">
      <c r="I8748" s="35"/>
      <c r="O8748" s="35"/>
    </row>
    <row r="8749" spans="9:15" x14ac:dyDescent="0.35">
      <c r="I8749" s="35"/>
      <c r="O8749" s="35"/>
    </row>
    <row r="8750" spans="9:15" x14ac:dyDescent="0.35">
      <c r="I8750" s="35"/>
      <c r="O8750" s="35"/>
    </row>
    <row r="8751" spans="9:15" x14ac:dyDescent="0.35">
      <c r="I8751" s="35"/>
      <c r="O8751" s="35"/>
    </row>
    <row r="8752" spans="9:15" x14ac:dyDescent="0.35">
      <c r="I8752" s="35"/>
      <c r="O8752" s="35"/>
    </row>
    <row r="8753" spans="9:15" x14ac:dyDescent="0.35">
      <c r="I8753" s="35"/>
      <c r="O8753" s="35"/>
    </row>
    <row r="8754" spans="9:15" x14ac:dyDescent="0.35">
      <c r="I8754" s="35"/>
      <c r="O8754" s="35"/>
    </row>
    <row r="8755" spans="9:15" x14ac:dyDescent="0.35">
      <c r="I8755" s="35"/>
      <c r="O8755" s="35"/>
    </row>
    <row r="8756" spans="9:15" x14ac:dyDescent="0.35">
      <c r="I8756" s="35"/>
      <c r="O8756" s="35"/>
    </row>
    <row r="8757" spans="9:15" x14ac:dyDescent="0.35">
      <c r="I8757" s="35"/>
      <c r="O8757" s="35"/>
    </row>
    <row r="8758" spans="9:15" x14ac:dyDescent="0.35">
      <c r="I8758" s="35"/>
      <c r="O8758" s="35"/>
    </row>
    <row r="8759" spans="9:15" x14ac:dyDescent="0.35">
      <c r="I8759" s="35"/>
      <c r="O8759" s="35"/>
    </row>
    <row r="8760" spans="9:15" x14ac:dyDescent="0.35">
      <c r="I8760" s="35"/>
      <c r="O8760" s="35"/>
    </row>
    <row r="8761" spans="9:15" x14ac:dyDescent="0.35">
      <c r="I8761" s="35"/>
      <c r="O8761" s="35"/>
    </row>
    <row r="8762" spans="9:15" x14ac:dyDescent="0.35">
      <c r="I8762" s="35"/>
      <c r="O8762" s="35"/>
    </row>
    <row r="8763" spans="9:15" x14ac:dyDescent="0.35">
      <c r="I8763" s="35"/>
      <c r="O8763" s="35"/>
    </row>
    <row r="8764" spans="9:15" x14ac:dyDescent="0.35">
      <c r="I8764" s="35"/>
      <c r="O8764" s="35"/>
    </row>
    <row r="8765" spans="9:15" x14ac:dyDescent="0.35">
      <c r="I8765" s="35"/>
      <c r="O8765" s="35"/>
    </row>
    <row r="8766" spans="9:15" x14ac:dyDescent="0.35">
      <c r="I8766" s="35"/>
      <c r="O8766" s="35"/>
    </row>
    <row r="8767" spans="9:15" x14ac:dyDescent="0.35">
      <c r="I8767" s="35"/>
      <c r="O8767" s="35"/>
    </row>
    <row r="8768" spans="9:15" x14ac:dyDescent="0.35">
      <c r="I8768" s="35"/>
      <c r="O8768" s="35"/>
    </row>
    <row r="8769" spans="9:15" x14ac:dyDescent="0.35">
      <c r="I8769" s="35"/>
      <c r="O8769" s="35"/>
    </row>
    <row r="8770" spans="9:15" x14ac:dyDescent="0.35">
      <c r="I8770" s="35"/>
      <c r="O8770" s="35"/>
    </row>
    <row r="8771" spans="9:15" x14ac:dyDescent="0.35">
      <c r="I8771" s="35"/>
      <c r="O8771" s="35"/>
    </row>
    <row r="8772" spans="9:15" x14ac:dyDescent="0.35">
      <c r="I8772" s="35"/>
      <c r="O8772" s="35"/>
    </row>
    <row r="8773" spans="9:15" x14ac:dyDescent="0.35">
      <c r="I8773" s="35"/>
      <c r="O8773" s="35"/>
    </row>
    <row r="8774" spans="9:15" x14ac:dyDescent="0.35">
      <c r="I8774" s="35"/>
      <c r="O8774" s="35"/>
    </row>
    <row r="8775" spans="9:15" x14ac:dyDescent="0.35">
      <c r="I8775" s="35"/>
      <c r="O8775" s="35"/>
    </row>
    <row r="8776" spans="9:15" x14ac:dyDescent="0.35">
      <c r="I8776" s="35"/>
      <c r="O8776" s="35"/>
    </row>
    <row r="8777" spans="9:15" x14ac:dyDescent="0.35">
      <c r="I8777" s="35"/>
      <c r="O8777" s="35"/>
    </row>
    <row r="8778" spans="9:15" x14ac:dyDescent="0.35">
      <c r="I8778" s="35"/>
      <c r="O8778" s="35"/>
    </row>
    <row r="8779" spans="9:15" x14ac:dyDescent="0.35">
      <c r="I8779" s="35"/>
      <c r="O8779" s="35"/>
    </row>
    <row r="8780" spans="9:15" x14ac:dyDescent="0.35">
      <c r="I8780" s="35"/>
      <c r="O8780" s="35"/>
    </row>
    <row r="8781" spans="9:15" x14ac:dyDescent="0.35">
      <c r="I8781" s="35"/>
      <c r="O8781" s="35"/>
    </row>
    <row r="8782" spans="9:15" x14ac:dyDescent="0.35">
      <c r="I8782" s="35"/>
      <c r="O8782" s="35"/>
    </row>
    <row r="8783" spans="9:15" x14ac:dyDescent="0.35">
      <c r="I8783" s="35"/>
      <c r="O8783" s="35"/>
    </row>
    <row r="8784" spans="9:15" x14ac:dyDescent="0.35">
      <c r="I8784" s="35"/>
      <c r="O8784" s="35"/>
    </row>
    <row r="8785" spans="9:15" x14ac:dyDescent="0.35">
      <c r="I8785" s="35"/>
      <c r="O8785" s="35"/>
    </row>
    <row r="8786" spans="9:15" x14ac:dyDescent="0.35">
      <c r="I8786" s="35"/>
      <c r="O8786" s="35"/>
    </row>
    <row r="8787" spans="9:15" x14ac:dyDescent="0.35">
      <c r="I8787" s="35"/>
      <c r="O8787" s="35"/>
    </row>
    <row r="8788" spans="9:15" x14ac:dyDescent="0.35">
      <c r="I8788" s="35"/>
      <c r="O8788" s="35"/>
    </row>
    <row r="8789" spans="9:15" x14ac:dyDescent="0.35">
      <c r="I8789" s="35"/>
      <c r="O8789" s="35"/>
    </row>
    <row r="8790" spans="9:15" x14ac:dyDescent="0.35">
      <c r="I8790" s="35"/>
      <c r="O8790" s="35"/>
    </row>
    <row r="8791" spans="9:15" x14ac:dyDescent="0.35">
      <c r="I8791" s="35"/>
      <c r="O8791" s="35"/>
    </row>
    <row r="8792" spans="9:15" x14ac:dyDescent="0.35">
      <c r="I8792" s="35"/>
      <c r="O8792" s="35"/>
    </row>
    <row r="8793" spans="9:15" x14ac:dyDescent="0.35">
      <c r="I8793" s="35"/>
      <c r="O8793" s="35"/>
    </row>
    <row r="8794" spans="9:15" x14ac:dyDescent="0.35">
      <c r="I8794" s="35"/>
      <c r="O8794" s="35"/>
    </row>
    <row r="8795" spans="9:15" x14ac:dyDescent="0.35">
      <c r="I8795" s="35"/>
      <c r="O8795" s="35"/>
    </row>
    <row r="8796" spans="9:15" x14ac:dyDescent="0.35">
      <c r="I8796" s="35"/>
      <c r="O8796" s="35"/>
    </row>
    <row r="8797" spans="9:15" x14ac:dyDescent="0.35">
      <c r="I8797" s="35"/>
      <c r="O8797" s="35"/>
    </row>
    <row r="8798" spans="9:15" x14ac:dyDescent="0.35">
      <c r="I8798" s="35"/>
      <c r="O8798" s="35"/>
    </row>
    <row r="8799" spans="9:15" x14ac:dyDescent="0.35">
      <c r="I8799" s="35"/>
      <c r="O8799" s="35"/>
    </row>
    <row r="8800" spans="9:15" x14ac:dyDescent="0.35">
      <c r="I8800" s="35"/>
      <c r="O8800" s="35"/>
    </row>
    <row r="8801" spans="9:15" x14ac:dyDescent="0.35">
      <c r="I8801" s="35"/>
      <c r="O8801" s="35"/>
    </row>
    <row r="8802" spans="9:15" x14ac:dyDescent="0.35">
      <c r="I8802" s="35"/>
      <c r="O8802" s="35"/>
    </row>
    <row r="8803" spans="9:15" x14ac:dyDescent="0.35">
      <c r="I8803" s="35"/>
      <c r="O8803" s="35"/>
    </row>
    <row r="8804" spans="9:15" x14ac:dyDescent="0.35">
      <c r="I8804" s="35"/>
      <c r="O8804" s="35"/>
    </row>
    <row r="8805" spans="9:15" x14ac:dyDescent="0.35">
      <c r="I8805" s="35"/>
      <c r="O8805" s="35"/>
    </row>
    <row r="8806" spans="9:15" x14ac:dyDescent="0.35">
      <c r="I8806" s="35"/>
      <c r="O8806" s="35"/>
    </row>
    <row r="8807" spans="9:15" x14ac:dyDescent="0.35">
      <c r="I8807" s="35"/>
      <c r="O8807" s="35"/>
    </row>
    <row r="8808" spans="9:15" x14ac:dyDescent="0.35">
      <c r="I8808" s="35"/>
      <c r="O8808" s="35"/>
    </row>
    <row r="8809" spans="9:15" x14ac:dyDescent="0.35">
      <c r="I8809" s="35"/>
      <c r="O8809" s="35"/>
    </row>
    <row r="8810" spans="9:15" x14ac:dyDescent="0.35">
      <c r="I8810" s="35"/>
      <c r="O8810" s="35"/>
    </row>
    <row r="8811" spans="9:15" x14ac:dyDescent="0.35">
      <c r="I8811" s="35"/>
      <c r="O8811" s="35"/>
    </row>
    <row r="8812" spans="9:15" x14ac:dyDescent="0.35">
      <c r="I8812" s="35"/>
      <c r="O8812" s="35"/>
    </row>
    <row r="8813" spans="9:15" x14ac:dyDescent="0.35">
      <c r="I8813" s="35"/>
      <c r="O8813" s="35"/>
    </row>
    <row r="8814" spans="9:15" x14ac:dyDescent="0.35">
      <c r="I8814" s="35"/>
      <c r="O8814" s="35"/>
    </row>
    <row r="8815" spans="9:15" x14ac:dyDescent="0.35">
      <c r="I8815" s="35"/>
      <c r="O8815" s="35"/>
    </row>
    <row r="8816" spans="9:15" x14ac:dyDescent="0.35">
      <c r="I8816" s="35"/>
      <c r="O8816" s="35"/>
    </row>
    <row r="8817" spans="9:15" x14ac:dyDescent="0.35">
      <c r="I8817" s="35"/>
      <c r="O8817" s="35"/>
    </row>
    <row r="8818" spans="9:15" x14ac:dyDescent="0.35">
      <c r="I8818" s="35"/>
      <c r="O8818" s="35"/>
    </row>
    <row r="8819" spans="9:15" x14ac:dyDescent="0.35">
      <c r="I8819" s="35"/>
      <c r="O8819" s="35"/>
    </row>
    <row r="8820" spans="9:15" x14ac:dyDescent="0.35">
      <c r="I8820" s="35"/>
      <c r="O8820" s="35"/>
    </row>
    <row r="8821" spans="9:15" x14ac:dyDescent="0.35">
      <c r="I8821" s="35"/>
      <c r="O8821" s="35"/>
    </row>
    <row r="8822" spans="9:15" x14ac:dyDescent="0.35">
      <c r="I8822" s="35"/>
      <c r="O8822" s="35"/>
    </row>
    <row r="8823" spans="9:15" x14ac:dyDescent="0.35">
      <c r="I8823" s="35"/>
      <c r="O8823" s="35"/>
    </row>
    <row r="8824" spans="9:15" x14ac:dyDescent="0.35">
      <c r="I8824" s="35"/>
      <c r="O8824" s="35"/>
    </row>
    <row r="8825" spans="9:15" x14ac:dyDescent="0.35">
      <c r="I8825" s="35"/>
      <c r="O8825" s="35"/>
    </row>
    <row r="8826" spans="9:15" x14ac:dyDescent="0.35">
      <c r="I8826" s="35"/>
      <c r="O8826" s="35"/>
    </row>
    <row r="8827" spans="9:15" x14ac:dyDescent="0.35">
      <c r="I8827" s="35"/>
      <c r="O8827" s="35"/>
    </row>
    <row r="8828" spans="9:15" x14ac:dyDescent="0.35">
      <c r="I8828" s="35"/>
      <c r="O8828" s="35"/>
    </row>
    <row r="8829" spans="9:15" x14ac:dyDescent="0.35">
      <c r="I8829" s="35"/>
      <c r="O8829" s="35"/>
    </row>
    <row r="8830" spans="9:15" x14ac:dyDescent="0.35">
      <c r="I8830" s="35"/>
      <c r="O8830" s="35"/>
    </row>
    <row r="8831" spans="9:15" x14ac:dyDescent="0.35">
      <c r="I8831" s="35"/>
      <c r="O8831" s="35"/>
    </row>
    <row r="8832" spans="9:15" x14ac:dyDescent="0.35">
      <c r="I8832" s="35"/>
      <c r="O8832" s="35"/>
    </row>
    <row r="8833" spans="9:15" x14ac:dyDescent="0.35">
      <c r="I8833" s="35"/>
      <c r="O8833" s="35"/>
    </row>
    <row r="8834" spans="9:15" x14ac:dyDescent="0.35">
      <c r="I8834" s="35"/>
      <c r="O8834" s="35"/>
    </row>
    <row r="8835" spans="9:15" x14ac:dyDescent="0.35">
      <c r="I8835" s="35"/>
      <c r="O8835" s="35"/>
    </row>
    <row r="8836" spans="9:15" x14ac:dyDescent="0.35">
      <c r="I8836" s="35"/>
      <c r="O8836" s="35"/>
    </row>
    <row r="8837" spans="9:15" x14ac:dyDescent="0.35">
      <c r="I8837" s="35"/>
      <c r="O8837" s="35"/>
    </row>
    <row r="8838" spans="9:15" x14ac:dyDescent="0.35">
      <c r="I8838" s="35"/>
      <c r="O8838" s="35"/>
    </row>
    <row r="8839" spans="9:15" x14ac:dyDescent="0.35">
      <c r="I8839" s="35"/>
      <c r="O8839" s="35"/>
    </row>
    <row r="8840" spans="9:15" x14ac:dyDescent="0.35">
      <c r="I8840" s="35"/>
      <c r="O8840" s="35"/>
    </row>
    <row r="8841" spans="9:15" x14ac:dyDescent="0.35">
      <c r="I8841" s="35"/>
      <c r="O8841" s="35"/>
    </row>
    <row r="8842" spans="9:15" x14ac:dyDescent="0.35">
      <c r="I8842" s="35"/>
      <c r="O8842" s="35"/>
    </row>
    <row r="8843" spans="9:15" x14ac:dyDescent="0.35">
      <c r="I8843" s="35"/>
      <c r="O8843" s="35"/>
    </row>
    <row r="8844" spans="9:15" x14ac:dyDescent="0.35">
      <c r="I8844" s="35"/>
      <c r="O8844" s="35"/>
    </row>
    <row r="8845" spans="9:15" x14ac:dyDescent="0.35">
      <c r="I8845" s="35"/>
      <c r="O8845" s="35"/>
    </row>
    <row r="8846" spans="9:15" x14ac:dyDescent="0.35">
      <c r="I8846" s="35"/>
      <c r="O8846" s="35"/>
    </row>
    <row r="8847" spans="9:15" x14ac:dyDescent="0.35">
      <c r="I8847" s="35"/>
      <c r="O8847" s="35"/>
    </row>
    <row r="8848" spans="9:15" x14ac:dyDescent="0.35">
      <c r="I8848" s="35"/>
      <c r="O8848" s="35"/>
    </row>
    <row r="8849" spans="9:15" x14ac:dyDescent="0.35">
      <c r="I8849" s="35"/>
      <c r="O8849" s="35"/>
    </row>
    <row r="8850" spans="9:15" x14ac:dyDescent="0.35">
      <c r="I8850" s="35"/>
      <c r="O8850" s="35"/>
    </row>
    <row r="8851" spans="9:15" x14ac:dyDescent="0.35">
      <c r="I8851" s="35"/>
      <c r="O8851" s="35"/>
    </row>
    <row r="8852" spans="9:15" x14ac:dyDescent="0.35">
      <c r="I8852" s="35"/>
      <c r="O8852" s="35"/>
    </row>
    <row r="8853" spans="9:15" x14ac:dyDescent="0.35">
      <c r="I8853" s="35"/>
      <c r="O8853" s="35"/>
    </row>
    <row r="8854" spans="9:15" x14ac:dyDescent="0.35">
      <c r="I8854" s="35"/>
      <c r="O8854" s="35"/>
    </row>
    <row r="8855" spans="9:15" x14ac:dyDescent="0.35">
      <c r="I8855" s="35"/>
      <c r="O8855" s="35"/>
    </row>
    <row r="8856" spans="9:15" x14ac:dyDescent="0.35">
      <c r="I8856" s="35"/>
      <c r="O8856" s="35"/>
    </row>
    <row r="8857" spans="9:15" x14ac:dyDescent="0.35">
      <c r="I8857" s="35"/>
      <c r="O8857" s="35"/>
    </row>
    <row r="8858" spans="9:15" x14ac:dyDescent="0.35">
      <c r="I8858" s="35"/>
      <c r="O8858" s="35"/>
    </row>
    <row r="8859" spans="9:15" x14ac:dyDescent="0.35">
      <c r="I8859" s="35"/>
      <c r="O8859" s="35"/>
    </row>
    <row r="8860" spans="9:15" x14ac:dyDescent="0.35">
      <c r="I8860" s="35"/>
      <c r="O8860" s="35"/>
    </row>
    <row r="8861" spans="9:15" x14ac:dyDescent="0.35">
      <c r="I8861" s="35"/>
      <c r="O8861" s="35"/>
    </row>
    <row r="8862" spans="9:15" x14ac:dyDescent="0.35">
      <c r="I8862" s="35"/>
      <c r="O8862" s="35"/>
    </row>
    <row r="8863" spans="9:15" x14ac:dyDescent="0.35">
      <c r="I8863" s="35"/>
      <c r="O8863" s="35"/>
    </row>
    <row r="8864" spans="9:15" x14ac:dyDescent="0.35">
      <c r="I8864" s="35"/>
      <c r="O8864" s="35"/>
    </row>
    <row r="8865" spans="9:15" x14ac:dyDescent="0.35">
      <c r="I8865" s="35"/>
      <c r="O8865" s="35"/>
    </row>
    <row r="8866" spans="9:15" x14ac:dyDescent="0.35">
      <c r="I8866" s="35"/>
      <c r="O8866" s="35"/>
    </row>
    <row r="8867" spans="9:15" x14ac:dyDescent="0.35">
      <c r="I8867" s="35"/>
      <c r="O8867" s="35"/>
    </row>
    <row r="8868" spans="9:15" x14ac:dyDescent="0.35">
      <c r="I8868" s="35"/>
      <c r="O8868" s="35"/>
    </row>
    <row r="8869" spans="9:15" x14ac:dyDescent="0.35">
      <c r="I8869" s="35"/>
      <c r="O8869" s="35"/>
    </row>
    <row r="8870" spans="9:15" x14ac:dyDescent="0.35">
      <c r="I8870" s="35"/>
      <c r="O8870" s="35"/>
    </row>
    <row r="8871" spans="9:15" x14ac:dyDescent="0.35">
      <c r="I8871" s="35"/>
      <c r="O8871" s="35"/>
    </row>
    <row r="8872" spans="9:15" x14ac:dyDescent="0.35">
      <c r="I8872" s="35"/>
      <c r="O8872" s="35"/>
    </row>
    <row r="8873" spans="9:15" x14ac:dyDescent="0.35">
      <c r="I8873" s="35"/>
      <c r="O8873" s="35"/>
    </row>
    <row r="8874" spans="9:15" x14ac:dyDescent="0.35">
      <c r="I8874" s="35"/>
      <c r="O8874" s="35"/>
    </row>
    <row r="8875" spans="9:15" x14ac:dyDescent="0.35">
      <c r="I8875" s="35"/>
      <c r="O8875" s="35"/>
    </row>
    <row r="8876" spans="9:15" x14ac:dyDescent="0.35">
      <c r="I8876" s="35"/>
      <c r="O8876" s="35"/>
    </row>
    <row r="8877" spans="9:15" x14ac:dyDescent="0.35">
      <c r="I8877" s="35"/>
      <c r="O8877" s="35"/>
    </row>
    <row r="8878" spans="9:15" x14ac:dyDescent="0.35">
      <c r="I8878" s="35"/>
      <c r="O8878" s="35"/>
    </row>
    <row r="8879" spans="9:15" x14ac:dyDescent="0.35">
      <c r="I8879" s="35"/>
      <c r="O8879" s="35"/>
    </row>
    <row r="8880" spans="9:15" x14ac:dyDescent="0.35">
      <c r="I8880" s="35"/>
      <c r="O8880" s="35"/>
    </row>
    <row r="8881" spans="9:15" x14ac:dyDescent="0.35">
      <c r="I8881" s="35"/>
      <c r="O8881" s="35"/>
    </row>
    <row r="8882" spans="9:15" x14ac:dyDescent="0.35">
      <c r="I8882" s="35"/>
      <c r="O8882" s="35"/>
    </row>
    <row r="8883" spans="9:15" x14ac:dyDescent="0.35">
      <c r="I8883" s="35"/>
      <c r="O8883" s="35"/>
    </row>
    <row r="8884" spans="9:15" x14ac:dyDescent="0.35">
      <c r="I8884" s="35"/>
      <c r="O8884" s="35"/>
    </row>
    <row r="8885" spans="9:15" x14ac:dyDescent="0.35">
      <c r="I8885" s="35"/>
      <c r="O8885" s="35"/>
    </row>
    <row r="8886" spans="9:15" x14ac:dyDescent="0.35">
      <c r="I8886" s="35"/>
      <c r="O8886" s="35"/>
    </row>
    <row r="8887" spans="9:15" x14ac:dyDescent="0.35">
      <c r="I8887" s="35"/>
      <c r="O8887" s="35"/>
    </row>
    <row r="8888" spans="9:15" x14ac:dyDescent="0.35">
      <c r="I8888" s="35"/>
      <c r="O8888" s="35"/>
    </row>
    <row r="8889" spans="9:15" x14ac:dyDescent="0.35">
      <c r="I8889" s="35"/>
      <c r="O8889" s="35"/>
    </row>
    <row r="8890" spans="9:15" x14ac:dyDescent="0.35">
      <c r="I8890" s="35"/>
      <c r="O8890" s="35"/>
    </row>
    <row r="8891" spans="9:15" x14ac:dyDescent="0.35">
      <c r="I8891" s="35"/>
      <c r="O8891" s="35"/>
    </row>
    <row r="8892" spans="9:15" x14ac:dyDescent="0.35">
      <c r="I8892" s="35"/>
      <c r="O8892" s="35"/>
    </row>
    <row r="8893" spans="9:15" x14ac:dyDescent="0.35">
      <c r="I8893" s="35"/>
      <c r="O8893" s="35"/>
    </row>
    <row r="8894" spans="9:15" x14ac:dyDescent="0.35">
      <c r="I8894" s="35"/>
      <c r="O8894" s="35"/>
    </row>
    <row r="8895" spans="9:15" x14ac:dyDescent="0.35">
      <c r="I8895" s="35"/>
      <c r="O8895" s="35"/>
    </row>
    <row r="8896" spans="9:15" x14ac:dyDescent="0.35">
      <c r="I8896" s="35"/>
      <c r="O8896" s="35"/>
    </row>
    <row r="8897" spans="9:15" x14ac:dyDescent="0.35">
      <c r="I8897" s="35"/>
      <c r="O8897" s="35"/>
    </row>
    <row r="8898" spans="9:15" x14ac:dyDescent="0.35">
      <c r="I8898" s="35"/>
      <c r="O8898" s="35"/>
    </row>
    <row r="8899" spans="9:15" x14ac:dyDescent="0.35">
      <c r="I8899" s="35"/>
      <c r="O8899" s="35"/>
    </row>
    <row r="8900" spans="9:15" x14ac:dyDescent="0.35">
      <c r="I8900" s="35"/>
      <c r="O8900" s="35"/>
    </row>
    <row r="8901" spans="9:15" x14ac:dyDescent="0.35">
      <c r="I8901" s="35"/>
      <c r="O8901" s="35"/>
    </row>
    <row r="8902" spans="9:15" x14ac:dyDescent="0.35">
      <c r="I8902" s="35"/>
      <c r="O8902" s="35"/>
    </row>
    <row r="8903" spans="9:15" x14ac:dyDescent="0.35">
      <c r="I8903" s="35"/>
      <c r="O8903" s="35"/>
    </row>
    <row r="8904" spans="9:15" x14ac:dyDescent="0.35">
      <c r="I8904" s="35"/>
      <c r="O8904" s="35"/>
    </row>
    <row r="8905" spans="9:15" x14ac:dyDescent="0.35">
      <c r="I8905" s="35"/>
      <c r="O8905" s="35"/>
    </row>
    <row r="8906" spans="9:15" x14ac:dyDescent="0.35">
      <c r="I8906" s="35"/>
      <c r="O8906" s="35"/>
    </row>
    <row r="8907" spans="9:15" x14ac:dyDescent="0.35">
      <c r="I8907" s="35"/>
      <c r="O8907" s="35"/>
    </row>
    <row r="8908" spans="9:15" x14ac:dyDescent="0.35">
      <c r="I8908" s="35"/>
      <c r="O8908" s="35"/>
    </row>
    <row r="8909" spans="9:15" x14ac:dyDescent="0.35">
      <c r="I8909" s="35"/>
      <c r="O8909" s="35"/>
    </row>
    <row r="8910" spans="9:15" x14ac:dyDescent="0.35">
      <c r="I8910" s="35"/>
      <c r="O8910" s="35"/>
    </row>
    <row r="8911" spans="9:15" x14ac:dyDescent="0.35">
      <c r="I8911" s="35"/>
      <c r="O8911" s="35"/>
    </row>
    <row r="8912" spans="9:15" x14ac:dyDescent="0.35">
      <c r="I8912" s="35"/>
      <c r="O8912" s="35"/>
    </row>
    <row r="8913" spans="9:15" x14ac:dyDescent="0.35">
      <c r="I8913" s="35"/>
      <c r="O8913" s="35"/>
    </row>
    <row r="8914" spans="9:15" x14ac:dyDescent="0.35">
      <c r="I8914" s="35"/>
      <c r="O8914" s="35"/>
    </row>
    <row r="8915" spans="9:15" x14ac:dyDescent="0.35">
      <c r="I8915" s="35"/>
      <c r="O8915" s="35"/>
    </row>
    <row r="8916" spans="9:15" x14ac:dyDescent="0.35">
      <c r="I8916" s="35"/>
      <c r="O8916" s="35"/>
    </row>
    <row r="8917" spans="9:15" x14ac:dyDescent="0.35">
      <c r="I8917" s="35"/>
      <c r="O8917" s="35"/>
    </row>
    <row r="8918" spans="9:15" x14ac:dyDescent="0.35">
      <c r="I8918" s="35"/>
      <c r="O8918" s="35"/>
    </row>
    <row r="8919" spans="9:15" x14ac:dyDescent="0.35">
      <c r="I8919" s="35"/>
      <c r="O8919" s="35"/>
    </row>
    <row r="8920" spans="9:15" x14ac:dyDescent="0.35">
      <c r="I8920" s="35"/>
      <c r="O8920" s="35"/>
    </row>
    <row r="8921" spans="9:15" x14ac:dyDescent="0.35">
      <c r="I8921" s="35"/>
      <c r="O8921" s="35"/>
    </row>
    <row r="8922" spans="9:15" x14ac:dyDescent="0.35">
      <c r="I8922" s="35"/>
      <c r="O8922" s="35"/>
    </row>
    <row r="8923" spans="9:15" x14ac:dyDescent="0.35">
      <c r="I8923" s="35"/>
      <c r="O8923" s="35"/>
    </row>
    <row r="8924" spans="9:15" x14ac:dyDescent="0.35">
      <c r="I8924" s="35"/>
      <c r="O8924" s="35"/>
    </row>
    <row r="8925" spans="9:15" x14ac:dyDescent="0.35">
      <c r="I8925" s="35"/>
      <c r="O8925" s="35"/>
    </row>
    <row r="8926" spans="9:15" x14ac:dyDescent="0.35">
      <c r="I8926" s="35"/>
      <c r="O8926" s="35"/>
    </row>
    <row r="8927" spans="9:15" x14ac:dyDescent="0.35">
      <c r="I8927" s="35"/>
      <c r="O8927" s="35"/>
    </row>
    <row r="8928" spans="9:15" x14ac:dyDescent="0.35">
      <c r="I8928" s="35"/>
      <c r="O8928" s="35"/>
    </row>
    <row r="8929" spans="9:15" x14ac:dyDescent="0.35">
      <c r="I8929" s="35"/>
      <c r="O8929" s="35"/>
    </row>
    <row r="8930" spans="9:15" x14ac:dyDescent="0.35">
      <c r="I8930" s="35"/>
      <c r="O8930" s="35"/>
    </row>
    <row r="8931" spans="9:15" x14ac:dyDescent="0.35">
      <c r="I8931" s="35"/>
      <c r="O8931" s="35"/>
    </row>
    <row r="8932" spans="9:15" x14ac:dyDescent="0.35">
      <c r="I8932" s="35"/>
      <c r="O8932" s="35"/>
    </row>
    <row r="8933" spans="9:15" x14ac:dyDescent="0.35">
      <c r="I8933" s="35"/>
      <c r="O8933" s="35"/>
    </row>
    <row r="8934" spans="9:15" x14ac:dyDescent="0.35">
      <c r="I8934" s="35"/>
      <c r="O8934" s="35"/>
    </row>
    <row r="8935" spans="9:15" x14ac:dyDescent="0.35">
      <c r="I8935" s="35"/>
      <c r="O8935" s="35"/>
    </row>
    <row r="8936" spans="9:15" x14ac:dyDescent="0.35">
      <c r="I8936" s="35"/>
      <c r="O8936" s="35"/>
    </row>
    <row r="8937" spans="9:15" x14ac:dyDescent="0.35">
      <c r="I8937" s="35"/>
      <c r="O8937" s="35"/>
    </row>
    <row r="8938" spans="9:15" x14ac:dyDescent="0.35">
      <c r="I8938" s="35"/>
      <c r="O8938" s="35"/>
    </row>
    <row r="8939" spans="9:15" x14ac:dyDescent="0.35">
      <c r="I8939" s="35"/>
      <c r="O8939" s="35"/>
    </row>
    <row r="8940" spans="9:15" x14ac:dyDescent="0.35">
      <c r="I8940" s="35"/>
      <c r="O8940" s="35"/>
    </row>
    <row r="8941" spans="9:15" x14ac:dyDescent="0.35">
      <c r="I8941" s="35"/>
      <c r="O8941" s="35"/>
    </row>
    <row r="8942" spans="9:15" x14ac:dyDescent="0.35">
      <c r="I8942" s="35"/>
      <c r="O8942" s="35"/>
    </row>
    <row r="8943" spans="9:15" x14ac:dyDescent="0.35">
      <c r="I8943" s="35"/>
      <c r="O8943" s="35"/>
    </row>
    <row r="8944" spans="9:15" x14ac:dyDescent="0.35">
      <c r="I8944" s="35"/>
      <c r="O8944" s="35"/>
    </row>
    <row r="8945" spans="9:15" x14ac:dyDescent="0.35">
      <c r="I8945" s="35"/>
      <c r="O8945" s="35"/>
    </row>
    <row r="8946" spans="9:15" x14ac:dyDescent="0.35">
      <c r="I8946" s="35"/>
      <c r="O8946" s="35"/>
    </row>
    <row r="8947" spans="9:15" x14ac:dyDescent="0.35">
      <c r="I8947" s="35"/>
      <c r="O8947" s="35"/>
    </row>
    <row r="8948" spans="9:15" x14ac:dyDescent="0.35">
      <c r="I8948" s="35"/>
      <c r="O8948" s="35"/>
    </row>
    <row r="8949" spans="9:15" x14ac:dyDescent="0.35">
      <c r="I8949" s="35"/>
      <c r="O8949" s="35"/>
    </row>
    <row r="8950" spans="9:15" x14ac:dyDescent="0.35">
      <c r="I8950" s="35"/>
      <c r="O8950" s="35"/>
    </row>
    <row r="8951" spans="9:15" x14ac:dyDescent="0.35">
      <c r="I8951" s="35"/>
      <c r="O8951" s="35"/>
    </row>
    <row r="8952" spans="9:15" x14ac:dyDescent="0.35">
      <c r="I8952" s="35"/>
      <c r="O8952" s="35"/>
    </row>
    <row r="8953" spans="9:15" x14ac:dyDescent="0.35">
      <c r="I8953" s="35"/>
      <c r="O8953" s="35"/>
    </row>
    <row r="8954" spans="9:15" x14ac:dyDescent="0.35">
      <c r="I8954" s="35"/>
      <c r="O8954" s="35"/>
    </row>
    <row r="8955" spans="9:15" x14ac:dyDescent="0.35">
      <c r="I8955" s="35"/>
      <c r="O8955" s="35"/>
    </row>
    <row r="8956" spans="9:15" x14ac:dyDescent="0.35">
      <c r="I8956" s="35"/>
      <c r="O8956" s="35"/>
    </row>
    <row r="8957" spans="9:15" x14ac:dyDescent="0.35">
      <c r="I8957" s="35"/>
      <c r="O8957" s="35"/>
    </row>
    <row r="8958" spans="9:15" x14ac:dyDescent="0.35">
      <c r="I8958" s="35"/>
      <c r="O8958" s="35"/>
    </row>
    <row r="8959" spans="9:15" x14ac:dyDescent="0.35">
      <c r="I8959" s="35"/>
      <c r="O8959" s="35"/>
    </row>
    <row r="8960" spans="9:15" x14ac:dyDescent="0.35">
      <c r="I8960" s="35"/>
      <c r="O8960" s="35"/>
    </row>
    <row r="8961" spans="9:15" x14ac:dyDescent="0.35">
      <c r="I8961" s="35"/>
      <c r="O8961" s="35"/>
    </row>
    <row r="8962" spans="9:15" x14ac:dyDescent="0.35">
      <c r="I8962" s="35"/>
      <c r="O8962" s="35"/>
    </row>
    <row r="8963" spans="9:15" x14ac:dyDescent="0.35">
      <c r="I8963" s="35"/>
      <c r="O8963" s="35"/>
    </row>
    <row r="8964" spans="9:15" x14ac:dyDescent="0.35">
      <c r="I8964" s="35"/>
      <c r="O8964" s="35"/>
    </row>
    <row r="8965" spans="9:15" x14ac:dyDescent="0.35">
      <c r="I8965" s="35"/>
      <c r="O8965" s="35"/>
    </row>
    <row r="8966" spans="9:15" x14ac:dyDescent="0.35">
      <c r="I8966" s="35"/>
      <c r="O8966" s="35"/>
    </row>
    <row r="8967" spans="9:15" x14ac:dyDescent="0.35">
      <c r="I8967" s="35"/>
      <c r="O8967" s="35"/>
    </row>
    <row r="8968" spans="9:15" x14ac:dyDescent="0.35">
      <c r="I8968" s="35"/>
      <c r="O8968" s="35"/>
    </row>
    <row r="8969" spans="9:15" x14ac:dyDescent="0.35">
      <c r="I8969" s="35"/>
      <c r="O8969" s="35"/>
    </row>
    <row r="8970" spans="9:15" x14ac:dyDescent="0.35">
      <c r="I8970" s="35"/>
      <c r="O8970" s="35"/>
    </row>
    <row r="8971" spans="9:15" x14ac:dyDescent="0.35">
      <c r="I8971" s="35"/>
      <c r="O8971" s="35"/>
    </row>
    <row r="8972" spans="9:15" x14ac:dyDescent="0.35">
      <c r="I8972" s="35"/>
      <c r="O8972" s="35"/>
    </row>
    <row r="8973" spans="9:15" x14ac:dyDescent="0.35">
      <c r="I8973" s="35"/>
      <c r="O8973" s="35"/>
    </row>
    <row r="8974" spans="9:15" x14ac:dyDescent="0.35">
      <c r="I8974" s="35"/>
      <c r="O8974" s="35"/>
    </row>
    <row r="8975" spans="9:15" x14ac:dyDescent="0.35">
      <c r="I8975" s="35"/>
      <c r="O8975" s="35"/>
    </row>
    <row r="8976" spans="9:15" x14ac:dyDescent="0.35">
      <c r="I8976" s="35"/>
      <c r="O8976" s="35"/>
    </row>
    <row r="8977" spans="9:15" x14ac:dyDescent="0.35">
      <c r="I8977" s="35"/>
      <c r="O8977" s="35"/>
    </row>
    <row r="8978" spans="9:15" x14ac:dyDescent="0.35">
      <c r="I8978" s="35"/>
      <c r="O8978" s="35"/>
    </row>
    <row r="8979" spans="9:15" x14ac:dyDescent="0.35">
      <c r="I8979" s="35"/>
      <c r="O8979" s="35"/>
    </row>
    <row r="8980" spans="9:15" x14ac:dyDescent="0.35">
      <c r="I8980" s="35"/>
      <c r="O8980" s="35"/>
    </row>
    <row r="8981" spans="9:15" x14ac:dyDescent="0.35">
      <c r="I8981" s="35"/>
      <c r="O8981" s="35"/>
    </row>
    <row r="8982" spans="9:15" x14ac:dyDescent="0.35">
      <c r="I8982" s="35"/>
      <c r="O8982" s="35"/>
    </row>
    <row r="8983" spans="9:15" x14ac:dyDescent="0.35">
      <c r="I8983" s="35"/>
      <c r="O8983" s="35"/>
    </row>
    <row r="8984" spans="9:15" x14ac:dyDescent="0.35">
      <c r="I8984" s="35"/>
      <c r="O8984" s="35"/>
    </row>
    <row r="8985" spans="9:15" x14ac:dyDescent="0.35">
      <c r="I8985" s="35"/>
      <c r="O8985" s="35"/>
    </row>
    <row r="8986" spans="9:15" x14ac:dyDescent="0.35">
      <c r="I8986" s="35"/>
      <c r="O8986" s="35"/>
    </row>
    <row r="8987" spans="9:15" x14ac:dyDescent="0.35">
      <c r="I8987" s="35"/>
      <c r="O8987" s="35"/>
    </row>
    <row r="8988" spans="9:15" x14ac:dyDescent="0.35">
      <c r="I8988" s="35"/>
      <c r="O8988" s="35"/>
    </row>
    <row r="8989" spans="9:15" x14ac:dyDescent="0.35">
      <c r="I8989" s="35"/>
      <c r="O8989" s="35"/>
    </row>
    <row r="8990" spans="9:15" x14ac:dyDescent="0.35">
      <c r="I8990" s="35"/>
      <c r="O8990" s="35"/>
    </row>
    <row r="8991" spans="9:15" x14ac:dyDescent="0.35">
      <c r="I8991" s="35"/>
      <c r="O8991" s="35"/>
    </row>
    <row r="8992" spans="9:15" x14ac:dyDescent="0.35">
      <c r="I8992" s="35"/>
      <c r="O8992" s="35"/>
    </row>
    <row r="8993" spans="9:15" x14ac:dyDescent="0.35">
      <c r="I8993" s="35"/>
      <c r="O8993" s="35"/>
    </row>
    <row r="8994" spans="9:15" x14ac:dyDescent="0.35">
      <c r="I8994" s="35"/>
      <c r="O8994" s="35"/>
    </row>
    <row r="8995" spans="9:15" x14ac:dyDescent="0.35">
      <c r="I8995" s="35"/>
      <c r="O8995" s="35"/>
    </row>
    <row r="8996" spans="9:15" x14ac:dyDescent="0.35">
      <c r="I8996" s="35"/>
      <c r="O8996" s="35"/>
    </row>
    <row r="8997" spans="9:15" x14ac:dyDescent="0.35">
      <c r="I8997" s="35"/>
      <c r="O8997" s="35"/>
    </row>
    <row r="8998" spans="9:15" x14ac:dyDescent="0.35">
      <c r="I8998" s="35"/>
      <c r="O8998" s="35"/>
    </row>
    <row r="8999" spans="9:15" x14ac:dyDescent="0.35">
      <c r="I8999" s="35"/>
      <c r="O8999" s="35"/>
    </row>
    <row r="9000" spans="9:15" x14ac:dyDescent="0.35">
      <c r="I9000" s="35"/>
      <c r="O9000" s="35"/>
    </row>
    <row r="9001" spans="9:15" x14ac:dyDescent="0.35">
      <c r="I9001" s="35"/>
      <c r="O9001" s="35"/>
    </row>
    <row r="9002" spans="9:15" x14ac:dyDescent="0.35">
      <c r="I9002" s="35"/>
      <c r="O9002" s="35"/>
    </row>
    <row r="9003" spans="9:15" x14ac:dyDescent="0.35">
      <c r="I9003" s="35"/>
      <c r="O9003" s="35"/>
    </row>
    <row r="9004" spans="9:15" x14ac:dyDescent="0.35">
      <c r="I9004" s="35"/>
      <c r="O9004" s="35"/>
    </row>
    <row r="9005" spans="9:15" x14ac:dyDescent="0.35">
      <c r="I9005" s="35"/>
      <c r="O9005" s="35"/>
    </row>
    <row r="9006" spans="9:15" x14ac:dyDescent="0.35">
      <c r="I9006" s="35"/>
      <c r="O9006" s="35"/>
    </row>
    <row r="9007" spans="9:15" x14ac:dyDescent="0.35">
      <c r="I9007" s="35"/>
      <c r="O9007" s="35"/>
    </row>
    <row r="9008" spans="9:15" x14ac:dyDescent="0.35">
      <c r="I9008" s="35"/>
      <c r="O9008" s="35"/>
    </row>
    <row r="9009" spans="9:15" x14ac:dyDescent="0.35">
      <c r="I9009" s="35"/>
      <c r="O9009" s="35"/>
    </row>
    <row r="9010" spans="9:15" x14ac:dyDescent="0.35">
      <c r="I9010" s="35"/>
      <c r="O9010" s="35"/>
    </row>
    <row r="9011" spans="9:15" x14ac:dyDescent="0.35">
      <c r="I9011" s="35"/>
      <c r="O9011" s="35"/>
    </row>
    <row r="9012" spans="9:15" x14ac:dyDescent="0.35">
      <c r="I9012" s="35"/>
      <c r="O9012" s="35"/>
    </row>
    <row r="9013" spans="9:15" x14ac:dyDescent="0.35">
      <c r="I9013" s="35"/>
      <c r="O9013" s="35"/>
    </row>
    <row r="9014" spans="9:15" x14ac:dyDescent="0.35">
      <c r="I9014" s="35"/>
      <c r="O9014" s="35"/>
    </row>
    <row r="9015" spans="9:15" x14ac:dyDescent="0.35">
      <c r="I9015" s="35"/>
      <c r="O9015" s="35"/>
    </row>
    <row r="9016" spans="9:15" x14ac:dyDescent="0.35">
      <c r="I9016" s="35"/>
      <c r="O9016" s="35"/>
    </row>
    <row r="9017" spans="9:15" x14ac:dyDescent="0.35">
      <c r="I9017" s="35"/>
      <c r="O9017" s="35"/>
    </row>
    <row r="9018" spans="9:15" x14ac:dyDescent="0.35">
      <c r="I9018" s="35"/>
      <c r="O9018" s="35"/>
    </row>
    <row r="9019" spans="9:15" x14ac:dyDescent="0.35">
      <c r="I9019" s="35"/>
      <c r="O9019" s="35"/>
    </row>
    <row r="9020" spans="9:15" x14ac:dyDescent="0.35">
      <c r="I9020" s="35"/>
      <c r="O9020" s="35"/>
    </row>
    <row r="9021" spans="9:15" x14ac:dyDescent="0.35">
      <c r="I9021" s="35"/>
      <c r="O9021" s="35"/>
    </row>
    <row r="9022" spans="9:15" x14ac:dyDescent="0.35">
      <c r="I9022" s="35"/>
      <c r="O9022" s="35"/>
    </row>
    <row r="9023" spans="9:15" x14ac:dyDescent="0.35">
      <c r="I9023" s="35"/>
      <c r="O9023" s="35"/>
    </row>
    <row r="9024" spans="9:15" x14ac:dyDescent="0.35">
      <c r="I9024" s="35"/>
      <c r="O9024" s="35"/>
    </row>
    <row r="9025" spans="9:15" x14ac:dyDescent="0.35">
      <c r="I9025" s="35"/>
      <c r="O9025" s="35"/>
    </row>
    <row r="9026" spans="9:15" x14ac:dyDescent="0.35">
      <c r="I9026" s="35"/>
      <c r="O9026" s="35"/>
    </row>
    <row r="9027" spans="9:15" x14ac:dyDescent="0.35">
      <c r="I9027" s="35"/>
      <c r="O9027" s="35"/>
    </row>
    <row r="9028" spans="9:15" x14ac:dyDescent="0.35">
      <c r="I9028" s="35"/>
      <c r="O9028" s="35"/>
    </row>
    <row r="9029" spans="9:15" x14ac:dyDescent="0.35">
      <c r="I9029" s="35"/>
      <c r="O9029" s="35"/>
    </row>
    <row r="9030" spans="9:15" x14ac:dyDescent="0.35">
      <c r="I9030" s="35"/>
      <c r="O9030" s="35"/>
    </row>
    <row r="9031" spans="9:15" x14ac:dyDescent="0.35">
      <c r="I9031" s="35"/>
      <c r="O9031" s="35"/>
    </row>
    <row r="9032" spans="9:15" x14ac:dyDescent="0.35">
      <c r="I9032" s="35"/>
      <c r="O9032" s="35"/>
    </row>
    <row r="9033" spans="9:15" x14ac:dyDescent="0.35">
      <c r="I9033" s="35"/>
      <c r="O9033" s="35"/>
    </row>
    <row r="9034" spans="9:15" x14ac:dyDescent="0.35">
      <c r="I9034" s="35"/>
      <c r="O9034" s="35"/>
    </row>
    <row r="9035" spans="9:15" x14ac:dyDescent="0.35">
      <c r="I9035" s="35"/>
      <c r="O9035" s="35"/>
    </row>
    <row r="9036" spans="9:15" x14ac:dyDescent="0.35">
      <c r="I9036" s="35"/>
      <c r="O9036" s="35"/>
    </row>
    <row r="9037" spans="9:15" x14ac:dyDescent="0.35">
      <c r="I9037" s="35"/>
      <c r="O9037" s="35"/>
    </row>
    <row r="9038" spans="9:15" x14ac:dyDescent="0.35">
      <c r="I9038" s="35"/>
      <c r="O9038" s="35"/>
    </row>
    <row r="9039" spans="9:15" x14ac:dyDescent="0.35">
      <c r="I9039" s="35"/>
      <c r="O9039" s="35"/>
    </row>
    <row r="9040" spans="9:15" x14ac:dyDescent="0.35">
      <c r="I9040" s="35"/>
      <c r="O9040" s="35"/>
    </row>
    <row r="9041" spans="9:15" x14ac:dyDescent="0.35">
      <c r="I9041" s="35"/>
      <c r="O9041" s="35"/>
    </row>
    <row r="9042" spans="9:15" x14ac:dyDescent="0.35">
      <c r="I9042" s="35"/>
      <c r="O9042" s="35"/>
    </row>
    <row r="9043" spans="9:15" x14ac:dyDescent="0.35">
      <c r="I9043" s="35"/>
      <c r="O9043" s="35"/>
    </row>
    <row r="9044" spans="9:15" x14ac:dyDescent="0.35">
      <c r="I9044" s="35"/>
      <c r="O9044" s="35"/>
    </row>
    <row r="9045" spans="9:15" x14ac:dyDescent="0.35">
      <c r="I9045" s="35"/>
      <c r="O9045" s="35"/>
    </row>
    <row r="9046" spans="9:15" x14ac:dyDescent="0.35">
      <c r="I9046" s="35"/>
      <c r="O9046" s="35"/>
    </row>
    <row r="9047" spans="9:15" x14ac:dyDescent="0.35">
      <c r="I9047" s="35"/>
      <c r="O9047" s="35"/>
    </row>
    <row r="9048" spans="9:15" x14ac:dyDescent="0.35">
      <c r="I9048" s="35"/>
      <c r="O9048" s="35"/>
    </row>
    <row r="9049" spans="9:15" x14ac:dyDescent="0.35">
      <c r="I9049" s="35"/>
      <c r="O9049" s="35"/>
    </row>
    <row r="9050" spans="9:15" x14ac:dyDescent="0.35">
      <c r="I9050" s="35"/>
      <c r="O9050" s="35"/>
    </row>
    <row r="9051" spans="9:15" x14ac:dyDescent="0.35">
      <c r="I9051" s="35"/>
      <c r="O9051" s="35"/>
    </row>
    <row r="9052" spans="9:15" x14ac:dyDescent="0.35">
      <c r="I9052" s="35"/>
      <c r="O9052" s="35"/>
    </row>
    <row r="9053" spans="9:15" x14ac:dyDescent="0.35">
      <c r="I9053" s="35"/>
      <c r="O9053" s="35"/>
    </row>
    <row r="9054" spans="9:15" x14ac:dyDescent="0.35">
      <c r="I9054" s="35"/>
      <c r="O9054" s="35"/>
    </row>
    <row r="9055" spans="9:15" x14ac:dyDescent="0.35">
      <c r="I9055" s="35"/>
      <c r="O9055" s="35"/>
    </row>
    <row r="9056" spans="9:15" x14ac:dyDescent="0.35">
      <c r="I9056" s="35"/>
      <c r="O9056" s="35"/>
    </row>
    <row r="9057" spans="9:15" x14ac:dyDescent="0.35">
      <c r="I9057" s="35"/>
      <c r="O9057" s="35"/>
    </row>
    <row r="9058" spans="9:15" x14ac:dyDescent="0.35">
      <c r="I9058" s="35"/>
      <c r="O9058" s="35"/>
    </row>
    <row r="9059" spans="9:15" x14ac:dyDescent="0.35">
      <c r="I9059" s="35"/>
      <c r="O9059" s="35"/>
    </row>
    <row r="9060" spans="9:15" x14ac:dyDescent="0.35">
      <c r="I9060" s="35"/>
      <c r="O9060" s="35"/>
    </row>
    <row r="9061" spans="9:15" x14ac:dyDescent="0.35">
      <c r="I9061" s="35"/>
      <c r="O9061" s="35"/>
    </row>
    <row r="9062" spans="9:15" x14ac:dyDescent="0.35">
      <c r="I9062" s="35"/>
      <c r="O9062" s="35"/>
    </row>
    <row r="9063" spans="9:15" x14ac:dyDescent="0.35">
      <c r="I9063" s="35"/>
      <c r="O9063" s="35"/>
    </row>
    <row r="9064" spans="9:15" x14ac:dyDescent="0.35">
      <c r="I9064" s="35"/>
      <c r="O9064" s="35"/>
    </row>
    <row r="9065" spans="9:15" x14ac:dyDescent="0.35">
      <c r="I9065" s="35"/>
      <c r="O9065" s="35"/>
    </row>
    <row r="9066" spans="9:15" x14ac:dyDescent="0.35">
      <c r="I9066" s="35"/>
      <c r="O9066" s="35"/>
    </row>
    <row r="9067" spans="9:15" x14ac:dyDescent="0.35">
      <c r="I9067" s="35"/>
      <c r="O9067" s="35"/>
    </row>
    <row r="9068" spans="9:15" x14ac:dyDescent="0.35">
      <c r="I9068" s="35"/>
      <c r="O9068" s="35"/>
    </row>
    <row r="9069" spans="9:15" x14ac:dyDescent="0.35">
      <c r="I9069" s="35"/>
      <c r="O9069" s="35"/>
    </row>
    <row r="9070" spans="9:15" x14ac:dyDescent="0.35">
      <c r="I9070" s="35"/>
      <c r="O9070" s="35"/>
    </row>
    <row r="9071" spans="9:15" x14ac:dyDescent="0.35">
      <c r="I9071" s="35"/>
      <c r="O9071" s="35"/>
    </row>
    <row r="9072" spans="9:15" x14ac:dyDescent="0.35">
      <c r="I9072" s="35"/>
      <c r="O9072" s="35"/>
    </row>
    <row r="9073" spans="9:15" x14ac:dyDescent="0.35">
      <c r="I9073" s="35"/>
      <c r="O9073" s="35"/>
    </row>
    <row r="9074" spans="9:15" x14ac:dyDescent="0.35">
      <c r="I9074" s="35"/>
      <c r="O9074" s="35"/>
    </row>
    <row r="9075" spans="9:15" x14ac:dyDescent="0.35">
      <c r="I9075" s="35"/>
      <c r="O9075" s="35"/>
    </row>
    <row r="9076" spans="9:15" x14ac:dyDescent="0.35">
      <c r="I9076" s="35"/>
      <c r="O9076" s="35"/>
    </row>
    <row r="9077" spans="9:15" x14ac:dyDescent="0.35">
      <c r="I9077" s="35"/>
      <c r="O9077" s="35"/>
    </row>
    <row r="9078" spans="9:15" x14ac:dyDescent="0.35">
      <c r="I9078" s="35"/>
      <c r="O9078" s="35"/>
    </row>
    <row r="9079" spans="9:15" x14ac:dyDescent="0.35">
      <c r="I9079" s="35"/>
      <c r="O9079" s="35"/>
    </row>
    <row r="9080" spans="9:15" x14ac:dyDescent="0.35">
      <c r="I9080" s="35"/>
      <c r="O9080" s="35"/>
    </row>
    <row r="9081" spans="9:15" x14ac:dyDescent="0.35">
      <c r="I9081" s="35"/>
      <c r="O9081" s="35"/>
    </row>
    <row r="9082" spans="9:15" x14ac:dyDescent="0.35">
      <c r="I9082" s="35"/>
      <c r="O9082" s="35"/>
    </row>
    <row r="9083" spans="9:15" x14ac:dyDescent="0.35">
      <c r="I9083" s="35"/>
      <c r="O9083" s="35"/>
    </row>
    <row r="9084" spans="9:15" x14ac:dyDescent="0.35">
      <c r="I9084" s="35"/>
      <c r="O9084" s="35"/>
    </row>
    <row r="9085" spans="9:15" x14ac:dyDescent="0.35">
      <c r="I9085" s="35"/>
      <c r="O9085" s="35"/>
    </row>
    <row r="9086" spans="9:15" x14ac:dyDescent="0.35">
      <c r="I9086" s="35"/>
      <c r="O9086" s="35"/>
    </row>
    <row r="9087" spans="9:15" x14ac:dyDescent="0.35">
      <c r="I9087" s="35"/>
      <c r="O9087" s="35"/>
    </row>
    <row r="9088" spans="9:15" x14ac:dyDescent="0.35">
      <c r="I9088" s="35"/>
      <c r="O9088" s="35"/>
    </row>
    <row r="9089" spans="9:15" x14ac:dyDescent="0.35">
      <c r="I9089" s="35"/>
      <c r="O9089" s="35"/>
    </row>
    <row r="9090" spans="9:15" x14ac:dyDescent="0.35">
      <c r="I9090" s="35"/>
      <c r="O9090" s="35"/>
    </row>
    <row r="9091" spans="9:15" x14ac:dyDescent="0.35">
      <c r="I9091" s="35"/>
      <c r="O9091" s="35"/>
    </row>
    <row r="9092" spans="9:15" x14ac:dyDescent="0.35">
      <c r="I9092" s="35"/>
      <c r="O9092" s="35"/>
    </row>
    <row r="9093" spans="9:15" x14ac:dyDescent="0.35">
      <c r="I9093" s="35"/>
      <c r="O9093" s="35"/>
    </row>
    <row r="9094" spans="9:15" x14ac:dyDescent="0.35">
      <c r="I9094" s="35"/>
      <c r="O9094" s="35"/>
    </row>
    <row r="9095" spans="9:15" x14ac:dyDescent="0.35">
      <c r="I9095" s="35"/>
      <c r="O9095" s="35"/>
    </row>
    <row r="9096" spans="9:15" x14ac:dyDescent="0.35">
      <c r="I9096" s="35"/>
      <c r="O9096" s="35"/>
    </row>
    <row r="9097" spans="9:15" x14ac:dyDescent="0.35">
      <c r="I9097" s="35"/>
      <c r="O9097" s="35"/>
    </row>
    <row r="9098" spans="9:15" x14ac:dyDescent="0.35">
      <c r="I9098" s="35"/>
      <c r="O9098" s="35"/>
    </row>
    <row r="9099" spans="9:15" x14ac:dyDescent="0.35">
      <c r="I9099" s="35"/>
      <c r="O9099" s="35"/>
    </row>
    <row r="9100" spans="9:15" x14ac:dyDescent="0.35">
      <c r="I9100" s="35"/>
      <c r="O9100" s="35"/>
    </row>
    <row r="9101" spans="9:15" x14ac:dyDescent="0.35">
      <c r="I9101" s="35"/>
      <c r="O9101" s="35"/>
    </row>
    <row r="9102" spans="9:15" x14ac:dyDescent="0.35">
      <c r="I9102" s="35"/>
      <c r="O9102" s="35"/>
    </row>
    <row r="9103" spans="9:15" x14ac:dyDescent="0.35">
      <c r="I9103" s="35"/>
      <c r="O9103" s="35"/>
    </row>
    <row r="9104" spans="9:15" x14ac:dyDescent="0.35">
      <c r="I9104" s="35"/>
      <c r="O9104" s="35"/>
    </row>
    <row r="9105" spans="9:15" x14ac:dyDescent="0.35">
      <c r="I9105" s="35"/>
      <c r="O9105" s="35"/>
    </row>
    <row r="9106" spans="9:15" x14ac:dyDescent="0.35">
      <c r="I9106" s="35"/>
      <c r="O9106" s="35"/>
    </row>
    <row r="9107" spans="9:15" x14ac:dyDescent="0.35">
      <c r="I9107" s="35"/>
      <c r="O9107" s="35"/>
    </row>
    <row r="9108" spans="9:15" x14ac:dyDescent="0.35">
      <c r="I9108" s="35"/>
      <c r="O9108" s="35"/>
    </row>
    <row r="9109" spans="9:15" x14ac:dyDescent="0.35">
      <c r="I9109" s="35"/>
      <c r="O9109" s="35"/>
    </row>
    <row r="9110" spans="9:15" x14ac:dyDescent="0.35">
      <c r="I9110" s="35"/>
      <c r="O9110" s="35"/>
    </row>
    <row r="9111" spans="9:15" x14ac:dyDescent="0.35">
      <c r="I9111" s="35"/>
      <c r="O9111" s="35"/>
    </row>
    <row r="9112" spans="9:15" x14ac:dyDescent="0.35">
      <c r="I9112" s="35"/>
      <c r="O9112" s="35"/>
    </row>
    <row r="9113" spans="9:15" x14ac:dyDescent="0.35">
      <c r="I9113" s="35"/>
      <c r="O9113" s="35"/>
    </row>
    <row r="9114" spans="9:15" x14ac:dyDescent="0.35">
      <c r="I9114" s="35"/>
      <c r="O9114" s="35"/>
    </row>
    <row r="9115" spans="9:15" x14ac:dyDescent="0.35">
      <c r="I9115" s="35"/>
      <c r="O9115" s="35"/>
    </row>
    <row r="9116" spans="9:15" x14ac:dyDescent="0.35">
      <c r="I9116" s="35"/>
      <c r="O9116" s="35"/>
    </row>
    <row r="9117" spans="9:15" x14ac:dyDescent="0.35">
      <c r="I9117" s="35"/>
      <c r="O9117" s="35"/>
    </row>
    <row r="9118" spans="9:15" x14ac:dyDescent="0.35">
      <c r="I9118" s="35"/>
      <c r="O9118" s="35"/>
    </row>
    <row r="9119" spans="9:15" x14ac:dyDescent="0.35">
      <c r="I9119" s="35"/>
      <c r="O9119" s="35"/>
    </row>
    <row r="9120" spans="9:15" x14ac:dyDescent="0.35">
      <c r="I9120" s="35"/>
      <c r="O9120" s="35"/>
    </row>
    <row r="9121" spans="9:15" x14ac:dyDescent="0.35">
      <c r="I9121" s="35"/>
      <c r="O9121" s="35"/>
    </row>
    <row r="9122" spans="9:15" x14ac:dyDescent="0.35">
      <c r="I9122" s="35"/>
      <c r="O9122" s="35"/>
    </row>
    <row r="9123" spans="9:15" x14ac:dyDescent="0.35">
      <c r="I9123" s="35"/>
      <c r="O9123" s="35"/>
    </row>
    <row r="9124" spans="9:15" x14ac:dyDescent="0.35">
      <c r="I9124" s="35"/>
      <c r="O9124" s="35"/>
    </row>
    <row r="9125" spans="9:15" x14ac:dyDescent="0.35">
      <c r="I9125" s="35"/>
      <c r="O9125" s="35"/>
    </row>
    <row r="9126" spans="9:15" x14ac:dyDescent="0.35">
      <c r="I9126" s="35"/>
      <c r="O9126" s="35"/>
    </row>
    <row r="9127" spans="9:15" x14ac:dyDescent="0.35">
      <c r="I9127" s="35"/>
      <c r="O9127" s="35"/>
    </row>
    <row r="9128" spans="9:15" x14ac:dyDescent="0.35">
      <c r="I9128" s="35"/>
      <c r="O9128" s="35"/>
    </row>
    <row r="9129" spans="9:15" x14ac:dyDescent="0.35">
      <c r="I9129" s="35"/>
      <c r="O9129" s="35"/>
    </row>
    <row r="9130" spans="9:15" x14ac:dyDescent="0.35">
      <c r="I9130" s="35"/>
      <c r="O9130" s="35"/>
    </row>
    <row r="9131" spans="9:15" x14ac:dyDescent="0.35">
      <c r="I9131" s="35"/>
      <c r="O9131" s="35"/>
    </row>
    <row r="9132" spans="9:15" x14ac:dyDescent="0.35">
      <c r="I9132" s="35"/>
      <c r="O9132" s="35"/>
    </row>
    <row r="9133" spans="9:15" x14ac:dyDescent="0.35">
      <c r="I9133" s="35"/>
      <c r="O9133" s="35"/>
    </row>
    <row r="9134" spans="9:15" x14ac:dyDescent="0.35">
      <c r="I9134" s="35"/>
      <c r="O9134" s="35"/>
    </row>
    <row r="9135" spans="9:15" x14ac:dyDescent="0.35">
      <c r="I9135" s="35"/>
      <c r="O9135" s="35"/>
    </row>
    <row r="9136" spans="9:15" x14ac:dyDescent="0.35">
      <c r="I9136" s="35"/>
      <c r="O9136" s="35"/>
    </row>
    <row r="9137" spans="9:15" x14ac:dyDescent="0.35">
      <c r="I9137" s="35"/>
      <c r="O9137" s="35"/>
    </row>
    <row r="9138" spans="9:15" x14ac:dyDescent="0.35">
      <c r="I9138" s="35"/>
      <c r="O9138" s="35"/>
    </row>
    <row r="9139" spans="9:15" x14ac:dyDescent="0.35">
      <c r="I9139" s="35"/>
      <c r="O9139" s="35"/>
    </row>
    <row r="9140" spans="9:15" x14ac:dyDescent="0.35">
      <c r="I9140" s="35"/>
      <c r="O9140" s="35"/>
    </row>
    <row r="9141" spans="9:15" x14ac:dyDescent="0.35">
      <c r="I9141" s="35"/>
      <c r="O9141" s="35"/>
    </row>
    <row r="9142" spans="9:15" x14ac:dyDescent="0.35">
      <c r="I9142" s="35"/>
      <c r="O9142" s="35"/>
    </row>
    <row r="9143" spans="9:15" x14ac:dyDescent="0.35">
      <c r="I9143" s="35"/>
      <c r="O9143" s="35"/>
    </row>
    <row r="9144" spans="9:15" x14ac:dyDescent="0.35">
      <c r="I9144" s="35"/>
      <c r="O9144" s="35"/>
    </row>
    <row r="9145" spans="9:15" x14ac:dyDescent="0.35">
      <c r="I9145" s="35"/>
      <c r="O9145" s="35"/>
    </row>
    <row r="9146" spans="9:15" x14ac:dyDescent="0.35">
      <c r="I9146" s="35"/>
      <c r="O9146" s="35"/>
    </row>
    <row r="9147" spans="9:15" x14ac:dyDescent="0.35">
      <c r="I9147" s="35"/>
      <c r="O9147" s="35"/>
    </row>
    <row r="9148" spans="9:15" x14ac:dyDescent="0.35">
      <c r="I9148" s="35"/>
      <c r="O9148" s="35"/>
    </row>
    <row r="9149" spans="9:15" x14ac:dyDescent="0.35">
      <c r="I9149" s="35"/>
      <c r="O9149" s="35"/>
    </row>
    <row r="9150" spans="9:15" x14ac:dyDescent="0.35">
      <c r="I9150" s="35"/>
      <c r="O9150" s="35"/>
    </row>
    <row r="9151" spans="9:15" x14ac:dyDescent="0.35">
      <c r="I9151" s="35"/>
      <c r="O9151" s="35"/>
    </row>
    <row r="9152" spans="9:15" x14ac:dyDescent="0.35">
      <c r="I9152" s="35"/>
      <c r="O9152" s="35"/>
    </row>
    <row r="9153" spans="9:15" x14ac:dyDescent="0.35">
      <c r="I9153" s="35"/>
      <c r="O9153" s="35"/>
    </row>
    <row r="9154" spans="9:15" x14ac:dyDescent="0.35">
      <c r="I9154" s="35"/>
      <c r="O9154" s="35"/>
    </row>
    <row r="9155" spans="9:15" x14ac:dyDescent="0.35">
      <c r="I9155" s="35"/>
      <c r="O9155" s="35"/>
    </row>
    <row r="9156" spans="9:15" x14ac:dyDescent="0.35">
      <c r="I9156" s="35"/>
      <c r="O9156" s="35"/>
    </row>
    <row r="9157" spans="9:15" x14ac:dyDescent="0.35">
      <c r="I9157" s="35"/>
      <c r="O9157" s="35"/>
    </row>
    <row r="9158" spans="9:15" x14ac:dyDescent="0.35">
      <c r="I9158" s="35"/>
      <c r="O9158" s="35"/>
    </row>
    <row r="9159" spans="9:15" x14ac:dyDescent="0.35">
      <c r="I9159" s="35"/>
      <c r="O9159" s="35"/>
    </row>
    <row r="9160" spans="9:15" x14ac:dyDescent="0.35">
      <c r="I9160" s="35"/>
      <c r="O9160" s="35"/>
    </row>
    <row r="9161" spans="9:15" x14ac:dyDescent="0.35">
      <c r="I9161" s="35"/>
      <c r="O9161" s="35"/>
    </row>
    <row r="9162" spans="9:15" x14ac:dyDescent="0.35">
      <c r="I9162" s="35"/>
      <c r="O9162" s="35"/>
    </row>
    <row r="9163" spans="9:15" x14ac:dyDescent="0.35">
      <c r="I9163" s="35"/>
      <c r="O9163" s="35"/>
    </row>
    <row r="9164" spans="9:15" x14ac:dyDescent="0.35">
      <c r="I9164" s="35"/>
      <c r="O9164" s="35"/>
    </row>
    <row r="9165" spans="9:15" x14ac:dyDescent="0.35">
      <c r="I9165" s="35"/>
      <c r="O9165" s="35"/>
    </row>
    <row r="9166" spans="9:15" x14ac:dyDescent="0.35">
      <c r="I9166" s="35"/>
      <c r="O9166" s="35"/>
    </row>
    <row r="9167" spans="9:15" x14ac:dyDescent="0.35">
      <c r="I9167" s="35"/>
      <c r="O9167" s="35"/>
    </row>
    <row r="9168" spans="9:15" x14ac:dyDescent="0.35">
      <c r="I9168" s="35"/>
      <c r="O9168" s="35"/>
    </row>
    <row r="9169" spans="9:15" x14ac:dyDescent="0.35">
      <c r="I9169" s="35"/>
      <c r="O9169" s="35"/>
    </row>
    <row r="9170" spans="9:15" x14ac:dyDescent="0.35">
      <c r="I9170" s="35"/>
      <c r="O9170" s="35"/>
    </row>
    <row r="9171" spans="9:15" x14ac:dyDescent="0.35">
      <c r="I9171" s="35"/>
      <c r="O9171" s="35"/>
    </row>
    <row r="9172" spans="9:15" x14ac:dyDescent="0.35">
      <c r="I9172" s="35"/>
      <c r="O9172" s="35"/>
    </row>
    <row r="9173" spans="9:15" x14ac:dyDescent="0.35">
      <c r="I9173" s="35"/>
      <c r="O9173" s="35"/>
    </row>
    <row r="9174" spans="9:15" x14ac:dyDescent="0.35">
      <c r="I9174" s="35"/>
      <c r="O9174" s="35"/>
    </row>
    <row r="9175" spans="9:15" x14ac:dyDescent="0.35">
      <c r="I9175" s="35"/>
      <c r="O9175" s="35"/>
    </row>
    <row r="9176" spans="9:15" x14ac:dyDescent="0.35">
      <c r="I9176" s="35"/>
      <c r="O9176" s="35"/>
    </row>
    <row r="9177" spans="9:15" x14ac:dyDescent="0.35">
      <c r="I9177" s="35"/>
      <c r="O9177" s="35"/>
    </row>
    <row r="9178" spans="9:15" x14ac:dyDescent="0.35">
      <c r="I9178" s="35"/>
      <c r="O9178" s="35"/>
    </row>
    <row r="9179" spans="9:15" x14ac:dyDescent="0.35">
      <c r="I9179" s="35"/>
      <c r="O9179" s="35"/>
    </row>
    <row r="9180" spans="9:15" x14ac:dyDescent="0.35">
      <c r="I9180" s="35"/>
      <c r="O9180" s="35"/>
    </row>
    <row r="9181" spans="9:15" x14ac:dyDescent="0.35">
      <c r="I9181" s="35"/>
      <c r="O9181" s="35"/>
    </row>
    <row r="9182" spans="9:15" x14ac:dyDescent="0.35">
      <c r="I9182" s="35"/>
      <c r="O9182" s="35"/>
    </row>
    <row r="9183" spans="9:15" x14ac:dyDescent="0.35">
      <c r="I9183" s="35"/>
      <c r="O9183" s="35"/>
    </row>
    <row r="9184" spans="9:15" x14ac:dyDescent="0.35">
      <c r="I9184" s="35"/>
      <c r="O9184" s="35"/>
    </row>
    <row r="9185" spans="9:15" x14ac:dyDescent="0.35">
      <c r="I9185" s="35"/>
      <c r="O9185" s="35"/>
    </row>
    <row r="9186" spans="9:15" x14ac:dyDescent="0.35">
      <c r="I9186" s="35"/>
      <c r="O9186" s="35"/>
    </row>
    <row r="9187" spans="9:15" x14ac:dyDescent="0.35">
      <c r="I9187" s="35"/>
      <c r="O9187" s="35"/>
    </row>
    <row r="9188" spans="9:15" x14ac:dyDescent="0.35">
      <c r="I9188" s="35"/>
      <c r="O9188" s="35"/>
    </row>
    <row r="9189" spans="9:15" x14ac:dyDescent="0.35">
      <c r="I9189" s="35"/>
      <c r="O9189" s="35"/>
    </row>
    <row r="9190" spans="9:15" x14ac:dyDescent="0.35">
      <c r="I9190" s="35"/>
      <c r="O9190" s="35"/>
    </row>
    <row r="9191" spans="9:15" x14ac:dyDescent="0.35">
      <c r="I9191" s="35"/>
      <c r="O9191" s="35"/>
    </row>
    <row r="9192" spans="9:15" x14ac:dyDescent="0.35">
      <c r="I9192" s="35"/>
      <c r="O9192" s="35"/>
    </row>
    <row r="9193" spans="9:15" x14ac:dyDescent="0.35">
      <c r="I9193" s="35"/>
      <c r="O9193" s="35"/>
    </row>
    <row r="9194" spans="9:15" x14ac:dyDescent="0.35">
      <c r="I9194" s="35"/>
      <c r="O9194" s="35"/>
    </row>
    <row r="9195" spans="9:15" x14ac:dyDescent="0.35">
      <c r="I9195" s="35"/>
      <c r="O9195" s="35"/>
    </row>
    <row r="9196" spans="9:15" x14ac:dyDescent="0.35">
      <c r="I9196" s="35"/>
      <c r="O9196" s="35"/>
    </row>
    <row r="9197" spans="9:15" x14ac:dyDescent="0.35">
      <c r="I9197" s="35"/>
      <c r="O9197" s="35"/>
    </row>
    <row r="9198" spans="9:15" x14ac:dyDescent="0.35">
      <c r="I9198" s="35"/>
      <c r="O9198" s="35"/>
    </row>
    <row r="9199" spans="9:15" x14ac:dyDescent="0.35">
      <c r="I9199" s="35"/>
      <c r="O9199" s="35"/>
    </row>
    <row r="9200" spans="9:15" x14ac:dyDescent="0.35">
      <c r="I9200" s="35"/>
      <c r="O9200" s="35"/>
    </row>
    <row r="9201" spans="9:15" x14ac:dyDescent="0.35">
      <c r="I9201" s="35"/>
      <c r="O9201" s="35"/>
    </row>
    <row r="9202" spans="9:15" x14ac:dyDescent="0.35">
      <c r="I9202" s="35"/>
      <c r="O9202" s="35"/>
    </row>
    <row r="9203" spans="9:15" x14ac:dyDescent="0.35">
      <c r="I9203" s="35"/>
      <c r="O9203" s="35"/>
    </row>
    <row r="9204" spans="9:15" x14ac:dyDescent="0.35">
      <c r="I9204" s="35"/>
      <c r="O9204" s="35"/>
    </row>
    <row r="9205" spans="9:15" x14ac:dyDescent="0.35">
      <c r="I9205" s="35"/>
      <c r="O9205" s="35"/>
    </row>
    <row r="9206" spans="9:15" x14ac:dyDescent="0.35">
      <c r="I9206" s="35"/>
      <c r="O9206" s="35"/>
    </row>
    <row r="9207" spans="9:15" x14ac:dyDescent="0.35">
      <c r="I9207" s="35"/>
      <c r="O9207" s="35"/>
    </row>
    <row r="9208" spans="9:15" x14ac:dyDescent="0.35">
      <c r="I9208" s="35"/>
      <c r="O9208" s="35"/>
    </row>
    <row r="9209" spans="9:15" x14ac:dyDescent="0.35">
      <c r="I9209" s="35"/>
      <c r="O9209" s="35"/>
    </row>
    <row r="9210" spans="9:15" x14ac:dyDescent="0.35">
      <c r="I9210" s="35"/>
      <c r="O9210" s="35"/>
    </row>
    <row r="9211" spans="9:15" x14ac:dyDescent="0.35">
      <c r="I9211" s="35"/>
      <c r="O9211" s="35"/>
    </row>
    <row r="9212" spans="9:15" x14ac:dyDescent="0.35">
      <c r="I9212" s="35"/>
      <c r="O9212" s="35"/>
    </row>
    <row r="9213" spans="9:15" x14ac:dyDescent="0.35">
      <c r="I9213" s="35"/>
      <c r="O9213" s="35"/>
    </row>
    <row r="9214" spans="9:15" x14ac:dyDescent="0.35">
      <c r="I9214" s="35"/>
      <c r="O9214" s="35"/>
    </row>
    <row r="9215" spans="9:15" x14ac:dyDescent="0.35">
      <c r="I9215" s="35"/>
      <c r="O9215" s="35"/>
    </row>
    <row r="9216" spans="9:15" x14ac:dyDescent="0.35">
      <c r="I9216" s="35"/>
      <c r="O9216" s="35"/>
    </row>
    <row r="9217" spans="9:15" x14ac:dyDescent="0.35">
      <c r="I9217" s="35"/>
      <c r="O9217" s="35"/>
    </row>
    <row r="9218" spans="9:15" x14ac:dyDescent="0.35">
      <c r="I9218" s="35"/>
      <c r="O9218" s="35"/>
    </row>
    <row r="9219" spans="9:15" x14ac:dyDescent="0.35">
      <c r="I9219" s="35"/>
      <c r="O9219" s="35"/>
    </row>
    <row r="9220" spans="9:15" x14ac:dyDescent="0.35">
      <c r="I9220" s="35"/>
      <c r="O9220" s="35"/>
    </row>
    <row r="9221" spans="9:15" x14ac:dyDescent="0.35">
      <c r="I9221" s="35"/>
      <c r="O9221" s="35"/>
    </row>
    <row r="9222" spans="9:15" x14ac:dyDescent="0.35">
      <c r="I9222" s="35"/>
      <c r="O9222" s="35"/>
    </row>
    <row r="9223" spans="9:15" x14ac:dyDescent="0.35">
      <c r="I9223" s="35"/>
      <c r="O9223" s="35"/>
    </row>
    <row r="9224" spans="9:15" x14ac:dyDescent="0.35">
      <c r="I9224" s="35"/>
      <c r="O9224" s="35"/>
    </row>
    <row r="9225" spans="9:15" x14ac:dyDescent="0.35">
      <c r="I9225" s="35"/>
      <c r="O9225" s="35"/>
    </row>
    <row r="9226" spans="9:15" x14ac:dyDescent="0.35">
      <c r="I9226" s="35"/>
      <c r="O9226" s="35"/>
    </row>
    <row r="9227" spans="9:15" x14ac:dyDescent="0.35">
      <c r="I9227" s="35"/>
      <c r="O9227" s="35"/>
    </row>
    <row r="9228" spans="9:15" x14ac:dyDescent="0.35">
      <c r="I9228" s="35"/>
      <c r="O9228" s="35"/>
    </row>
    <row r="9229" spans="9:15" x14ac:dyDescent="0.35">
      <c r="I9229" s="35"/>
      <c r="O9229" s="35"/>
    </row>
    <row r="9230" spans="9:15" x14ac:dyDescent="0.35">
      <c r="I9230" s="35"/>
      <c r="O9230" s="35"/>
    </row>
    <row r="9231" spans="9:15" x14ac:dyDescent="0.35">
      <c r="I9231" s="35"/>
      <c r="O9231" s="35"/>
    </row>
    <row r="9232" spans="9:15" x14ac:dyDescent="0.35">
      <c r="I9232" s="35"/>
      <c r="O9232" s="35"/>
    </row>
    <row r="9233" spans="9:15" x14ac:dyDescent="0.35">
      <c r="I9233" s="35"/>
      <c r="O9233" s="35"/>
    </row>
    <row r="9234" spans="9:15" x14ac:dyDescent="0.35">
      <c r="I9234" s="35"/>
      <c r="O9234" s="35"/>
    </row>
    <row r="9235" spans="9:15" x14ac:dyDescent="0.35">
      <c r="I9235" s="35"/>
      <c r="O9235" s="35"/>
    </row>
    <row r="9236" spans="9:15" x14ac:dyDescent="0.35">
      <c r="I9236" s="35"/>
      <c r="O9236" s="35"/>
    </row>
    <row r="9237" spans="9:15" x14ac:dyDescent="0.35">
      <c r="I9237" s="35"/>
      <c r="O9237" s="35"/>
    </row>
    <row r="9238" spans="9:15" x14ac:dyDescent="0.35">
      <c r="I9238" s="35"/>
      <c r="O9238" s="35"/>
    </row>
    <row r="9239" spans="9:15" x14ac:dyDescent="0.35">
      <c r="I9239" s="35"/>
      <c r="O9239" s="35"/>
    </row>
    <row r="9240" spans="9:15" x14ac:dyDescent="0.35">
      <c r="I9240" s="35"/>
      <c r="O9240" s="35"/>
    </row>
    <row r="9241" spans="9:15" x14ac:dyDescent="0.35">
      <c r="I9241" s="35"/>
      <c r="O9241" s="35"/>
    </row>
    <row r="9242" spans="9:15" x14ac:dyDescent="0.35">
      <c r="I9242" s="35"/>
      <c r="O9242" s="35"/>
    </row>
    <row r="9243" spans="9:15" x14ac:dyDescent="0.35">
      <c r="I9243" s="35"/>
      <c r="O9243" s="35"/>
    </row>
    <row r="9244" spans="9:15" x14ac:dyDescent="0.35">
      <c r="I9244" s="35"/>
      <c r="O9244" s="35"/>
    </row>
    <row r="9245" spans="9:15" x14ac:dyDescent="0.35">
      <c r="I9245" s="35"/>
      <c r="O9245" s="35"/>
    </row>
    <row r="9246" spans="9:15" x14ac:dyDescent="0.35">
      <c r="I9246" s="35"/>
      <c r="O9246" s="35"/>
    </row>
    <row r="9247" spans="9:15" x14ac:dyDescent="0.35">
      <c r="I9247" s="35"/>
      <c r="O9247" s="35"/>
    </row>
    <row r="9248" spans="9:15" x14ac:dyDescent="0.35">
      <c r="I9248" s="35"/>
      <c r="O9248" s="35"/>
    </row>
    <row r="9249" spans="9:15" x14ac:dyDescent="0.35">
      <c r="I9249" s="35"/>
      <c r="O9249" s="35"/>
    </row>
    <row r="9250" spans="9:15" x14ac:dyDescent="0.35">
      <c r="I9250" s="35"/>
      <c r="O9250" s="35"/>
    </row>
    <row r="9251" spans="9:15" x14ac:dyDescent="0.35">
      <c r="I9251" s="35"/>
      <c r="O9251" s="35"/>
    </row>
    <row r="9252" spans="9:15" x14ac:dyDescent="0.35">
      <c r="I9252" s="35"/>
      <c r="O9252" s="35"/>
    </row>
    <row r="9253" spans="9:15" x14ac:dyDescent="0.35">
      <c r="I9253" s="35"/>
      <c r="O9253" s="35"/>
    </row>
    <row r="9254" spans="9:15" x14ac:dyDescent="0.35">
      <c r="I9254" s="35"/>
      <c r="O9254" s="35"/>
    </row>
    <row r="9255" spans="9:15" x14ac:dyDescent="0.35">
      <c r="I9255" s="35"/>
      <c r="O9255" s="35"/>
    </row>
    <row r="9256" spans="9:15" x14ac:dyDescent="0.35">
      <c r="I9256" s="35"/>
      <c r="O9256" s="35"/>
    </row>
    <row r="9257" spans="9:15" x14ac:dyDescent="0.35">
      <c r="I9257" s="35"/>
      <c r="O9257" s="35"/>
    </row>
    <row r="9258" spans="9:15" x14ac:dyDescent="0.35">
      <c r="I9258" s="35"/>
      <c r="O9258" s="35"/>
    </row>
    <row r="9259" spans="9:15" x14ac:dyDescent="0.35">
      <c r="I9259" s="35"/>
      <c r="O9259" s="35"/>
    </row>
    <row r="9260" spans="9:15" x14ac:dyDescent="0.35">
      <c r="I9260" s="35"/>
      <c r="O9260" s="35"/>
    </row>
    <row r="9261" spans="9:15" x14ac:dyDescent="0.35">
      <c r="I9261" s="35"/>
      <c r="O9261" s="35"/>
    </row>
    <row r="9262" spans="9:15" x14ac:dyDescent="0.35">
      <c r="I9262" s="35"/>
      <c r="O9262" s="35"/>
    </row>
    <row r="9263" spans="9:15" x14ac:dyDescent="0.35">
      <c r="I9263" s="35"/>
      <c r="O9263" s="35"/>
    </row>
    <row r="9264" spans="9:15" x14ac:dyDescent="0.35">
      <c r="I9264" s="35"/>
      <c r="O9264" s="35"/>
    </row>
    <row r="9265" spans="9:15" x14ac:dyDescent="0.35">
      <c r="I9265" s="35"/>
      <c r="O9265" s="35"/>
    </row>
    <row r="9266" spans="9:15" x14ac:dyDescent="0.35">
      <c r="I9266" s="35"/>
      <c r="O9266" s="35"/>
    </row>
    <row r="9267" spans="9:15" x14ac:dyDescent="0.35">
      <c r="I9267" s="35"/>
      <c r="O9267" s="35"/>
    </row>
    <row r="9268" spans="9:15" x14ac:dyDescent="0.35">
      <c r="I9268" s="35"/>
      <c r="O9268" s="35"/>
    </row>
    <row r="9269" spans="9:15" x14ac:dyDescent="0.35">
      <c r="I9269" s="35"/>
      <c r="O9269" s="35"/>
    </row>
    <row r="9270" spans="9:15" x14ac:dyDescent="0.35">
      <c r="I9270" s="35"/>
      <c r="O9270" s="35"/>
    </row>
    <row r="9271" spans="9:15" x14ac:dyDescent="0.35">
      <c r="I9271" s="35"/>
      <c r="O9271" s="35"/>
    </row>
    <row r="9272" spans="9:15" x14ac:dyDescent="0.35">
      <c r="I9272" s="35"/>
      <c r="O9272" s="35"/>
    </row>
    <row r="9273" spans="9:15" x14ac:dyDescent="0.35">
      <c r="I9273" s="35"/>
      <c r="O9273" s="35"/>
    </row>
    <row r="9274" spans="9:15" x14ac:dyDescent="0.35">
      <c r="I9274" s="35"/>
      <c r="O9274" s="35"/>
    </row>
    <row r="9275" spans="9:15" x14ac:dyDescent="0.35">
      <c r="I9275" s="35"/>
      <c r="O9275" s="35"/>
    </row>
    <row r="9276" spans="9:15" x14ac:dyDescent="0.35">
      <c r="I9276" s="35"/>
      <c r="O9276" s="35"/>
    </row>
    <row r="9277" spans="9:15" x14ac:dyDescent="0.35">
      <c r="I9277" s="35"/>
      <c r="O9277" s="35"/>
    </row>
    <row r="9278" spans="9:15" x14ac:dyDescent="0.35">
      <c r="I9278" s="35"/>
      <c r="O9278" s="35"/>
    </row>
    <row r="9279" spans="9:15" x14ac:dyDescent="0.35">
      <c r="I9279" s="35"/>
      <c r="O9279" s="35"/>
    </row>
    <row r="9280" spans="9:15" x14ac:dyDescent="0.35">
      <c r="I9280" s="35"/>
      <c r="O9280" s="35"/>
    </row>
    <row r="9281" spans="9:15" x14ac:dyDescent="0.35">
      <c r="I9281" s="35"/>
      <c r="O9281" s="35"/>
    </row>
    <row r="9282" spans="9:15" x14ac:dyDescent="0.35">
      <c r="I9282" s="35"/>
      <c r="O9282" s="35"/>
    </row>
    <row r="9283" spans="9:15" x14ac:dyDescent="0.35">
      <c r="I9283" s="35"/>
      <c r="O9283" s="35"/>
    </row>
    <row r="9284" spans="9:15" x14ac:dyDescent="0.35">
      <c r="I9284" s="35"/>
      <c r="O9284" s="35"/>
    </row>
    <row r="9285" spans="9:15" x14ac:dyDescent="0.35">
      <c r="I9285" s="35"/>
      <c r="O9285" s="35"/>
    </row>
    <row r="9286" spans="9:15" x14ac:dyDescent="0.35">
      <c r="I9286" s="35"/>
      <c r="O9286" s="35"/>
    </row>
    <row r="9287" spans="9:15" x14ac:dyDescent="0.35">
      <c r="I9287" s="35"/>
      <c r="O9287" s="35"/>
    </row>
    <row r="9288" spans="9:15" x14ac:dyDescent="0.35">
      <c r="I9288" s="35"/>
      <c r="O9288" s="35"/>
    </row>
    <row r="9289" spans="9:15" x14ac:dyDescent="0.35">
      <c r="I9289" s="35"/>
      <c r="O9289" s="35"/>
    </row>
    <row r="9290" spans="9:15" x14ac:dyDescent="0.35">
      <c r="I9290" s="35"/>
      <c r="O9290" s="35"/>
    </row>
    <row r="9291" spans="9:15" x14ac:dyDescent="0.35">
      <c r="I9291" s="35"/>
      <c r="O9291" s="35"/>
    </row>
    <row r="9292" spans="9:15" x14ac:dyDescent="0.35">
      <c r="I9292" s="35"/>
      <c r="O9292" s="35"/>
    </row>
    <row r="9293" spans="9:15" x14ac:dyDescent="0.35">
      <c r="I9293" s="35"/>
      <c r="O9293" s="35"/>
    </row>
    <row r="9294" spans="9:15" x14ac:dyDescent="0.35">
      <c r="I9294" s="35"/>
      <c r="O9294" s="35"/>
    </row>
    <row r="9295" spans="9:15" x14ac:dyDescent="0.35">
      <c r="I9295" s="35"/>
      <c r="O9295" s="35"/>
    </row>
    <row r="9296" spans="9:15" x14ac:dyDescent="0.35">
      <c r="I9296" s="35"/>
      <c r="O9296" s="35"/>
    </row>
    <row r="9297" spans="9:15" x14ac:dyDescent="0.35">
      <c r="I9297" s="35"/>
      <c r="O9297" s="35"/>
    </row>
    <row r="9298" spans="9:15" x14ac:dyDescent="0.35">
      <c r="I9298" s="35"/>
      <c r="O9298" s="35"/>
    </row>
    <row r="9299" spans="9:15" x14ac:dyDescent="0.35">
      <c r="I9299" s="35"/>
      <c r="O9299" s="35"/>
    </row>
    <row r="9300" spans="9:15" x14ac:dyDescent="0.35">
      <c r="I9300" s="35"/>
      <c r="O9300" s="35"/>
    </row>
    <row r="9301" spans="9:15" x14ac:dyDescent="0.35">
      <c r="I9301" s="35"/>
      <c r="O9301" s="35"/>
    </row>
    <row r="9302" spans="9:15" x14ac:dyDescent="0.35">
      <c r="I9302" s="35"/>
      <c r="O9302" s="35"/>
    </row>
    <row r="9303" spans="9:15" x14ac:dyDescent="0.35">
      <c r="I9303" s="35"/>
      <c r="O9303" s="35"/>
    </row>
    <row r="9304" spans="9:15" x14ac:dyDescent="0.35">
      <c r="I9304" s="35"/>
      <c r="O9304" s="35"/>
    </row>
    <row r="9305" spans="9:15" x14ac:dyDescent="0.35">
      <c r="I9305" s="35"/>
      <c r="O9305" s="35"/>
    </row>
    <row r="9306" spans="9:15" x14ac:dyDescent="0.35">
      <c r="I9306" s="35"/>
      <c r="O9306" s="35"/>
    </row>
    <row r="9307" spans="9:15" x14ac:dyDescent="0.35">
      <c r="I9307" s="35"/>
      <c r="O9307" s="35"/>
    </row>
    <row r="9308" spans="9:15" x14ac:dyDescent="0.35">
      <c r="I9308" s="35"/>
      <c r="O9308" s="35"/>
    </row>
    <row r="9309" spans="9:15" x14ac:dyDescent="0.35">
      <c r="I9309" s="35"/>
      <c r="O9309" s="35"/>
    </row>
    <row r="9310" spans="9:15" x14ac:dyDescent="0.35">
      <c r="I9310" s="35"/>
      <c r="O9310" s="35"/>
    </row>
    <row r="9311" spans="9:15" x14ac:dyDescent="0.35">
      <c r="I9311" s="35"/>
      <c r="O9311" s="35"/>
    </row>
    <row r="9312" spans="9:15" x14ac:dyDescent="0.35">
      <c r="I9312" s="35"/>
      <c r="O9312" s="35"/>
    </row>
    <row r="9313" spans="9:15" x14ac:dyDescent="0.35">
      <c r="I9313" s="35"/>
      <c r="O9313" s="35"/>
    </row>
    <row r="9314" spans="9:15" x14ac:dyDescent="0.35">
      <c r="I9314" s="35"/>
      <c r="O9314" s="35"/>
    </row>
    <row r="9315" spans="9:15" x14ac:dyDescent="0.35">
      <c r="I9315" s="35"/>
      <c r="O9315" s="35"/>
    </row>
    <row r="9316" spans="9:15" x14ac:dyDescent="0.35">
      <c r="I9316" s="35"/>
      <c r="O9316" s="35"/>
    </row>
    <row r="9317" spans="9:15" x14ac:dyDescent="0.35">
      <c r="I9317" s="35"/>
      <c r="O9317" s="35"/>
    </row>
    <row r="9318" spans="9:15" x14ac:dyDescent="0.35">
      <c r="I9318" s="35"/>
      <c r="O9318" s="35"/>
    </row>
    <row r="9319" spans="9:15" x14ac:dyDescent="0.35">
      <c r="I9319" s="35"/>
      <c r="O9319" s="35"/>
    </row>
    <row r="9320" spans="9:15" x14ac:dyDescent="0.35">
      <c r="I9320" s="35"/>
      <c r="O9320" s="35"/>
    </row>
    <row r="9321" spans="9:15" x14ac:dyDescent="0.35">
      <c r="I9321" s="35"/>
      <c r="O9321" s="35"/>
    </row>
    <row r="9322" spans="9:15" x14ac:dyDescent="0.35">
      <c r="I9322" s="35"/>
      <c r="O9322" s="35"/>
    </row>
    <row r="9323" spans="9:15" x14ac:dyDescent="0.35">
      <c r="I9323" s="35"/>
      <c r="O9323" s="35"/>
    </row>
    <row r="9324" spans="9:15" x14ac:dyDescent="0.35">
      <c r="I9324" s="35"/>
      <c r="O9324" s="35"/>
    </row>
    <row r="9325" spans="9:15" x14ac:dyDescent="0.35">
      <c r="I9325" s="35"/>
      <c r="O9325" s="35"/>
    </row>
    <row r="9326" spans="9:15" x14ac:dyDescent="0.35">
      <c r="I9326" s="35"/>
      <c r="O9326" s="35"/>
    </row>
    <row r="9327" spans="9:15" x14ac:dyDescent="0.35">
      <c r="I9327" s="35"/>
      <c r="O9327" s="35"/>
    </row>
    <row r="9328" spans="9:15" x14ac:dyDescent="0.35">
      <c r="I9328" s="35"/>
      <c r="O9328" s="35"/>
    </row>
    <row r="9329" spans="9:15" x14ac:dyDescent="0.35">
      <c r="I9329" s="35"/>
      <c r="O9329" s="35"/>
    </row>
    <row r="9330" spans="9:15" x14ac:dyDescent="0.35">
      <c r="I9330" s="35"/>
      <c r="O9330" s="35"/>
    </row>
    <row r="9331" spans="9:15" x14ac:dyDescent="0.35">
      <c r="I9331" s="35"/>
      <c r="O9331" s="35"/>
    </row>
    <row r="9332" spans="9:15" x14ac:dyDescent="0.35">
      <c r="I9332" s="35"/>
      <c r="O9332" s="35"/>
    </row>
    <row r="9333" spans="9:15" x14ac:dyDescent="0.35">
      <c r="I9333" s="35"/>
      <c r="O9333" s="35"/>
    </row>
    <row r="9334" spans="9:15" x14ac:dyDescent="0.35">
      <c r="I9334" s="35"/>
      <c r="O9334" s="35"/>
    </row>
    <row r="9335" spans="9:15" x14ac:dyDescent="0.35">
      <c r="I9335" s="35"/>
      <c r="O9335" s="35"/>
    </row>
    <row r="9336" spans="9:15" x14ac:dyDescent="0.35">
      <c r="I9336" s="35"/>
      <c r="O9336" s="35"/>
    </row>
    <row r="9337" spans="9:15" x14ac:dyDescent="0.35">
      <c r="I9337" s="35"/>
      <c r="O9337" s="35"/>
    </row>
    <row r="9338" spans="9:15" x14ac:dyDescent="0.35">
      <c r="I9338" s="35"/>
      <c r="O9338" s="35"/>
    </row>
    <row r="9339" spans="9:15" x14ac:dyDescent="0.35">
      <c r="I9339" s="35"/>
      <c r="O9339" s="35"/>
    </row>
    <row r="9340" spans="9:15" x14ac:dyDescent="0.35">
      <c r="I9340" s="35"/>
      <c r="O9340" s="35"/>
    </row>
    <row r="9341" spans="9:15" x14ac:dyDescent="0.35">
      <c r="I9341" s="35"/>
      <c r="O9341" s="35"/>
    </row>
    <row r="9342" spans="9:15" x14ac:dyDescent="0.35">
      <c r="I9342" s="35"/>
      <c r="O9342" s="35"/>
    </row>
    <row r="9343" spans="9:15" x14ac:dyDescent="0.35">
      <c r="I9343" s="35"/>
      <c r="O9343" s="35"/>
    </row>
    <row r="9344" spans="9:15" x14ac:dyDescent="0.35">
      <c r="I9344" s="35"/>
      <c r="O9344" s="35"/>
    </row>
    <row r="9345" spans="9:15" x14ac:dyDescent="0.35">
      <c r="I9345" s="35"/>
      <c r="O9345" s="35"/>
    </row>
    <row r="9346" spans="9:15" x14ac:dyDescent="0.35">
      <c r="I9346" s="35"/>
      <c r="O9346" s="35"/>
    </row>
    <row r="9347" spans="9:15" x14ac:dyDescent="0.35">
      <c r="I9347" s="35"/>
      <c r="O9347" s="35"/>
    </row>
    <row r="9348" spans="9:15" x14ac:dyDescent="0.35">
      <c r="I9348" s="35"/>
      <c r="O9348" s="35"/>
    </row>
    <row r="9349" spans="9:15" x14ac:dyDescent="0.35">
      <c r="I9349" s="35"/>
      <c r="O9349" s="35"/>
    </row>
    <row r="9350" spans="9:15" x14ac:dyDescent="0.35">
      <c r="I9350" s="35"/>
      <c r="O9350" s="35"/>
    </row>
    <row r="9351" spans="9:15" x14ac:dyDescent="0.35">
      <c r="I9351" s="35"/>
      <c r="O9351" s="35"/>
    </row>
    <row r="9352" spans="9:15" x14ac:dyDescent="0.35">
      <c r="I9352" s="35"/>
      <c r="O9352" s="35"/>
    </row>
    <row r="9353" spans="9:15" x14ac:dyDescent="0.35">
      <c r="I9353" s="35"/>
      <c r="O9353" s="35"/>
    </row>
    <row r="9354" spans="9:15" x14ac:dyDescent="0.35">
      <c r="I9354" s="35"/>
      <c r="O9354" s="35"/>
    </row>
    <row r="9355" spans="9:15" x14ac:dyDescent="0.35">
      <c r="I9355" s="35"/>
      <c r="O9355" s="35"/>
    </row>
    <row r="9356" spans="9:15" x14ac:dyDescent="0.35">
      <c r="I9356" s="35"/>
      <c r="O9356" s="35"/>
    </row>
    <row r="9357" spans="9:15" x14ac:dyDescent="0.35">
      <c r="I9357" s="35"/>
      <c r="O9357" s="35"/>
    </row>
    <row r="9358" spans="9:15" x14ac:dyDescent="0.35">
      <c r="I9358" s="35"/>
      <c r="O9358" s="35"/>
    </row>
    <row r="9359" spans="9:15" x14ac:dyDescent="0.35">
      <c r="I9359" s="35"/>
      <c r="O9359" s="35"/>
    </row>
    <row r="9360" spans="9:15" x14ac:dyDescent="0.35">
      <c r="I9360" s="35"/>
      <c r="O9360" s="35"/>
    </row>
    <row r="9361" spans="9:15" x14ac:dyDescent="0.35">
      <c r="I9361" s="35"/>
      <c r="O9361" s="35"/>
    </row>
    <row r="9362" spans="9:15" x14ac:dyDescent="0.35">
      <c r="I9362" s="35"/>
      <c r="O9362" s="35"/>
    </row>
    <row r="9363" spans="9:15" x14ac:dyDescent="0.35">
      <c r="I9363" s="35"/>
      <c r="O9363" s="35"/>
    </row>
    <row r="9364" spans="9:15" x14ac:dyDescent="0.35">
      <c r="I9364" s="35"/>
      <c r="O9364" s="35"/>
    </row>
    <row r="9365" spans="9:15" x14ac:dyDescent="0.35">
      <c r="I9365" s="35"/>
      <c r="O9365" s="35"/>
    </row>
    <row r="9366" spans="9:15" x14ac:dyDescent="0.35">
      <c r="I9366" s="35"/>
      <c r="O9366" s="35"/>
    </row>
    <row r="9367" spans="9:15" x14ac:dyDescent="0.35">
      <c r="I9367" s="35"/>
      <c r="O9367" s="35"/>
    </row>
    <row r="9368" spans="9:15" x14ac:dyDescent="0.35">
      <c r="I9368" s="35"/>
      <c r="O9368" s="35"/>
    </row>
    <row r="9369" spans="9:15" x14ac:dyDescent="0.35">
      <c r="I9369" s="35"/>
      <c r="O9369" s="35"/>
    </row>
    <row r="9370" spans="9:15" x14ac:dyDescent="0.35">
      <c r="I9370" s="35"/>
      <c r="O9370" s="35"/>
    </row>
    <row r="9371" spans="9:15" x14ac:dyDescent="0.35">
      <c r="I9371" s="35"/>
      <c r="O9371" s="35"/>
    </row>
    <row r="9372" spans="9:15" x14ac:dyDescent="0.35">
      <c r="I9372" s="35"/>
      <c r="O9372" s="35"/>
    </row>
    <row r="9373" spans="9:15" x14ac:dyDescent="0.35">
      <c r="I9373" s="35"/>
      <c r="O9373" s="35"/>
    </row>
    <row r="9374" spans="9:15" x14ac:dyDescent="0.35">
      <c r="I9374" s="35"/>
      <c r="O9374" s="35"/>
    </row>
    <row r="9375" spans="9:15" x14ac:dyDescent="0.35">
      <c r="I9375" s="35"/>
      <c r="O9375" s="35"/>
    </row>
    <row r="9376" spans="9:15" x14ac:dyDescent="0.35">
      <c r="I9376" s="35"/>
      <c r="O9376" s="35"/>
    </row>
    <row r="9377" spans="9:15" x14ac:dyDescent="0.35">
      <c r="I9377" s="35"/>
      <c r="O9377" s="35"/>
    </row>
    <row r="9378" spans="9:15" x14ac:dyDescent="0.35">
      <c r="I9378" s="35"/>
      <c r="O9378" s="35"/>
    </row>
    <row r="9379" spans="9:15" x14ac:dyDescent="0.35">
      <c r="I9379" s="35"/>
      <c r="O9379" s="35"/>
    </row>
    <row r="9380" spans="9:15" x14ac:dyDescent="0.35">
      <c r="I9380" s="35"/>
      <c r="O9380" s="35"/>
    </row>
    <row r="9381" spans="9:15" x14ac:dyDescent="0.35">
      <c r="I9381" s="35"/>
      <c r="O9381" s="35"/>
    </row>
    <row r="9382" spans="9:15" x14ac:dyDescent="0.35">
      <c r="I9382" s="35"/>
      <c r="O9382" s="35"/>
    </row>
    <row r="9383" spans="9:15" x14ac:dyDescent="0.35">
      <c r="I9383" s="35"/>
      <c r="O9383" s="35"/>
    </row>
    <row r="9384" spans="9:15" x14ac:dyDescent="0.35">
      <c r="I9384" s="35"/>
      <c r="O9384" s="35"/>
    </row>
    <row r="9385" spans="9:15" x14ac:dyDescent="0.35">
      <c r="I9385" s="35"/>
      <c r="O9385" s="35"/>
    </row>
    <row r="9386" spans="9:15" x14ac:dyDescent="0.35">
      <c r="I9386" s="35"/>
      <c r="O9386" s="35"/>
    </row>
    <row r="9387" spans="9:15" x14ac:dyDescent="0.35">
      <c r="I9387" s="35"/>
      <c r="O9387" s="35"/>
    </row>
    <row r="9388" spans="9:15" x14ac:dyDescent="0.35">
      <c r="I9388" s="35"/>
      <c r="O9388" s="35"/>
    </row>
    <row r="9389" spans="9:15" x14ac:dyDescent="0.35">
      <c r="I9389" s="35"/>
      <c r="O9389" s="35"/>
    </row>
    <row r="9390" spans="9:15" x14ac:dyDescent="0.35">
      <c r="I9390" s="35"/>
      <c r="O9390" s="35"/>
    </row>
    <row r="9391" spans="9:15" x14ac:dyDescent="0.35">
      <c r="I9391" s="35"/>
      <c r="O9391" s="35"/>
    </row>
    <row r="9392" spans="9:15" x14ac:dyDescent="0.35">
      <c r="I9392" s="35"/>
      <c r="O9392" s="35"/>
    </row>
    <row r="9393" spans="9:15" x14ac:dyDescent="0.35">
      <c r="I9393" s="35"/>
      <c r="O9393" s="35"/>
    </row>
    <row r="9394" spans="9:15" x14ac:dyDescent="0.35">
      <c r="I9394" s="35"/>
      <c r="O9394" s="35"/>
    </row>
    <row r="9395" spans="9:15" x14ac:dyDescent="0.35">
      <c r="I9395" s="35"/>
      <c r="O9395" s="35"/>
    </row>
    <row r="9396" spans="9:15" x14ac:dyDescent="0.35">
      <c r="I9396" s="35"/>
      <c r="O9396" s="35"/>
    </row>
    <row r="9397" spans="9:15" x14ac:dyDescent="0.35">
      <c r="I9397" s="35"/>
      <c r="O9397" s="35"/>
    </row>
    <row r="9398" spans="9:15" x14ac:dyDescent="0.35">
      <c r="I9398" s="35"/>
      <c r="O9398" s="35"/>
    </row>
    <row r="9399" spans="9:15" x14ac:dyDescent="0.35">
      <c r="I9399" s="35"/>
      <c r="O9399" s="35"/>
    </row>
    <row r="9400" spans="9:15" x14ac:dyDescent="0.35">
      <c r="I9400" s="35"/>
      <c r="O9400" s="35"/>
    </row>
    <row r="9401" spans="9:15" x14ac:dyDescent="0.35">
      <c r="I9401" s="35"/>
      <c r="O9401" s="35"/>
    </row>
    <row r="9402" spans="9:15" x14ac:dyDescent="0.35">
      <c r="I9402" s="35"/>
      <c r="O9402" s="35"/>
    </row>
    <row r="9403" spans="9:15" x14ac:dyDescent="0.35">
      <c r="I9403" s="35"/>
      <c r="O9403" s="35"/>
    </row>
    <row r="9404" spans="9:15" x14ac:dyDescent="0.35">
      <c r="I9404" s="35"/>
      <c r="O9404" s="35"/>
    </row>
    <row r="9405" spans="9:15" x14ac:dyDescent="0.35">
      <c r="I9405" s="35"/>
      <c r="O9405" s="35"/>
    </row>
    <row r="9406" spans="9:15" x14ac:dyDescent="0.35">
      <c r="I9406" s="35"/>
      <c r="O9406" s="35"/>
    </row>
    <row r="9407" spans="9:15" x14ac:dyDescent="0.35">
      <c r="I9407" s="35"/>
      <c r="O9407" s="35"/>
    </row>
    <row r="9408" spans="9:15" x14ac:dyDescent="0.35">
      <c r="I9408" s="35"/>
      <c r="O9408" s="35"/>
    </row>
    <row r="9409" spans="9:15" x14ac:dyDescent="0.35">
      <c r="I9409" s="35"/>
      <c r="O9409" s="35"/>
    </row>
    <row r="9410" spans="9:15" x14ac:dyDescent="0.35">
      <c r="I9410" s="35"/>
      <c r="O9410" s="35"/>
    </row>
    <row r="9411" spans="9:15" x14ac:dyDescent="0.35">
      <c r="I9411" s="35"/>
      <c r="O9411" s="35"/>
    </row>
    <row r="9412" spans="9:15" x14ac:dyDescent="0.35">
      <c r="I9412" s="35"/>
      <c r="O9412" s="35"/>
    </row>
    <row r="9413" spans="9:15" x14ac:dyDescent="0.35">
      <c r="I9413" s="35"/>
      <c r="O9413" s="35"/>
    </row>
    <row r="9414" spans="9:15" x14ac:dyDescent="0.35">
      <c r="I9414" s="35"/>
      <c r="O9414" s="35"/>
    </row>
    <row r="9415" spans="9:15" x14ac:dyDescent="0.35">
      <c r="I9415" s="35"/>
      <c r="O9415" s="35"/>
    </row>
    <row r="9416" spans="9:15" x14ac:dyDescent="0.35">
      <c r="I9416" s="35"/>
      <c r="O9416" s="35"/>
    </row>
    <row r="9417" spans="9:15" x14ac:dyDescent="0.35">
      <c r="I9417" s="35"/>
      <c r="O9417" s="35"/>
    </row>
    <row r="9418" spans="9:15" x14ac:dyDescent="0.35">
      <c r="I9418" s="35"/>
      <c r="O9418" s="35"/>
    </row>
    <row r="9419" spans="9:15" x14ac:dyDescent="0.35">
      <c r="I9419" s="35"/>
      <c r="O9419" s="35"/>
    </row>
    <row r="9420" spans="9:15" x14ac:dyDescent="0.35">
      <c r="I9420" s="35"/>
      <c r="O9420" s="35"/>
    </row>
    <row r="9421" spans="9:15" x14ac:dyDescent="0.35">
      <c r="I9421" s="35"/>
      <c r="O9421" s="35"/>
    </row>
    <row r="9422" spans="9:15" x14ac:dyDescent="0.35">
      <c r="I9422" s="35"/>
      <c r="O9422" s="35"/>
    </row>
    <row r="9423" spans="9:15" x14ac:dyDescent="0.35">
      <c r="I9423" s="35"/>
      <c r="O9423" s="35"/>
    </row>
    <row r="9424" spans="9:15" x14ac:dyDescent="0.35">
      <c r="I9424" s="35"/>
      <c r="O9424" s="35"/>
    </row>
    <row r="9425" spans="9:15" x14ac:dyDescent="0.35">
      <c r="I9425" s="35"/>
      <c r="O9425" s="35"/>
    </row>
    <row r="9426" spans="9:15" x14ac:dyDescent="0.35">
      <c r="I9426" s="35"/>
      <c r="O9426" s="35"/>
    </row>
    <row r="9427" spans="9:15" x14ac:dyDescent="0.35">
      <c r="I9427" s="35"/>
      <c r="O9427" s="35"/>
    </row>
    <row r="9428" spans="9:15" x14ac:dyDescent="0.35">
      <c r="I9428" s="35"/>
      <c r="O9428" s="35"/>
    </row>
    <row r="9429" spans="9:15" x14ac:dyDescent="0.35">
      <c r="I9429" s="35"/>
      <c r="O9429" s="35"/>
    </row>
    <row r="9430" spans="9:15" x14ac:dyDescent="0.35">
      <c r="I9430" s="35"/>
      <c r="O9430" s="35"/>
    </row>
    <row r="9431" spans="9:15" x14ac:dyDescent="0.35">
      <c r="I9431" s="35"/>
      <c r="O9431" s="35"/>
    </row>
    <row r="9432" spans="9:15" x14ac:dyDescent="0.35">
      <c r="I9432" s="35"/>
      <c r="O9432" s="35"/>
    </row>
    <row r="9433" spans="9:15" x14ac:dyDescent="0.35">
      <c r="I9433" s="35"/>
      <c r="O9433" s="35"/>
    </row>
    <row r="9434" spans="9:15" x14ac:dyDescent="0.35">
      <c r="I9434" s="35"/>
      <c r="O9434" s="35"/>
    </row>
    <row r="9435" spans="9:15" x14ac:dyDescent="0.35">
      <c r="I9435" s="35"/>
      <c r="O9435" s="35"/>
    </row>
    <row r="9436" spans="9:15" x14ac:dyDescent="0.35">
      <c r="I9436" s="35"/>
      <c r="O9436" s="35"/>
    </row>
    <row r="9437" spans="9:15" x14ac:dyDescent="0.35">
      <c r="I9437" s="35"/>
      <c r="O9437" s="35"/>
    </row>
    <row r="9438" spans="9:15" x14ac:dyDescent="0.35">
      <c r="I9438" s="35"/>
      <c r="O9438" s="35"/>
    </row>
    <row r="9439" spans="9:15" x14ac:dyDescent="0.35">
      <c r="I9439" s="35"/>
      <c r="O9439" s="35"/>
    </row>
    <row r="9440" spans="9:15" x14ac:dyDescent="0.35">
      <c r="I9440" s="35"/>
      <c r="O9440" s="35"/>
    </row>
    <row r="9441" spans="9:15" x14ac:dyDescent="0.35">
      <c r="I9441" s="35"/>
      <c r="O9441" s="35"/>
    </row>
    <row r="9442" spans="9:15" x14ac:dyDescent="0.35">
      <c r="I9442" s="35"/>
      <c r="O9442" s="35"/>
    </row>
    <row r="9443" spans="9:15" x14ac:dyDescent="0.35">
      <c r="I9443" s="35"/>
      <c r="O9443" s="35"/>
    </row>
    <row r="9444" spans="9:15" x14ac:dyDescent="0.35">
      <c r="I9444" s="35"/>
      <c r="O9444" s="35"/>
    </row>
    <row r="9445" spans="9:15" x14ac:dyDescent="0.35">
      <c r="I9445" s="35"/>
      <c r="O9445" s="35"/>
    </row>
    <row r="9446" spans="9:15" x14ac:dyDescent="0.35">
      <c r="I9446" s="35"/>
      <c r="O9446" s="35"/>
    </row>
    <row r="9447" spans="9:15" x14ac:dyDescent="0.35">
      <c r="I9447" s="35"/>
      <c r="O9447" s="35"/>
    </row>
    <row r="9448" spans="9:15" x14ac:dyDescent="0.35">
      <c r="I9448" s="35"/>
      <c r="O9448" s="35"/>
    </row>
    <row r="9449" spans="9:15" x14ac:dyDescent="0.35">
      <c r="I9449" s="35"/>
      <c r="O9449" s="35"/>
    </row>
    <row r="9450" spans="9:15" x14ac:dyDescent="0.35">
      <c r="I9450" s="35"/>
      <c r="O9450" s="35"/>
    </row>
    <row r="9451" spans="9:15" x14ac:dyDescent="0.35">
      <c r="I9451" s="35"/>
      <c r="O9451" s="35"/>
    </row>
    <row r="9452" spans="9:15" x14ac:dyDescent="0.35">
      <c r="I9452" s="35"/>
      <c r="O9452" s="35"/>
    </row>
    <row r="9453" spans="9:15" x14ac:dyDescent="0.35">
      <c r="I9453" s="35"/>
      <c r="O9453" s="35"/>
    </row>
    <row r="9454" spans="9:15" x14ac:dyDescent="0.35">
      <c r="I9454" s="35"/>
      <c r="O9454" s="35"/>
    </row>
    <row r="9455" spans="9:15" x14ac:dyDescent="0.35">
      <c r="I9455" s="35"/>
      <c r="O9455" s="35"/>
    </row>
    <row r="9456" spans="9:15" x14ac:dyDescent="0.35">
      <c r="I9456" s="35"/>
      <c r="O9456" s="35"/>
    </row>
    <row r="9457" spans="9:15" x14ac:dyDescent="0.35">
      <c r="I9457" s="35"/>
      <c r="O9457" s="35"/>
    </row>
    <row r="9458" spans="9:15" x14ac:dyDescent="0.35">
      <c r="I9458" s="35"/>
      <c r="O9458" s="35"/>
    </row>
    <row r="9459" spans="9:15" x14ac:dyDescent="0.35">
      <c r="I9459" s="35"/>
      <c r="O9459" s="35"/>
    </row>
    <row r="9460" spans="9:15" x14ac:dyDescent="0.35">
      <c r="I9460" s="35"/>
      <c r="O9460" s="35"/>
    </row>
    <row r="9461" spans="9:15" x14ac:dyDescent="0.35">
      <c r="I9461" s="35"/>
      <c r="O9461" s="35"/>
    </row>
    <row r="9462" spans="9:15" x14ac:dyDescent="0.35">
      <c r="I9462" s="35"/>
      <c r="O9462" s="35"/>
    </row>
    <row r="9463" spans="9:15" x14ac:dyDescent="0.35">
      <c r="I9463" s="35"/>
      <c r="O9463" s="35"/>
    </row>
    <row r="9464" spans="9:15" x14ac:dyDescent="0.35">
      <c r="I9464" s="35"/>
      <c r="O9464" s="35"/>
    </row>
    <row r="9465" spans="9:15" x14ac:dyDescent="0.35">
      <c r="I9465" s="35"/>
      <c r="O9465" s="35"/>
    </row>
    <row r="9466" spans="9:15" x14ac:dyDescent="0.35">
      <c r="I9466" s="35"/>
      <c r="O9466" s="35"/>
    </row>
    <row r="9467" spans="9:15" x14ac:dyDescent="0.35">
      <c r="I9467" s="35"/>
      <c r="O9467" s="35"/>
    </row>
    <row r="9468" spans="9:15" x14ac:dyDescent="0.35">
      <c r="I9468" s="35"/>
      <c r="O9468" s="35"/>
    </row>
    <row r="9469" spans="9:15" x14ac:dyDescent="0.35">
      <c r="I9469" s="35"/>
      <c r="O9469" s="35"/>
    </row>
    <row r="9470" spans="9:15" x14ac:dyDescent="0.35">
      <c r="I9470" s="35"/>
      <c r="O9470" s="35"/>
    </row>
    <row r="9471" spans="9:15" x14ac:dyDescent="0.35">
      <c r="I9471" s="35"/>
      <c r="O9471" s="35"/>
    </row>
    <row r="9472" spans="9:15" x14ac:dyDescent="0.35">
      <c r="I9472" s="35"/>
      <c r="O9472" s="35"/>
    </row>
    <row r="9473" spans="9:15" x14ac:dyDescent="0.35">
      <c r="I9473" s="35"/>
      <c r="O9473" s="35"/>
    </row>
    <row r="9474" spans="9:15" x14ac:dyDescent="0.35">
      <c r="I9474" s="35"/>
      <c r="O9474" s="35"/>
    </row>
    <row r="9475" spans="9:15" x14ac:dyDescent="0.35">
      <c r="I9475" s="35"/>
      <c r="O9475" s="35"/>
    </row>
    <row r="9476" spans="9:15" x14ac:dyDescent="0.35">
      <c r="I9476" s="35"/>
      <c r="O9476" s="35"/>
    </row>
    <row r="9477" spans="9:15" x14ac:dyDescent="0.35">
      <c r="I9477" s="35"/>
      <c r="O9477" s="35"/>
    </row>
    <row r="9478" spans="9:15" x14ac:dyDescent="0.35">
      <c r="I9478" s="35"/>
      <c r="O9478" s="35"/>
    </row>
    <row r="9479" spans="9:15" x14ac:dyDescent="0.35">
      <c r="I9479" s="35"/>
      <c r="O9479" s="35"/>
    </row>
    <row r="9480" spans="9:15" x14ac:dyDescent="0.35">
      <c r="I9480" s="35"/>
      <c r="O9480" s="35"/>
    </row>
    <row r="9481" spans="9:15" x14ac:dyDescent="0.35">
      <c r="I9481" s="35"/>
      <c r="O9481" s="35"/>
    </row>
    <row r="9482" spans="9:15" x14ac:dyDescent="0.35">
      <c r="I9482" s="35"/>
      <c r="O9482" s="35"/>
    </row>
    <row r="9483" spans="9:15" x14ac:dyDescent="0.35">
      <c r="I9483" s="35"/>
      <c r="O9483" s="35"/>
    </row>
    <row r="9484" spans="9:15" x14ac:dyDescent="0.35">
      <c r="I9484" s="35"/>
      <c r="O9484" s="35"/>
    </row>
    <row r="9485" spans="9:15" x14ac:dyDescent="0.35">
      <c r="I9485" s="35"/>
      <c r="O9485" s="35"/>
    </row>
    <row r="9486" spans="9:15" x14ac:dyDescent="0.35">
      <c r="I9486" s="35"/>
      <c r="O9486" s="35"/>
    </row>
    <row r="9487" spans="9:15" x14ac:dyDescent="0.35">
      <c r="I9487" s="35"/>
      <c r="O9487" s="35"/>
    </row>
    <row r="9488" spans="9:15" x14ac:dyDescent="0.35">
      <c r="I9488" s="35"/>
      <c r="O9488" s="35"/>
    </row>
    <row r="9489" spans="9:15" x14ac:dyDescent="0.35">
      <c r="I9489" s="35"/>
      <c r="O9489" s="35"/>
    </row>
    <row r="9490" spans="9:15" x14ac:dyDescent="0.35">
      <c r="I9490" s="35"/>
      <c r="O9490" s="35"/>
    </row>
    <row r="9491" spans="9:15" x14ac:dyDescent="0.35">
      <c r="I9491" s="35"/>
      <c r="O9491" s="35"/>
    </row>
    <row r="9492" spans="9:15" x14ac:dyDescent="0.35">
      <c r="I9492" s="35"/>
      <c r="O9492" s="35"/>
    </row>
    <row r="9493" spans="9:15" x14ac:dyDescent="0.35">
      <c r="I9493" s="35"/>
      <c r="O9493" s="35"/>
    </row>
    <row r="9494" spans="9:15" x14ac:dyDescent="0.35">
      <c r="I9494" s="35"/>
      <c r="O9494" s="35"/>
    </row>
    <row r="9495" spans="9:15" x14ac:dyDescent="0.35">
      <c r="I9495" s="35"/>
      <c r="O9495" s="35"/>
    </row>
    <row r="9496" spans="9:15" x14ac:dyDescent="0.35">
      <c r="I9496" s="35"/>
      <c r="O9496" s="35"/>
    </row>
    <row r="9497" spans="9:15" x14ac:dyDescent="0.35">
      <c r="I9497" s="35"/>
      <c r="O9497" s="35"/>
    </row>
    <row r="9498" spans="9:15" x14ac:dyDescent="0.35">
      <c r="I9498" s="35"/>
      <c r="O9498" s="35"/>
    </row>
    <row r="9499" spans="9:15" x14ac:dyDescent="0.35">
      <c r="I9499" s="35"/>
      <c r="O9499" s="35"/>
    </row>
    <row r="9500" spans="9:15" x14ac:dyDescent="0.35">
      <c r="I9500" s="35"/>
      <c r="O9500" s="35"/>
    </row>
    <row r="9501" spans="9:15" x14ac:dyDescent="0.35">
      <c r="I9501" s="35"/>
      <c r="O9501" s="35"/>
    </row>
    <row r="9502" spans="9:15" x14ac:dyDescent="0.35">
      <c r="I9502" s="35"/>
      <c r="O9502" s="35"/>
    </row>
    <row r="9503" spans="9:15" x14ac:dyDescent="0.35">
      <c r="I9503" s="35"/>
      <c r="O9503" s="35"/>
    </row>
    <row r="9504" spans="9:15" x14ac:dyDescent="0.35">
      <c r="I9504" s="35"/>
      <c r="O9504" s="35"/>
    </row>
    <row r="9505" spans="9:15" x14ac:dyDescent="0.35">
      <c r="I9505" s="35"/>
      <c r="O9505" s="35"/>
    </row>
    <row r="9506" spans="9:15" x14ac:dyDescent="0.35">
      <c r="I9506" s="35"/>
      <c r="O9506" s="35"/>
    </row>
    <row r="9507" spans="9:15" x14ac:dyDescent="0.35">
      <c r="I9507" s="35"/>
      <c r="O9507" s="35"/>
    </row>
    <row r="9508" spans="9:15" x14ac:dyDescent="0.35">
      <c r="I9508" s="35"/>
      <c r="O9508" s="35"/>
    </row>
    <row r="9509" spans="9:15" x14ac:dyDescent="0.35">
      <c r="I9509" s="35"/>
      <c r="O9509" s="35"/>
    </row>
    <row r="9510" spans="9:15" x14ac:dyDescent="0.35">
      <c r="I9510" s="35"/>
      <c r="O9510" s="35"/>
    </row>
    <row r="9511" spans="9:15" x14ac:dyDescent="0.35">
      <c r="I9511" s="35"/>
      <c r="O9511" s="35"/>
    </row>
    <row r="9512" spans="9:15" x14ac:dyDescent="0.35">
      <c r="I9512" s="35"/>
      <c r="O9512" s="35"/>
    </row>
    <row r="9513" spans="9:15" x14ac:dyDescent="0.35">
      <c r="I9513" s="35"/>
      <c r="O9513" s="35"/>
    </row>
    <row r="9514" spans="9:15" x14ac:dyDescent="0.35">
      <c r="I9514" s="35"/>
      <c r="O9514" s="35"/>
    </row>
    <row r="9515" spans="9:15" x14ac:dyDescent="0.35">
      <c r="I9515" s="35"/>
      <c r="O9515" s="35"/>
    </row>
    <row r="9516" spans="9:15" x14ac:dyDescent="0.35">
      <c r="I9516" s="35"/>
      <c r="O9516" s="35"/>
    </row>
    <row r="9517" spans="9:15" x14ac:dyDescent="0.35">
      <c r="I9517" s="35"/>
      <c r="O9517" s="35"/>
    </row>
    <row r="9518" spans="9:15" x14ac:dyDescent="0.35">
      <c r="I9518" s="35"/>
      <c r="O9518" s="35"/>
    </row>
    <row r="9519" spans="9:15" x14ac:dyDescent="0.35">
      <c r="I9519" s="35"/>
      <c r="O9519" s="35"/>
    </row>
    <row r="9520" spans="9:15" x14ac:dyDescent="0.35">
      <c r="I9520" s="35"/>
      <c r="O9520" s="35"/>
    </row>
    <row r="9521" spans="9:15" x14ac:dyDescent="0.35">
      <c r="I9521" s="35"/>
      <c r="O9521" s="35"/>
    </row>
    <row r="9522" spans="9:15" x14ac:dyDescent="0.35">
      <c r="I9522" s="35"/>
      <c r="O9522" s="35"/>
    </row>
    <row r="9523" spans="9:15" x14ac:dyDescent="0.35">
      <c r="I9523" s="35"/>
      <c r="O9523" s="35"/>
    </row>
    <row r="9524" spans="9:15" x14ac:dyDescent="0.35">
      <c r="I9524" s="35"/>
      <c r="O9524" s="35"/>
    </row>
    <row r="9525" spans="9:15" x14ac:dyDescent="0.35">
      <c r="I9525" s="35"/>
      <c r="O9525" s="35"/>
    </row>
    <row r="9526" spans="9:15" x14ac:dyDescent="0.35">
      <c r="I9526" s="35"/>
      <c r="O9526" s="35"/>
    </row>
    <row r="9527" spans="9:15" x14ac:dyDescent="0.35">
      <c r="I9527" s="35"/>
      <c r="O9527" s="35"/>
    </row>
    <row r="9528" spans="9:15" x14ac:dyDescent="0.35">
      <c r="I9528" s="35"/>
      <c r="O9528" s="35"/>
    </row>
    <row r="9529" spans="9:15" x14ac:dyDescent="0.35">
      <c r="I9529" s="35"/>
      <c r="O9529" s="35"/>
    </row>
    <row r="9530" spans="9:15" x14ac:dyDescent="0.35">
      <c r="I9530" s="35"/>
      <c r="O9530" s="35"/>
    </row>
    <row r="9531" spans="9:15" x14ac:dyDescent="0.35">
      <c r="I9531" s="35"/>
      <c r="O9531" s="35"/>
    </row>
    <row r="9532" spans="9:15" x14ac:dyDescent="0.35">
      <c r="I9532" s="35"/>
      <c r="O9532" s="35"/>
    </row>
    <row r="9533" spans="9:15" x14ac:dyDescent="0.35">
      <c r="I9533" s="35"/>
      <c r="O9533" s="35"/>
    </row>
    <row r="9534" spans="9:15" x14ac:dyDescent="0.35">
      <c r="I9534" s="35"/>
      <c r="O9534" s="35"/>
    </row>
    <row r="9535" spans="9:15" x14ac:dyDescent="0.35">
      <c r="I9535" s="35"/>
      <c r="O9535" s="35"/>
    </row>
    <row r="9536" spans="9:15" x14ac:dyDescent="0.35">
      <c r="I9536" s="35"/>
      <c r="O9536" s="35"/>
    </row>
    <row r="9537" spans="9:15" x14ac:dyDescent="0.35">
      <c r="I9537" s="35"/>
      <c r="O9537" s="35"/>
    </row>
    <row r="9538" spans="9:15" x14ac:dyDescent="0.35">
      <c r="I9538" s="35"/>
      <c r="O9538" s="35"/>
    </row>
    <row r="9539" spans="9:15" x14ac:dyDescent="0.35">
      <c r="I9539" s="35"/>
      <c r="O9539" s="35"/>
    </row>
    <row r="9540" spans="9:15" x14ac:dyDescent="0.35">
      <c r="I9540" s="35"/>
      <c r="O9540" s="35"/>
    </row>
    <row r="9541" spans="9:15" x14ac:dyDescent="0.35">
      <c r="I9541" s="35"/>
      <c r="O9541" s="35"/>
    </row>
    <row r="9542" spans="9:15" x14ac:dyDescent="0.35">
      <c r="I9542" s="35"/>
      <c r="O9542" s="35"/>
    </row>
    <row r="9543" spans="9:15" x14ac:dyDescent="0.35">
      <c r="I9543" s="35"/>
      <c r="O9543" s="35"/>
    </row>
    <row r="9544" spans="9:15" x14ac:dyDescent="0.35">
      <c r="I9544" s="35"/>
      <c r="O9544" s="35"/>
    </row>
    <row r="9545" spans="9:15" x14ac:dyDescent="0.35">
      <c r="I9545" s="35"/>
      <c r="O9545" s="35"/>
    </row>
    <row r="9546" spans="9:15" x14ac:dyDescent="0.35">
      <c r="I9546" s="35"/>
      <c r="O9546" s="35"/>
    </row>
    <row r="9547" spans="9:15" x14ac:dyDescent="0.35">
      <c r="I9547" s="35"/>
      <c r="O9547" s="35"/>
    </row>
    <row r="9548" spans="9:15" x14ac:dyDescent="0.35">
      <c r="I9548" s="35"/>
      <c r="O9548" s="35"/>
    </row>
    <row r="9549" spans="9:15" x14ac:dyDescent="0.35">
      <c r="I9549" s="35"/>
      <c r="O9549" s="35"/>
    </row>
    <row r="9550" spans="9:15" x14ac:dyDescent="0.35">
      <c r="I9550" s="35"/>
      <c r="O9550" s="35"/>
    </row>
    <row r="9551" spans="9:15" x14ac:dyDescent="0.35">
      <c r="I9551" s="35"/>
      <c r="O9551" s="35"/>
    </row>
    <row r="9552" spans="9:15" x14ac:dyDescent="0.35">
      <c r="I9552" s="35"/>
      <c r="O9552" s="35"/>
    </row>
    <row r="9553" spans="9:15" x14ac:dyDescent="0.35">
      <c r="I9553" s="35"/>
      <c r="O9553" s="35"/>
    </row>
    <row r="9554" spans="9:15" x14ac:dyDescent="0.35">
      <c r="I9554" s="35"/>
      <c r="O9554" s="35"/>
    </row>
    <row r="9555" spans="9:15" x14ac:dyDescent="0.35">
      <c r="I9555" s="35"/>
      <c r="O9555" s="35"/>
    </row>
    <row r="9556" spans="9:15" x14ac:dyDescent="0.35">
      <c r="I9556" s="35"/>
      <c r="O9556" s="35"/>
    </row>
    <row r="9557" spans="9:15" x14ac:dyDescent="0.35">
      <c r="I9557" s="35"/>
      <c r="O9557" s="35"/>
    </row>
    <row r="9558" spans="9:15" x14ac:dyDescent="0.35">
      <c r="I9558" s="35"/>
      <c r="O9558" s="35"/>
    </row>
    <row r="9559" spans="9:15" x14ac:dyDescent="0.35">
      <c r="I9559" s="35"/>
      <c r="O9559" s="35"/>
    </row>
    <row r="9560" spans="9:15" x14ac:dyDescent="0.35">
      <c r="I9560" s="35"/>
      <c r="O9560" s="35"/>
    </row>
    <row r="9561" spans="9:15" x14ac:dyDescent="0.35">
      <c r="I9561" s="35"/>
      <c r="O9561" s="35"/>
    </row>
    <row r="9562" spans="9:15" x14ac:dyDescent="0.35">
      <c r="I9562" s="35"/>
      <c r="O9562" s="35"/>
    </row>
    <row r="9563" spans="9:15" x14ac:dyDescent="0.35">
      <c r="I9563" s="35"/>
      <c r="O9563" s="35"/>
    </row>
    <row r="9564" spans="9:15" x14ac:dyDescent="0.35">
      <c r="I9564" s="35"/>
      <c r="O9564" s="35"/>
    </row>
    <row r="9565" spans="9:15" x14ac:dyDescent="0.35">
      <c r="I9565" s="35"/>
      <c r="O9565" s="35"/>
    </row>
    <row r="9566" spans="9:15" x14ac:dyDescent="0.35">
      <c r="I9566" s="35"/>
      <c r="O9566" s="35"/>
    </row>
    <row r="9567" spans="9:15" x14ac:dyDescent="0.35">
      <c r="I9567" s="35"/>
      <c r="O9567" s="35"/>
    </row>
    <row r="9568" spans="9:15" x14ac:dyDescent="0.35">
      <c r="I9568" s="35"/>
      <c r="O9568" s="35"/>
    </row>
    <row r="9569" spans="9:15" x14ac:dyDescent="0.35">
      <c r="I9569" s="35"/>
      <c r="O9569" s="35"/>
    </row>
    <row r="9570" spans="9:15" x14ac:dyDescent="0.35">
      <c r="I9570" s="35"/>
      <c r="O9570" s="35"/>
    </row>
    <row r="9571" spans="9:15" x14ac:dyDescent="0.35">
      <c r="I9571" s="35"/>
      <c r="O9571" s="35"/>
    </row>
    <row r="9572" spans="9:15" x14ac:dyDescent="0.35">
      <c r="I9572" s="35"/>
      <c r="O9572" s="35"/>
    </row>
    <row r="9573" spans="9:15" x14ac:dyDescent="0.35">
      <c r="I9573" s="35"/>
      <c r="O9573" s="35"/>
    </row>
    <row r="9574" spans="9:15" x14ac:dyDescent="0.35">
      <c r="I9574" s="35"/>
      <c r="O9574" s="35"/>
    </row>
    <row r="9575" spans="9:15" x14ac:dyDescent="0.35">
      <c r="I9575" s="35"/>
      <c r="O9575" s="35"/>
    </row>
    <row r="9576" spans="9:15" x14ac:dyDescent="0.35">
      <c r="I9576" s="35"/>
      <c r="O9576" s="35"/>
    </row>
    <row r="9577" spans="9:15" x14ac:dyDescent="0.35">
      <c r="I9577" s="35"/>
      <c r="O9577" s="35"/>
    </row>
    <row r="9578" spans="9:15" x14ac:dyDescent="0.35">
      <c r="I9578" s="35"/>
      <c r="O9578" s="35"/>
    </row>
    <row r="9579" spans="9:15" x14ac:dyDescent="0.35">
      <c r="I9579" s="35"/>
      <c r="O9579" s="35"/>
    </row>
    <row r="9580" spans="9:15" x14ac:dyDescent="0.35">
      <c r="I9580" s="35"/>
      <c r="O9580" s="35"/>
    </row>
    <row r="9581" spans="9:15" x14ac:dyDescent="0.35">
      <c r="I9581" s="35"/>
      <c r="O9581" s="35"/>
    </row>
    <row r="9582" spans="9:15" x14ac:dyDescent="0.35">
      <c r="I9582" s="35"/>
      <c r="O9582" s="35"/>
    </row>
    <row r="9583" spans="9:15" x14ac:dyDescent="0.35">
      <c r="I9583" s="35"/>
      <c r="O9583" s="35"/>
    </row>
    <row r="9584" spans="9:15" x14ac:dyDescent="0.35">
      <c r="I9584" s="35"/>
      <c r="O9584" s="35"/>
    </row>
    <row r="9585" spans="9:15" x14ac:dyDescent="0.35">
      <c r="I9585" s="35"/>
      <c r="O9585" s="35"/>
    </row>
    <row r="9586" spans="9:15" x14ac:dyDescent="0.35">
      <c r="I9586" s="35"/>
      <c r="O9586" s="35"/>
    </row>
    <row r="9587" spans="9:15" x14ac:dyDescent="0.35">
      <c r="I9587" s="35"/>
      <c r="O9587" s="35"/>
    </row>
    <row r="9588" spans="9:15" x14ac:dyDescent="0.35">
      <c r="I9588" s="35"/>
      <c r="O9588" s="35"/>
    </row>
    <row r="9589" spans="9:15" x14ac:dyDescent="0.35">
      <c r="I9589" s="35"/>
      <c r="O9589" s="35"/>
    </row>
    <row r="9590" spans="9:15" x14ac:dyDescent="0.35">
      <c r="I9590" s="35"/>
      <c r="O9590" s="35"/>
    </row>
    <row r="9591" spans="9:15" x14ac:dyDescent="0.35">
      <c r="I9591" s="35"/>
      <c r="O9591" s="35"/>
    </row>
    <row r="9592" spans="9:15" x14ac:dyDescent="0.35">
      <c r="I9592" s="35"/>
      <c r="O9592" s="35"/>
    </row>
    <row r="9593" spans="9:15" x14ac:dyDescent="0.35">
      <c r="I9593" s="35"/>
      <c r="O9593" s="35"/>
    </row>
    <row r="9594" spans="9:15" x14ac:dyDescent="0.35">
      <c r="I9594" s="35"/>
      <c r="O9594" s="35"/>
    </row>
    <row r="9595" spans="9:15" x14ac:dyDescent="0.35">
      <c r="I9595" s="35"/>
      <c r="O9595" s="35"/>
    </row>
    <row r="9596" spans="9:15" x14ac:dyDescent="0.35">
      <c r="I9596" s="35"/>
      <c r="O9596" s="35"/>
    </row>
    <row r="9597" spans="9:15" x14ac:dyDescent="0.35">
      <c r="I9597" s="35"/>
      <c r="O9597" s="35"/>
    </row>
    <row r="9598" spans="9:15" x14ac:dyDescent="0.35">
      <c r="I9598" s="35"/>
      <c r="O9598" s="35"/>
    </row>
    <row r="9599" spans="9:15" x14ac:dyDescent="0.35">
      <c r="I9599" s="35"/>
      <c r="O9599" s="35"/>
    </row>
    <row r="9600" spans="9:15" x14ac:dyDescent="0.35">
      <c r="I9600" s="35"/>
      <c r="O9600" s="35"/>
    </row>
    <row r="9601" spans="9:15" x14ac:dyDescent="0.35">
      <c r="I9601" s="35"/>
      <c r="O9601" s="35"/>
    </row>
    <row r="9602" spans="9:15" x14ac:dyDescent="0.35">
      <c r="I9602" s="35"/>
      <c r="O9602" s="35"/>
    </row>
    <row r="9603" spans="9:15" x14ac:dyDescent="0.35">
      <c r="I9603" s="35"/>
      <c r="O9603" s="35"/>
    </row>
    <row r="9604" spans="9:15" x14ac:dyDescent="0.35">
      <c r="I9604" s="35"/>
      <c r="O9604" s="35"/>
    </row>
    <row r="9605" spans="9:15" x14ac:dyDescent="0.35">
      <c r="I9605" s="35"/>
      <c r="O9605" s="35"/>
    </row>
    <row r="9606" spans="9:15" x14ac:dyDescent="0.35">
      <c r="I9606" s="35"/>
      <c r="O9606" s="35"/>
    </row>
    <row r="9607" spans="9:15" x14ac:dyDescent="0.35">
      <c r="I9607" s="35"/>
      <c r="O9607" s="35"/>
    </row>
    <row r="9608" spans="9:15" x14ac:dyDescent="0.35">
      <c r="I9608" s="35"/>
      <c r="O9608" s="35"/>
    </row>
    <row r="9609" spans="9:15" x14ac:dyDescent="0.35">
      <c r="I9609" s="35"/>
      <c r="O9609" s="35"/>
    </row>
    <row r="9610" spans="9:15" x14ac:dyDescent="0.35">
      <c r="I9610" s="35"/>
      <c r="O9610" s="35"/>
    </row>
    <row r="9611" spans="9:15" x14ac:dyDescent="0.35">
      <c r="I9611" s="35"/>
      <c r="O9611" s="35"/>
    </row>
    <row r="9612" spans="9:15" x14ac:dyDescent="0.35">
      <c r="I9612" s="35"/>
      <c r="O9612" s="35"/>
    </row>
    <row r="9613" spans="9:15" x14ac:dyDescent="0.35">
      <c r="I9613" s="35"/>
      <c r="O9613" s="35"/>
    </row>
    <row r="9614" spans="9:15" x14ac:dyDescent="0.35">
      <c r="I9614" s="35"/>
      <c r="O9614" s="35"/>
    </row>
    <row r="9615" spans="9:15" x14ac:dyDescent="0.35">
      <c r="I9615" s="35"/>
      <c r="O9615" s="35"/>
    </row>
    <row r="9616" spans="9:15" x14ac:dyDescent="0.35">
      <c r="I9616" s="35"/>
      <c r="O9616" s="35"/>
    </row>
    <row r="9617" spans="9:15" x14ac:dyDescent="0.35">
      <c r="I9617" s="35"/>
      <c r="O9617" s="35"/>
    </row>
    <row r="9618" spans="9:15" x14ac:dyDescent="0.35">
      <c r="I9618" s="35"/>
      <c r="O9618" s="35"/>
    </row>
    <row r="9619" spans="9:15" x14ac:dyDescent="0.35">
      <c r="I9619" s="35"/>
      <c r="O9619" s="35"/>
    </row>
    <row r="9620" spans="9:15" x14ac:dyDescent="0.35">
      <c r="I9620" s="35"/>
      <c r="O9620" s="35"/>
    </row>
    <row r="9621" spans="9:15" x14ac:dyDescent="0.35">
      <c r="I9621" s="35"/>
      <c r="O9621" s="35"/>
    </row>
    <row r="9622" spans="9:15" x14ac:dyDescent="0.35">
      <c r="I9622" s="35"/>
      <c r="O9622" s="35"/>
    </row>
    <row r="9623" spans="9:15" x14ac:dyDescent="0.35">
      <c r="I9623" s="35"/>
      <c r="O9623" s="35"/>
    </row>
    <row r="9624" spans="9:15" x14ac:dyDescent="0.35">
      <c r="I9624" s="35"/>
      <c r="O9624" s="35"/>
    </row>
    <row r="9625" spans="9:15" x14ac:dyDescent="0.35">
      <c r="I9625" s="35"/>
      <c r="O9625" s="35"/>
    </row>
    <row r="9626" spans="9:15" x14ac:dyDescent="0.35">
      <c r="I9626" s="35"/>
      <c r="O9626" s="35"/>
    </row>
    <row r="9627" spans="9:15" x14ac:dyDescent="0.35">
      <c r="I9627" s="35"/>
      <c r="O9627" s="35"/>
    </row>
    <row r="9628" spans="9:15" x14ac:dyDescent="0.35">
      <c r="I9628" s="35"/>
      <c r="O9628" s="35"/>
    </row>
    <row r="9629" spans="9:15" x14ac:dyDescent="0.35">
      <c r="I9629" s="35"/>
      <c r="O9629" s="35"/>
    </row>
    <row r="9630" spans="9:15" x14ac:dyDescent="0.35">
      <c r="I9630" s="35"/>
      <c r="O9630" s="35"/>
    </row>
    <row r="9631" spans="9:15" x14ac:dyDescent="0.35">
      <c r="I9631" s="35"/>
      <c r="O9631" s="35"/>
    </row>
    <row r="9632" spans="9:15" x14ac:dyDescent="0.35">
      <c r="I9632" s="35"/>
      <c r="O9632" s="35"/>
    </row>
    <row r="9633" spans="9:15" x14ac:dyDescent="0.35">
      <c r="I9633" s="35"/>
      <c r="O9633" s="35"/>
    </row>
    <row r="9634" spans="9:15" x14ac:dyDescent="0.35">
      <c r="I9634" s="35"/>
      <c r="O9634" s="35"/>
    </row>
    <row r="9635" spans="9:15" x14ac:dyDescent="0.35">
      <c r="I9635" s="35"/>
      <c r="O9635" s="35"/>
    </row>
    <row r="9636" spans="9:15" x14ac:dyDescent="0.35">
      <c r="I9636" s="35"/>
      <c r="O9636" s="35"/>
    </row>
    <row r="9637" spans="9:15" x14ac:dyDescent="0.35">
      <c r="I9637" s="35"/>
      <c r="O9637" s="35"/>
    </row>
    <row r="9638" spans="9:15" x14ac:dyDescent="0.35">
      <c r="I9638" s="35"/>
      <c r="O9638" s="35"/>
    </row>
    <row r="9639" spans="9:15" x14ac:dyDescent="0.35">
      <c r="I9639" s="35"/>
      <c r="O9639" s="35"/>
    </row>
    <row r="9640" spans="9:15" x14ac:dyDescent="0.35">
      <c r="I9640" s="35"/>
      <c r="O9640" s="35"/>
    </row>
    <row r="9641" spans="9:15" x14ac:dyDescent="0.35">
      <c r="I9641" s="35"/>
      <c r="O9641" s="35"/>
    </row>
    <row r="9642" spans="9:15" x14ac:dyDescent="0.35">
      <c r="I9642" s="35"/>
      <c r="O9642" s="35"/>
    </row>
    <row r="9643" spans="9:15" x14ac:dyDescent="0.35">
      <c r="I9643" s="35"/>
      <c r="O9643" s="35"/>
    </row>
    <row r="9644" spans="9:15" x14ac:dyDescent="0.35">
      <c r="I9644" s="35"/>
      <c r="O9644" s="35"/>
    </row>
    <row r="9645" spans="9:15" x14ac:dyDescent="0.35">
      <c r="I9645" s="35"/>
      <c r="O9645" s="35"/>
    </row>
    <row r="9646" spans="9:15" x14ac:dyDescent="0.35">
      <c r="I9646" s="35"/>
      <c r="O9646" s="35"/>
    </row>
    <row r="9647" spans="9:15" x14ac:dyDescent="0.35">
      <c r="I9647" s="35"/>
      <c r="O9647" s="35"/>
    </row>
    <row r="9648" spans="9:15" x14ac:dyDescent="0.35">
      <c r="I9648" s="35"/>
      <c r="O9648" s="35"/>
    </row>
    <row r="9649" spans="9:15" x14ac:dyDescent="0.35">
      <c r="I9649" s="35"/>
      <c r="O9649" s="35"/>
    </row>
    <row r="9650" spans="9:15" x14ac:dyDescent="0.35">
      <c r="I9650" s="35"/>
      <c r="O9650" s="35"/>
    </row>
    <row r="9651" spans="9:15" x14ac:dyDescent="0.35">
      <c r="I9651" s="35"/>
      <c r="O9651" s="35"/>
    </row>
    <row r="9652" spans="9:15" x14ac:dyDescent="0.35">
      <c r="I9652" s="35"/>
      <c r="O9652" s="35"/>
    </row>
    <row r="9653" spans="9:15" x14ac:dyDescent="0.35">
      <c r="I9653" s="35"/>
      <c r="O9653" s="35"/>
    </row>
    <row r="9654" spans="9:15" x14ac:dyDescent="0.35">
      <c r="I9654" s="35"/>
      <c r="O9654" s="35"/>
    </row>
    <row r="9655" spans="9:15" x14ac:dyDescent="0.35">
      <c r="I9655" s="35"/>
      <c r="O9655" s="35"/>
    </row>
    <row r="9656" spans="9:15" x14ac:dyDescent="0.35">
      <c r="I9656" s="35"/>
      <c r="O9656" s="35"/>
    </row>
    <row r="9657" spans="9:15" x14ac:dyDescent="0.35">
      <c r="I9657" s="35"/>
      <c r="O9657" s="35"/>
    </row>
    <row r="9658" spans="9:15" x14ac:dyDescent="0.35">
      <c r="I9658" s="35"/>
      <c r="O9658" s="35"/>
    </row>
    <row r="9659" spans="9:15" x14ac:dyDescent="0.35">
      <c r="I9659" s="35"/>
      <c r="O9659" s="35"/>
    </row>
    <row r="9660" spans="9:15" x14ac:dyDescent="0.35">
      <c r="I9660" s="35"/>
      <c r="O9660" s="35"/>
    </row>
    <row r="9661" spans="9:15" x14ac:dyDescent="0.35">
      <c r="I9661" s="35"/>
      <c r="O9661" s="35"/>
    </row>
    <row r="9662" spans="9:15" x14ac:dyDescent="0.35">
      <c r="I9662" s="35"/>
      <c r="O9662" s="35"/>
    </row>
    <row r="9663" spans="9:15" x14ac:dyDescent="0.35">
      <c r="I9663" s="35"/>
      <c r="O9663" s="35"/>
    </row>
    <row r="9664" spans="9:15" x14ac:dyDescent="0.35">
      <c r="I9664" s="35"/>
      <c r="O9664" s="35"/>
    </row>
    <row r="9665" spans="9:15" x14ac:dyDescent="0.35">
      <c r="I9665" s="35"/>
      <c r="O9665" s="35"/>
    </row>
    <row r="9666" spans="9:15" x14ac:dyDescent="0.35">
      <c r="I9666" s="35"/>
      <c r="O9666" s="35"/>
    </row>
    <row r="9667" spans="9:15" x14ac:dyDescent="0.35">
      <c r="I9667" s="35"/>
      <c r="O9667" s="35"/>
    </row>
    <row r="9668" spans="9:15" x14ac:dyDescent="0.35">
      <c r="I9668" s="35"/>
      <c r="O9668" s="35"/>
    </row>
    <row r="9669" spans="9:15" x14ac:dyDescent="0.35">
      <c r="I9669" s="35"/>
      <c r="O9669" s="35"/>
    </row>
    <row r="9670" spans="9:15" x14ac:dyDescent="0.35">
      <c r="I9670" s="35"/>
      <c r="O9670" s="35"/>
    </row>
    <row r="9671" spans="9:15" x14ac:dyDescent="0.35">
      <c r="I9671" s="35"/>
      <c r="O9671" s="35"/>
    </row>
    <row r="9672" spans="9:15" x14ac:dyDescent="0.35">
      <c r="I9672" s="35"/>
      <c r="O9672" s="35"/>
    </row>
    <row r="9673" spans="9:15" x14ac:dyDescent="0.35">
      <c r="I9673" s="35"/>
      <c r="O9673" s="35"/>
    </row>
    <row r="9674" spans="9:15" x14ac:dyDescent="0.35">
      <c r="I9674" s="35"/>
      <c r="O9674" s="35"/>
    </row>
    <row r="9675" spans="9:15" x14ac:dyDescent="0.35">
      <c r="I9675" s="35"/>
      <c r="O9675" s="35"/>
    </row>
    <row r="9676" spans="9:15" x14ac:dyDescent="0.35">
      <c r="I9676" s="35"/>
      <c r="O9676" s="35"/>
    </row>
    <row r="9677" spans="9:15" x14ac:dyDescent="0.35">
      <c r="I9677" s="35"/>
      <c r="O9677" s="35"/>
    </row>
    <row r="9678" spans="9:15" x14ac:dyDescent="0.35">
      <c r="I9678" s="35"/>
      <c r="O9678" s="35"/>
    </row>
    <row r="9679" spans="9:15" x14ac:dyDescent="0.35">
      <c r="I9679" s="35"/>
      <c r="O9679" s="35"/>
    </row>
    <row r="9680" spans="9:15" x14ac:dyDescent="0.35">
      <c r="I9680" s="35"/>
      <c r="O9680" s="35"/>
    </row>
    <row r="9681" spans="9:15" x14ac:dyDescent="0.35">
      <c r="I9681" s="35"/>
      <c r="O9681" s="35"/>
    </row>
    <row r="9682" spans="9:15" x14ac:dyDescent="0.35">
      <c r="I9682" s="35"/>
      <c r="O9682" s="35"/>
    </row>
    <row r="9683" spans="9:15" x14ac:dyDescent="0.35">
      <c r="I9683" s="35"/>
      <c r="O9683" s="35"/>
    </row>
    <row r="9684" spans="9:15" x14ac:dyDescent="0.35">
      <c r="I9684" s="35"/>
      <c r="O9684" s="35"/>
    </row>
    <row r="9685" spans="9:15" x14ac:dyDescent="0.35">
      <c r="I9685" s="35"/>
      <c r="O9685" s="35"/>
    </row>
    <row r="9686" spans="9:15" x14ac:dyDescent="0.35">
      <c r="I9686" s="35"/>
      <c r="O9686" s="35"/>
    </row>
    <row r="9687" spans="9:15" x14ac:dyDescent="0.35">
      <c r="I9687" s="35"/>
      <c r="O9687" s="35"/>
    </row>
    <row r="9688" spans="9:15" x14ac:dyDescent="0.35">
      <c r="I9688" s="35"/>
      <c r="O9688" s="35"/>
    </row>
    <row r="9689" spans="9:15" x14ac:dyDescent="0.35">
      <c r="I9689" s="35"/>
      <c r="O9689" s="35"/>
    </row>
    <row r="9690" spans="9:15" x14ac:dyDescent="0.35">
      <c r="I9690" s="35"/>
      <c r="O9690" s="35"/>
    </row>
    <row r="9691" spans="9:15" x14ac:dyDescent="0.35">
      <c r="I9691" s="35"/>
      <c r="O9691" s="35"/>
    </row>
    <row r="9692" spans="9:15" x14ac:dyDescent="0.35">
      <c r="I9692" s="35"/>
      <c r="O9692" s="35"/>
    </row>
    <row r="9693" spans="9:15" x14ac:dyDescent="0.35">
      <c r="I9693" s="35"/>
      <c r="O9693" s="35"/>
    </row>
    <row r="9694" spans="9:15" x14ac:dyDescent="0.35">
      <c r="I9694" s="35"/>
      <c r="O9694" s="35"/>
    </row>
    <row r="9695" spans="9:15" x14ac:dyDescent="0.35">
      <c r="I9695" s="35"/>
      <c r="O9695" s="35"/>
    </row>
    <row r="9696" spans="9:15" x14ac:dyDescent="0.35">
      <c r="I9696" s="35"/>
      <c r="O9696" s="35"/>
    </row>
    <row r="9697" spans="9:15" x14ac:dyDescent="0.35">
      <c r="I9697" s="35"/>
      <c r="O9697" s="35"/>
    </row>
    <row r="9698" spans="9:15" x14ac:dyDescent="0.35">
      <c r="I9698" s="35"/>
      <c r="O9698" s="35"/>
    </row>
    <row r="9699" spans="9:15" x14ac:dyDescent="0.35">
      <c r="I9699" s="35"/>
      <c r="O9699" s="35"/>
    </row>
    <row r="9700" spans="9:15" x14ac:dyDescent="0.35">
      <c r="I9700" s="35"/>
      <c r="O9700" s="35"/>
    </row>
    <row r="9701" spans="9:15" x14ac:dyDescent="0.35">
      <c r="I9701" s="35"/>
      <c r="O9701" s="35"/>
    </row>
    <row r="9702" spans="9:15" x14ac:dyDescent="0.35">
      <c r="I9702" s="35"/>
      <c r="O9702" s="35"/>
    </row>
    <row r="9703" spans="9:15" x14ac:dyDescent="0.35">
      <c r="I9703" s="35"/>
      <c r="O9703" s="35"/>
    </row>
    <row r="9704" spans="9:15" x14ac:dyDescent="0.35">
      <c r="I9704" s="35"/>
      <c r="O9704" s="35"/>
    </row>
    <row r="9705" spans="9:15" x14ac:dyDescent="0.35">
      <c r="I9705" s="35"/>
      <c r="O9705" s="35"/>
    </row>
    <row r="9706" spans="9:15" x14ac:dyDescent="0.35">
      <c r="I9706" s="35"/>
      <c r="O9706" s="35"/>
    </row>
    <row r="9707" spans="9:15" x14ac:dyDescent="0.35">
      <c r="I9707" s="35"/>
      <c r="O9707" s="35"/>
    </row>
    <row r="9708" spans="9:15" x14ac:dyDescent="0.35">
      <c r="I9708" s="35"/>
      <c r="O9708" s="35"/>
    </row>
    <row r="9709" spans="9:15" x14ac:dyDescent="0.35">
      <c r="I9709" s="35"/>
      <c r="O9709" s="35"/>
    </row>
    <row r="9710" spans="9:15" x14ac:dyDescent="0.35">
      <c r="I9710" s="35"/>
      <c r="O9710" s="35"/>
    </row>
    <row r="9711" spans="9:15" x14ac:dyDescent="0.35">
      <c r="I9711" s="35"/>
      <c r="O9711" s="35"/>
    </row>
    <row r="9712" spans="9:15" x14ac:dyDescent="0.35">
      <c r="I9712" s="35"/>
      <c r="O9712" s="35"/>
    </row>
    <row r="9713" spans="9:15" x14ac:dyDescent="0.35">
      <c r="I9713" s="35"/>
      <c r="O9713" s="35"/>
    </row>
    <row r="9714" spans="9:15" x14ac:dyDescent="0.35">
      <c r="I9714" s="35"/>
      <c r="O9714" s="35"/>
    </row>
    <row r="9715" spans="9:15" x14ac:dyDescent="0.35">
      <c r="I9715" s="35"/>
      <c r="O9715" s="35"/>
    </row>
    <row r="9716" spans="9:15" x14ac:dyDescent="0.35">
      <c r="I9716" s="35"/>
      <c r="O9716" s="35"/>
    </row>
    <row r="9717" spans="9:15" x14ac:dyDescent="0.35">
      <c r="I9717" s="35"/>
      <c r="O9717" s="35"/>
    </row>
    <row r="9718" spans="9:15" x14ac:dyDescent="0.35">
      <c r="I9718" s="35"/>
      <c r="O9718" s="35"/>
    </row>
    <row r="9719" spans="9:15" x14ac:dyDescent="0.35">
      <c r="I9719" s="35"/>
      <c r="O9719" s="35"/>
    </row>
    <row r="9720" spans="9:15" x14ac:dyDescent="0.35">
      <c r="I9720" s="35"/>
      <c r="O9720" s="35"/>
    </row>
    <row r="9721" spans="9:15" x14ac:dyDescent="0.35">
      <c r="I9721" s="35"/>
      <c r="O9721" s="35"/>
    </row>
    <row r="9722" spans="9:15" x14ac:dyDescent="0.35">
      <c r="I9722" s="35"/>
      <c r="O9722" s="35"/>
    </row>
    <row r="9723" spans="9:15" x14ac:dyDescent="0.35">
      <c r="I9723" s="35"/>
      <c r="O9723" s="35"/>
    </row>
    <row r="9724" spans="9:15" x14ac:dyDescent="0.35">
      <c r="I9724" s="35"/>
      <c r="O9724" s="35"/>
    </row>
    <row r="9725" spans="9:15" x14ac:dyDescent="0.35">
      <c r="I9725" s="35"/>
      <c r="O9725" s="35"/>
    </row>
    <row r="9726" spans="9:15" x14ac:dyDescent="0.35">
      <c r="I9726" s="35"/>
      <c r="O9726" s="35"/>
    </row>
    <row r="9727" spans="9:15" x14ac:dyDescent="0.35">
      <c r="I9727" s="35"/>
      <c r="O9727" s="35"/>
    </row>
    <row r="9728" spans="9:15" x14ac:dyDescent="0.35">
      <c r="I9728" s="35"/>
      <c r="O9728" s="35"/>
    </row>
    <row r="9729" spans="9:15" x14ac:dyDescent="0.35">
      <c r="I9729" s="35"/>
      <c r="O9729" s="35"/>
    </row>
    <row r="9730" spans="9:15" x14ac:dyDescent="0.35">
      <c r="I9730" s="35"/>
      <c r="O9730" s="35"/>
    </row>
    <row r="9731" spans="9:15" x14ac:dyDescent="0.35">
      <c r="I9731" s="35"/>
      <c r="O9731" s="35"/>
    </row>
    <row r="9732" spans="9:15" x14ac:dyDescent="0.35">
      <c r="I9732" s="35"/>
      <c r="O9732" s="35"/>
    </row>
    <row r="9733" spans="9:15" x14ac:dyDescent="0.35">
      <c r="I9733" s="35"/>
      <c r="O9733" s="35"/>
    </row>
    <row r="9734" spans="9:15" x14ac:dyDescent="0.35">
      <c r="I9734" s="35"/>
      <c r="O9734" s="35"/>
    </row>
    <row r="9735" spans="9:15" x14ac:dyDescent="0.35">
      <c r="I9735" s="35"/>
      <c r="O9735" s="35"/>
    </row>
    <row r="9736" spans="9:15" x14ac:dyDescent="0.35">
      <c r="I9736" s="35"/>
      <c r="O9736" s="35"/>
    </row>
    <row r="9737" spans="9:15" x14ac:dyDescent="0.35">
      <c r="I9737" s="35"/>
      <c r="O9737" s="35"/>
    </row>
    <row r="9738" spans="9:15" x14ac:dyDescent="0.35">
      <c r="I9738" s="35"/>
      <c r="O9738" s="35"/>
    </row>
    <row r="9739" spans="9:15" x14ac:dyDescent="0.35">
      <c r="I9739" s="35"/>
      <c r="O9739" s="35"/>
    </row>
    <row r="9740" spans="9:15" x14ac:dyDescent="0.35">
      <c r="I9740" s="35"/>
      <c r="O9740" s="35"/>
    </row>
    <row r="9741" spans="9:15" x14ac:dyDescent="0.35">
      <c r="I9741" s="35"/>
      <c r="O9741" s="35"/>
    </row>
    <row r="9742" spans="9:15" x14ac:dyDescent="0.35">
      <c r="I9742" s="35"/>
      <c r="O9742" s="35"/>
    </row>
    <row r="9743" spans="9:15" x14ac:dyDescent="0.35">
      <c r="I9743" s="35"/>
      <c r="O9743" s="35"/>
    </row>
    <row r="9744" spans="9:15" x14ac:dyDescent="0.35">
      <c r="I9744" s="35"/>
      <c r="O9744" s="35"/>
    </row>
    <row r="9745" spans="9:15" x14ac:dyDescent="0.35">
      <c r="I9745" s="35"/>
      <c r="O9745" s="35"/>
    </row>
    <row r="9746" spans="9:15" x14ac:dyDescent="0.35">
      <c r="I9746" s="35"/>
      <c r="O9746" s="35"/>
    </row>
    <row r="9747" spans="9:15" x14ac:dyDescent="0.35">
      <c r="I9747" s="35"/>
      <c r="O9747" s="35"/>
    </row>
    <row r="9748" spans="9:15" x14ac:dyDescent="0.35">
      <c r="I9748" s="35"/>
      <c r="O9748" s="35"/>
    </row>
    <row r="9749" spans="9:15" x14ac:dyDescent="0.35">
      <c r="I9749" s="35"/>
      <c r="O9749" s="35"/>
    </row>
    <row r="9750" spans="9:15" x14ac:dyDescent="0.35">
      <c r="I9750" s="35"/>
      <c r="O9750" s="35"/>
    </row>
    <row r="9751" spans="9:15" x14ac:dyDescent="0.35">
      <c r="I9751" s="35"/>
      <c r="O9751" s="35"/>
    </row>
    <row r="9752" spans="9:15" x14ac:dyDescent="0.35">
      <c r="I9752" s="35"/>
      <c r="O9752" s="35"/>
    </row>
    <row r="9753" spans="9:15" x14ac:dyDescent="0.35">
      <c r="I9753" s="35"/>
      <c r="O9753" s="35"/>
    </row>
    <row r="9754" spans="9:15" x14ac:dyDescent="0.35">
      <c r="I9754" s="35"/>
      <c r="O9754" s="35"/>
    </row>
    <row r="9755" spans="9:15" x14ac:dyDescent="0.35">
      <c r="I9755" s="35"/>
      <c r="O9755" s="35"/>
    </row>
    <row r="9756" spans="9:15" x14ac:dyDescent="0.35">
      <c r="I9756" s="35"/>
      <c r="O9756" s="35"/>
    </row>
    <row r="9757" spans="9:15" x14ac:dyDescent="0.35">
      <c r="I9757" s="35"/>
      <c r="O9757" s="35"/>
    </row>
    <row r="9758" spans="9:15" x14ac:dyDescent="0.35">
      <c r="I9758" s="35"/>
      <c r="O9758" s="35"/>
    </row>
    <row r="9759" spans="9:15" x14ac:dyDescent="0.35">
      <c r="I9759" s="35"/>
      <c r="O9759" s="35"/>
    </row>
    <row r="9760" spans="9:15" x14ac:dyDescent="0.35">
      <c r="I9760" s="35"/>
      <c r="O9760" s="35"/>
    </row>
    <row r="9761" spans="9:15" x14ac:dyDescent="0.35">
      <c r="I9761" s="35"/>
      <c r="O9761" s="35"/>
    </row>
    <row r="9762" spans="9:15" x14ac:dyDescent="0.35">
      <c r="I9762" s="35"/>
      <c r="O9762" s="35"/>
    </row>
    <row r="9763" spans="9:15" x14ac:dyDescent="0.35">
      <c r="I9763" s="35"/>
      <c r="O9763" s="35"/>
    </row>
    <row r="9764" spans="9:15" x14ac:dyDescent="0.35">
      <c r="I9764" s="35"/>
      <c r="O9764" s="35"/>
    </row>
    <row r="9765" spans="9:15" x14ac:dyDescent="0.35">
      <c r="I9765" s="35"/>
      <c r="O9765" s="35"/>
    </row>
    <row r="9766" spans="9:15" x14ac:dyDescent="0.35">
      <c r="I9766" s="35"/>
      <c r="O9766" s="35"/>
    </row>
    <row r="9767" spans="9:15" x14ac:dyDescent="0.35">
      <c r="I9767" s="35"/>
      <c r="O9767" s="35"/>
    </row>
    <row r="9768" spans="9:15" x14ac:dyDescent="0.35">
      <c r="I9768" s="35"/>
      <c r="O9768" s="35"/>
    </row>
    <row r="9769" spans="9:15" x14ac:dyDescent="0.35">
      <c r="I9769" s="35"/>
      <c r="O9769" s="35"/>
    </row>
    <row r="9770" spans="9:15" x14ac:dyDescent="0.35">
      <c r="I9770" s="35"/>
      <c r="O9770" s="35"/>
    </row>
    <row r="9771" spans="9:15" x14ac:dyDescent="0.35">
      <c r="I9771" s="35"/>
      <c r="O9771" s="35"/>
    </row>
    <row r="9772" spans="9:15" x14ac:dyDescent="0.35">
      <c r="I9772" s="35"/>
      <c r="O9772" s="35"/>
    </row>
    <row r="9773" spans="9:15" x14ac:dyDescent="0.35">
      <c r="I9773" s="35"/>
      <c r="O9773" s="35"/>
    </row>
    <row r="9774" spans="9:15" x14ac:dyDescent="0.35">
      <c r="I9774" s="35"/>
      <c r="O9774" s="35"/>
    </row>
    <row r="9775" spans="9:15" x14ac:dyDescent="0.35">
      <c r="I9775" s="35"/>
      <c r="O9775" s="35"/>
    </row>
    <row r="9776" spans="9:15" x14ac:dyDescent="0.35">
      <c r="I9776" s="35"/>
      <c r="O9776" s="35"/>
    </row>
    <row r="9777" spans="9:15" x14ac:dyDescent="0.35">
      <c r="I9777" s="35"/>
      <c r="O9777" s="35"/>
    </row>
    <row r="9778" spans="9:15" x14ac:dyDescent="0.35">
      <c r="I9778" s="35"/>
      <c r="O9778" s="35"/>
    </row>
    <row r="9779" spans="9:15" x14ac:dyDescent="0.35">
      <c r="I9779" s="35"/>
      <c r="O9779" s="35"/>
    </row>
    <row r="9780" spans="9:15" x14ac:dyDescent="0.35">
      <c r="I9780" s="35"/>
      <c r="O9780" s="35"/>
    </row>
    <row r="9781" spans="9:15" x14ac:dyDescent="0.35">
      <c r="I9781" s="35"/>
      <c r="O9781" s="35"/>
    </row>
    <row r="9782" spans="9:15" x14ac:dyDescent="0.35">
      <c r="I9782" s="35"/>
      <c r="O9782" s="35"/>
    </row>
    <row r="9783" spans="9:15" x14ac:dyDescent="0.35">
      <c r="I9783" s="35"/>
      <c r="O9783" s="35"/>
    </row>
    <row r="9784" spans="9:15" x14ac:dyDescent="0.35">
      <c r="I9784" s="35"/>
      <c r="O9784" s="35"/>
    </row>
    <row r="9785" spans="9:15" x14ac:dyDescent="0.35">
      <c r="I9785" s="35"/>
      <c r="O9785" s="35"/>
    </row>
    <row r="9786" spans="9:15" x14ac:dyDescent="0.35">
      <c r="I9786" s="35"/>
      <c r="O9786" s="35"/>
    </row>
    <row r="9787" spans="9:15" x14ac:dyDescent="0.35">
      <c r="I9787" s="35"/>
      <c r="O9787" s="35"/>
    </row>
    <row r="9788" spans="9:15" x14ac:dyDescent="0.35">
      <c r="I9788" s="35"/>
      <c r="O9788" s="35"/>
    </row>
    <row r="9789" spans="9:15" x14ac:dyDescent="0.35">
      <c r="I9789" s="35"/>
      <c r="O9789" s="35"/>
    </row>
    <row r="9790" spans="9:15" x14ac:dyDescent="0.35">
      <c r="I9790" s="35"/>
      <c r="O9790" s="35"/>
    </row>
    <row r="9791" spans="9:15" x14ac:dyDescent="0.35">
      <c r="I9791" s="35"/>
      <c r="O9791" s="35"/>
    </row>
    <row r="9792" spans="9:15" x14ac:dyDescent="0.35">
      <c r="I9792" s="35"/>
      <c r="O9792" s="35"/>
    </row>
    <row r="9793" spans="9:15" x14ac:dyDescent="0.35">
      <c r="I9793" s="35"/>
      <c r="O9793" s="35"/>
    </row>
    <row r="9794" spans="9:15" x14ac:dyDescent="0.35">
      <c r="I9794" s="35"/>
      <c r="O9794" s="35"/>
    </row>
    <row r="9795" spans="9:15" x14ac:dyDescent="0.35">
      <c r="I9795" s="35"/>
      <c r="O9795" s="35"/>
    </row>
    <row r="9796" spans="9:15" x14ac:dyDescent="0.35">
      <c r="I9796" s="35"/>
      <c r="O9796" s="35"/>
    </row>
    <row r="9797" spans="9:15" x14ac:dyDescent="0.35">
      <c r="I9797" s="35"/>
      <c r="O9797" s="35"/>
    </row>
    <row r="9798" spans="9:15" x14ac:dyDescent="0.35">
      <c r="I9798" s="35"/>
      <c r="O9798" s="35"/>
    </row>
    <row r="9799" spans="9:15" x14ac:dyDescent="0.35">
      <c r="I9799" s="35"/>
      <c r="O9799" s="35"/>
    </row>
    <row r="9800" spans="9:15" x14ac:dyDescent="0.35">
      <c r="I9800" s="35"/>
      <c r="O9800" s="35"/>
    </row>
    <row r="9801" spans="9:15" x14ac:dyDescent="0.35">
      <c r="I9801" s="35"/>
      <c r="O9801" s="35"/>
    </row>
    <row r="9802" spans="9:15" x14ac:dyDescent="0.35">
      <c r="I9802" s="35"/>
      <c r="O9802" s="35"/>
    </row>
    <row r="9803" spans="9:15" x14ac:dyDescent="0.35">
      <c r="I9803" s="35"/>
      <c r="O9803" s="35"/>
    </row>
    <row r="9804" spans="9:15" x14ac:dyDescent="0.35">
      <c r="I9804" s="35"/>
      <c r="O9804" s="35"/>
    </row>
    <row r="9805" spans="9:15" x14ac:dyDescent="0.35">
      <c r="I9805" s="35"/>
      <c r="O9805" s="35"/>
    </row>
    <row r="9806" spans="9:15" x14ac:dyDescent="0.35">
      <c r="I9806" s="35"/>
      <c r="O9806" s="35"/>
    </row>
    <row r="9807" spans="9:15" x14ac:dyDescent="0.35">
      <c r="I9807" s="35"/>
      <c r="O9807" s="35"/>
    </row>
    <row r="9808" spans="9:15" x14ac:dyDescent="0.35">
      <c r="I9808" s="35"/>
      <c r="O9808" s="35"/>
    </row>
    <row r="9809" spans="9:15" x14ac:dyDescent="0.35">
      <c r="I9809" s="35"/>
      <c r="O9809" s="35"/>
    </row>
    <row r="9810" spans="9:15" x14ac:dyDescent="0.35">
      <c r="I9810" s="35"/>
      <c r="O9810" s="35"/>
    </row>
    <row r="9811" spans="9:15" x14ac:dyDescent="0.35">
      <c r="I9811" s="35"/>
      <c r="O9811" s="35"/>
    </row>
    <row r="9812" spans="9:15" x14ac:dyDescent="0.35">
      <c r="I9812" s="35"/>
      <c r="O9812" s="35"/>
    </row>
    <row r="9813" spans="9:15" x14ac:dyDescent="0.35">
      <c r="I9813" s="35"/>
      <c r="O9813" s="35"/>
    </row>
    <row r="9814" spans="9:15" x14ac:dyDescent="0.35">
      <c r="I9814" s="35"/>
      <c r="O9814" s="35"/>
    </row>
    <row r="9815" spans="9:15" x14ac:dyDescent="0.35">
      <c r="I9815" s="35"/>
      <c r="O9815" s="35"/>
    </row>
    <row r="9816" spans="9:15" x14ac:dyDescent="0.35">
      <c r="I9816" s="35"/>
      <c r="O9816" s="35"/>
    </row>
    <row r="9817" spans="9:15" x14ac:dyDescent="0.35">
      <c r="I9817" s="35"/>
      <c r="O9817" s="35"/>
    </row>
    <row r="9818" spans="9:15" x14ac:dyDescent="0.35">
      <c r="I9818" s="35"/>
      <c r="O9818" s="35"/>
    </row>
    <row r="9819" spans="9:15" x14ac:dyDescent="0.35">
      <c r="I9819" s="35"/>
      <c r="O9819" s="35"/>
    </row>
    <row r="9820" spans="9:15" x14ac:dyDescent="0.35">
      <c r="I9820" s="35"/>
      <c r="O9820" s="35"/>
    </row>
    <row r="9821" spans="9:15" x14ac:dyDescent="0.35">
      <c r="I9821" s="35"/>
      <c r="O9821" s="35"/>
    </row>
    <row r="9822" spans="9:15" x14ac:dyDescent="0.35">
      <c r="I9822" s="35"/>
      <c r="O9822" s="35"/>
    </row>
    <row r="9823" spans="9:15" x14ac:dyDescent="0.35">
      <c r="I9823" s="35"/>
      <c r="O9823" s="35"/>
    </row>
    <row r="9824" spans="9:15" x14ac:dyDescent="0.35">
      <c r="I9824" s="35"/>
      <c r="O9824" s="35"/>
    </row>
    <row r="9825" spans="9:15" x14ac:dyDescent="0.35">
      <c r="I9825" s="35"/>
      <c r="O9825" s="35"/>
    </row>
    <row r="9826" spans="9:15" x14ac:dyDescent="0.35">
      <c r="I9826" s="35"/>
      <c r="O9826" s="35"/>
    </row>
    <row r="9827" spans="9:15" x14ac:dyDescent="0.35">
      <c r="I9827" s="35"/>
      <c r="O9827" s="35"/>
    </row>
    <row r="9828" spans="9:15" x14ac:dyDescent="0.35">
      <c r="I9828" s="35"/>
      <c r="O9828" s="35"/>
    </row>
    <row r="9829" spans="9:15" x14ac:dyDescent="0.35">
      <c r="I9829" s="35"/>
      <c r="O9829" s="35"/>
    </row>
    <row r="9830" spans="9:15" x14ac:dyDescent="0.35">
      <c r="I9830" s="35"/>
      <c r="O9830" s="35"/>
    </row>
    <row r="9831" spans="9:15" x14ac:dyDescent="0.35">
      <c r="I9831" s="35"/>
      <c r="O9831" s="35"/>
    </row>
    <row r="9832" spans="9:15" x14ac:dyDescent="0.35">
      <c r="I9832" s="35"/>
      <c r="O9832" s="35"/>
    </row>
    <row r="9833" spans="9:15" x14ac:dyDescent="0.35">
      <c r="I9833" s="35"/>
      <c r="O9833" s="35"/>
    </row>
    <row r="9834" spans="9:15" x14ac:dyDescent="0.35">
      <c r="I9834" s="35"/>
      <c r="O9834" s="35"/>
    </row>
    <row r="9835" spans="9:15" x14ac:dyDescent="0.35">
      <c r="I9835" s="35"/>
      <c r="O9835" s="35"/>
    </row>
    <row r="9836" spans="9:15" x14ac:dyDescent="0.35">
      <c r="I9836" s="35"/>
      <c r="O9836" s="35"/>
    </row>
    <row r="9837" spans="9:15" x14ac:dyDescent="0.35">
      <c r="I9837" s="35"/>
      <c r="O9837" s="35"/>
    </row>
    <row r="9838" spans="9:15" x14ac:dyDescent="0.35">
      <c r="I9838" s="35"/>
      <c r="O9838" s="35"/>
    </row>
    <row r="9839" spans="9:15" x14ac:dyDescent="0.35">
      <c r="I9839" s="35"/>
      <c r="O9839" s="35"/>
    </row>
    <row r="9840" spans="9:15" x14ac:dyDescent="0.35">
      <c r="I9840" s="35"/>
      <c r="O9840" s="35"/>
    </row>
    <row r="9841" spans="9:15" x14ac:dyDescent="0.35">
      <c r="I9841" s="35"/>
      <c r="O9841" s="35"/>
    </row>
    <row r="9842" spans="9:15" x14ac:dyDescent="0.35">
      <c r="I9842" s="35"/>
      <c r="O9842" s="35"/>
    </row>
    <row r="9843" spans="9:15" x14ac:dyDescent="0.35">
      <c r="I9843" s="35"/>
      <c r="O9843" s="35"/>
    </row>
    <row r="9844" spans="9:15" x14ac:dyDescent="0.35">
      <c r="I9844" s="35"/>
      <c r="O9844" s="35"/>
    </row>
    <row r="9845" spans="9:15" x14ac:dyDescent="0.35">
      <c r="I9845" s="35"/>
      <c r="O9845" s="35"/>
    </row>
    <row r="9846" spans="9:15" x14ac:dyDescent="0.35">
      <c r="I9846" s="35"/>
      <c r="O9846" s="35"/>
    </row>
    <row r="9847" spans="9:15" x14ac:dyDescent="0.35">
      <c r="I9847" s="35"/>
      <c r="O9847" s="35"/>
    </row>
    <row r="9848" spans="9:15" x14ac:dyDescent="0.35">
      <c r="I9848" s="35"/>
      <c r="O9848" s="35"/>
    </row>
    <row r="9849" spans="9:15" x14ac:dyDescent="0.35">
      <c r="I9849" s="35"/>
      <c r="O9849" s="35"/>
    </row>
    <row r="9850" spans="9:15" x14ac:dyDescent="0.35">
      <c r="I9850" s="35"/>
      <c r="O9850" s="35"/>
    </row>
    <row r="9851" spans="9:15" x14ac:dyDescent="0.35">
      <c r="I9851" s="35"/>
      <c r="O9851" s="35"/>
    </row>
    <row r="9852" spans="9:15" x14ac:dyDescent="0.35">
      <c r="I9852" s="35"/>
      <c r="O9852" s="35"/>
    </row>
    <row r="9853" spans="9:15" x14ac:dyDescent="0.35">
      <c r="I9853" s="35"/>
      <c r="O9853" s="35"/>
    </row>
    <row r="9854" spans="9:15" x14ac:dyDescent="0.35">
      <c r="I9854" s="35"/>
      <c r="O9854" s="35"/>
    </row>
    <row r="9855" spans="9:15" x14ac:dyDescent="0.35">
      <c r="I9855" s="35"/>
      <c r="O9855" s="35"/>
    </row>
    <row r="9856" spans="9:15" x14ac:dyDescent="0.35">
      <c r="I9856" s="35"/>
      <c r="O9856" s="35"/>
    </row>
    <row r="9857" spans="9:15" x14ac:dyDescent="0.35">
      <c r="I9857" s="35"/>
      <c r="O9857" s="35"/>
    </row>
    <row r="9858" spans="9:15" x14ac:dyDescent="0.35">
      <c r="I9858" s="35"/>
      <c r="O9858" s="35"/>
    </row>
    <row r="9859" spans="9:15" x14ac:dyDescent="0.35">
      <c r="I9859" s="35"/>
      <c r="O9859" s="35"/>
    </row>
    <row r="9860" spans="9:15" x14ac:dyDescent="0.35">
      <c r="I9860" s="35"/>
      <c r="O9860" s="35"/>
    </row>
    <row r="9861" spans="9:15" x14ac:dyDescent="0.35">
      <c r="I9861" s="35"/>
      <c r="O9861" s="35"/>
    </row>
    <row r="9862" spans="9:15" x14ac:dyDescent="0.35">
      <c r="I9862" s="35"/>
      <c r="O9862" s="35"/>
    </row>
    <row r="9863" spans="9:15" x14ac:dyDescent="0.35">
      <c r="I9863" s="35"/>
      <c r="O9863" s="35"/>
    </row>
    <row r="9864" spans="9:15" x14ac:dyDescent="0.35">
      <c r="I9864" s="35"/>
      <c r="O9864" s="35"/>
    </row>
    <row r="9865" spans="9:15" x14ac:dyDescent="0.35">
      <c r="I9865" s="35"/>
      <c r="O9865" s="35"/>
    </row>
    <row r="9866" spans="9:15" x14ac:dyDescent="0.35">
      <c r="I9866" s="35"/>
      <c r="O9866" s="35"/>
    </row>
    <row r="9867" spans="9:15" x14ac:dyDescent="0.35">
      <c r="I9867" s="35"/>
      <c r="O9867" s="35"/>
    </row>
    <row r="9868" spans="9:15" x14ac:dyDescent="0.35">
      <c r="I9868" s="35"/>
      <c r="O9868" s="35"/>
    </row>
    <row r="9869" spans="9:15" x14ac:dyDescent="0.35">
      <c r="I9869" s="35"/>
      <c r="O9869" s="35"/>
    </row>
    <row r="9870" spans="9:15" x14ac:dyDescent="0.35">
      <c r="I9870" s="35"/>
      <c r="O9870" s="35"/>
    </row>
    <row r="9871" spans="9:15" x14ac:dyDescent="0.35">
      <c r="I9871" s="35"/>
      <c r="O9871" s="35"/>
    </row>
    <row r="9872" spans="9:15" x14ac:dyDescent="0.35">
      <c r="I9872" s="35"/>
      <c r="O9872" s="35"/>
    </row>
    <row r="9873" spans="9:15" x14ac:dyDescent="0.35">
      <c r="I9873" s="35"/>
      <c r="O9873" s="35"/>
    </row>
    <row r="9874" spans="9:15" x14ac:dyDescent="0.35">
      <c r="I9874" s="35"/>
      <c r="O9874" s="35"/>
    </row>
    <row r="9875" spans="9:15" x14ac:dyDescent="0.35">
      <c r="I9875" s="35"/>
      <c r="O9875" s="35"/>
    </row>
    <row r="9876" spans="9:15" x14ac:dyDescent="0.35">
      <c r="I9876" s="35"/>
      <c r="O9876" s="35"/>
    </row>
    <row r="9877" spans="9:15" x14ac:dyDescent="0.35">
      <c r="I9877" s="35"/>
      <c r="O9877" s="35"/>
    </row>
    <row r="9878" spans="9:15" x14ac:dyDescent="0.35">
      <c r="I9878" s="35"/>
      <c r="O9878" s="35"/>
    </row>
    <row r="9879" spans="9:15" x14ac:dyDescent="0.35">
      <c r="I9879" s="35"/>
      <c r="O9879" s="35"/>
    </row>
    <row r="9880" spans="9:15" x14ac:dyDescent="0.35">
      <c r="I9880" s="35"/>
      <c r="O9880" s="35"/>
    </row>
    <row r="9881" spans="9:15" x14ac:dyDescent="0.35">
      <c r="I9881" s="35"/>
      <c r="O9881" s="35"/>
    </row>
    <row r="9882" spans="9:15" x14ac:dyDescent="0.35">
      <c r="I9882" s="35"/>
      <c r="O9882" s="35"/>
    </row>
    <row r="9883" spans="9:15" x14ac:dyDescent="0.35">
      <c r="I9883" s="35"/>
      <c r="O9883" s="35"/>
    </row>
    <row r="9884" spans="9:15" x14ac:dyDescent="0.35">
      <c r="I9884" s="35"/>
      <c r="O9884" s="35"/>
    </row>
    <row r="9885" spans="9:15" x14ac:dyDescent="0.35">
      <c r="I9885" s="35"/>
      <c r="O9885" s="35"/>
    </row>
    <row r="9886" spans="9:15" x14ac:dyDescent="0.35">
      <c r="I9886" s="35"/>
      <c r="O9886" s="35"/>
    </row>
    <row r="9887" spans="9:15" x14ac:dyDescent="0.35">
      <c r="I9887" s="35"/>
      <c r="O9887" s="35"/>
    </row>
    <row r="9888" spans="9:15" x14ac:dyDescent="0.35">
      <c r="I9888" s="35"/>
      <c r="O9888" s="35"/>
    </row>
    <row r="9889" spans="9:15" x14ac:dyDescent="0.35">
      <c r="I9889" s="35"/>
      <c r="O9889" s="35"/>
    </row>
    <row r="9890" spans="9:15" x14ac:dyDescent="0.35">
      <c r="I9890" s="35"/>
      <c r="O9890" s="35"/>
    </row>
    <row r="9891" spans="9:15" x14ac:dyDescent="0.35">
      <c r="I9891" s="35"/>
      <c r="O9891" s="35"/>
    </row>
    <row r="9892" spans="9:15" x14ac:dyDescent="0.35">
      <c r="I9892" s="35"/>
      <c r="O9892" s="35"/>
    </row>
    <row r="9893" spans="9:15" x14ac:dyDescent="0.35">
      <c r="I9893" s="35"/>
      <c r="O9893" s="35"/>
    </row>
    <row r="9894" spans="9:15" x14ac:dyDescent="0.35">
      <c r="I9894" s="35"/>
      <c r="O9894" s="35"/>
    </row>
    <row r="9895" spans="9:15" x14ac:dyDescent="0.35">
      <c r="I9895" s="35"/>
      <c r="O9895" s="35"/>
    </row>
    <row r="9896" spans="9:15" x14ac:dyDescent="0.35">
      <c r="I9896" s="35"/>
      <c r="O9896" s="35"/>
    </row>
    <row r="9897" spans="9:15" x14ac:dyDescent="0.35">
      <c r="I9897" s="35"/>
      <c r="O9897" s="35"/>
    </row>
    <row r="9898" spans="9:15" x14ac:dyDescent="0.35">
      <c r="I9898" s="35"/>
      <c r="O9898" s="35"/>
    </row>
    <row r="9899" spans="9:15" x14ac:dyDescent="0.35">
      <c r="I9899" s="35"/>
      <c r="O9899" s="35"/>
    </row>
    <row r="9900" spans="9:15" x14ac:dyDescent="0.35">
      <c r="I9900" s="35"/>
      <c r="O9900" s="35"/>
    </row>
    <row r="9901" spans="9:15" x14ac:dyDescent="0.35">
      <c r="I9901" s="35"/>
      <c r="O9901" s="35"/>
    </row>
    <row r="9902" spans="9:15" x14ac:dyDescent="0.35">
      <c r="I9902" s="35"/>
      <c r="O9902" s="35"/>
    </row>
    <row r="9903" spans="9:15" x14ac:dyDescent="0.35">
      <c r="I9903" s="35"/>
      <c r="O9903" s="35"/>
    </row>
    <row r="9904" spans="9:15" x14ac:dyDescent="0.35">
      <c r="I9904" s="35"/>
      <c r="O9904" s="35"/>
    </row>
    <row r="9905" spans="9:15" x14ac:dyDescent="0.35">
      <c r="I9905" s="35"/>
      <c r="O9905" s="35"/>
    </row>
    <row r="9906" spans="9:15" x14ac:dyDescent="0.35">
      <c r="I9906" s="35"/>
      <c r="O9906" s="35"/>
    </row>
    <row r="9907" spans="9:15" x14ac:dyDescent="0.35">
      <c r="I9907" s="35"/>
      <c r="O9907" s="35"/>
    </row>
    <row r="9908" spans="9:15" x14ac:dyDescent="0.35">
      <c r="I9908" s="35"/>
      <c r="O9908" s="35"/>
    </row>
    <row r="9909" spans="9:15" x14ac:dyDescent="0.35">
      <c r="I9909" s="35"/>
      <c r="O9909" s="35"/>
    </row>
    <row r="9910" spans="9:15" x14ac:dyDescent="0.35">
      <c r="I9910" s="35"/>
      <c r="O9910" s="35"/>
    </row>
    <row r="9911" spans="9:15" x14ac:dyDescent="0.35">
      <c r="I9911" s="35"/>
      <c r="O9911" s="35"/>
    </row>
    <row r="9912" spans="9:15" x14ac:dyDescent="0.35">
      <c r="I9912" s="35"/>
      <c r="O9912" s="35"/>
    </row>
    <row r="9913" spans="9:15" x14ac:dyDescent="0.35">
      <c r="I9913" s="35"/>
      <c r="O9913" s="35"/>
    </row>
    <row r="9914" spans="9:15" x14ac:dyDescent="0.35">
      <c r="I9914" s="35"/>
      <c r="O9914" s="35"/>
    </row>
    <row r="9915" spans="9:15" x14ac:dyDescent="0.35">
      <c r="I9915" s="35"/>
      <c r="O9915" s="35"/>
    </row>
    <row r="9916" spans="9:15" x14ac:dyDescent="0.35">
      <c r="I9916" s="35"/>
      <c r="O9916" s="35"/>
    </row>
    <row r="9917" spans="9:15" x14ac:dyDescent="0.35">
      <c r="I9917" s="35"/>
      <c r="O9917" s="35"/>
    </row>
    <row r="9918" spans="9:15" x14ac:dyDescent="0.35">
      <c r="I9918" s="35"/>
      <c r="O9918" s="35"/>
    </row>
    <row r="9919" spans="9:15" x14ac:dyDescent="0.35">
      <c r="I9919" s="35"/>
      <c r="O9919" s="35"/>
    </row>
    <row r="9920" spans="9:15" x14ac:dyDescent="0.35">
      <c r="I9920" s="35"/>
      <c r="O9920" s="35"/>
    </row>
    <row r="9921" spans="9:15" x14ac:dyDescent="0.35">
      <c r="I9921" s="35"/>
      <c r="O9921" s="35"/>
    </row>
    <row r="9922" spans="9:15" x14ac:dyDescent="0.35">
      <c r="I9922" s="35"/>
      <c r="O9922" s="35"/>
    </row>
    <row r="9923" spans="9:15" x14ac:dyDescent="0.35">
      <c r="I9923" s="35"/>
      <c r="O9923" s="35"/>
    </row>
    <row r="9924" spans="9:15" x14ac:dyDescent="0.35">
      <c r="I9924" s="35"/>
      <c r="O9924" s="35"/>
    </row>
    <row r="9925" spans="9:15" x14ac:dyDescent="0.35">
      <c r="I9925" s="35"/>
      <c r="O9925" s="35"/>
    </row>
    <row r="9926" spans="9:15" x14ac:dyDescent="0.35">
      <c r="I9926" s="35"/>
      <c r="O9926" s="35"/>
    </row>
    <row r="9927" spans="9:15" x14ac:dyDescent="0.35">
      <c r="I9927" s="35"/>
      <c r="O9927" s="35"/>
    </row>
    <row r="9928" spans="9:15" x14ac:dyDescent="0.35">
      <c r="I9928" s="35"/>
      <c r="O9928" s="35"/>
    </row>
    <row r="9929" spans="9:15" x14ac:dyDescent="0.35">
      <c r="I9929" s="35"/>
      <c r="O9929" s="35"/>
    </row>
    <row r="9930" spans="9:15" x14ac:dyDescent="0.35">
      <c r="I9930" s="35"/>
      <c r="O9930" s="35"/>
    </row>
    <row r="9931" spans="9:15" x14ac:dyDescent="0.35">
      <c r="I9931" s="35"/>
      <c r="O9931" s="35"/>
    </row>
    <row r="9932" spans="9:15" x14ac:dyDescent="0.35">
      <c r="I9932" s="35"/>
      <c r="O9932" s="35"/>
    </row>
    <row r="9933" spans="9:15" x14ac:dyDescent="0.35">
      <c r="I9933" s="35"/>
      <c r="O9933" s="35"/>
    </row>
    <row r="9934" spans="9:15" x14ac:dyDescent="0.35">
      <c r="I9934" s="35"/>
      <c r="O9934" s="35"/>
    </row>
    <row r="9935" spans="9:15" x14ac:dyDescent="0.35">
      <c r="I9935" s="35"/>
      <c r="O9935" s="35"/>
    </row>
    <row r="9936" spans="9:15" x14ac:dyDescent="0.35">
      <c r="I9936" s="35"/>
      <c r="O9936" s="35"/>
    </row>
    <row r="9937" spans="9:15" x14ac:dyDescent="0.35">
      <c r="I9937" s="35"/>
      <c r="O9937" s="35"/>
    </row>
    <row r="9938" spans="9:15" x14ac:dyDescent="0.35">
      <c r="I9938" s="35"/>
      <c r="O9938" s="35"/>
    </row>
    <row r="9939" spans="9:15" x14ac:dyDescent="0.35">
      <c r="I9939" s="35"/>
      <c r="O9939" s="35"/>
    </row>
    <row r="9940" spans="9:15" x14ac:dyDescent="0.35">
      <c r="I9940" s="35"/>
      <c r="O9940" s="35"/>
    </row>
    <row r="9941" spans="9:15" x14ac:dyDescent="0.35">
      <c r="I9941" s="35"/>
      <c r="O9941" s="35"/>
    </row>
    <row r="9942" spans="9:15" x14ac:dyDescent="0.35">
      <c r="I9942" s="35"/>
      <c r="O9942" s="35"/>
    </row>
    <row r="9943" spans="9:15" x14ac:dyDescent="0.35">
      <c r="I9943" s="35"/>
      <c r="O9943" s="35"/>
    </row>
    <row r="9944" spans="9:15" x14ac:dyDescent="0.35">
      <c r="I9944" s="35"/>
      <c r="O9944" s="35"/>
    </row>
    <row r="9945" spans="9:15" x14ac:dyDescent="0.35">
      <c r="I9945" s="35"/>
      <c r="O9945" s="35"/>
    </row>
    <row r="9946" spans="9:15" x14ac:dyDescent="0.35">
      <c r="I9946" s="35"/>
      <c r="O9946" s="35"/>
    </row>
    <row r="9947" spans="9:15" x14ac:dyDescent="0.35">
      <c r="I9947" s="35"/>
      <c r="O9947" s="35"/>
    </row>
    <row r="9948" spans="9:15" x14ac:dyDescent="0.35">
      <c r="I9948" s="35"/>
      <c r="O9948" s="35"/>
    </row>
    <row r="9949" spans="9:15" x14ac:dyDescent="0.35">
      <c r="I9949" s="35"/>
      <c r="O9949" s="35"/>
    </row>
    <row r="9950" spans="9:15" x14ac:dyDescent="0.35">
      <c r="I9950" s="35"/>
      <c r="O9950" s="35"/>
    </row>
    <row r="9951" spans="9:15" x14ac:dyDescent="0.35">
      <c r="I9951" s="35"/>
      <c r="O9951" s="35"/>
    </row>
    <row r="9952" spans="9:15" x14ac:dyDescent="0.35">
      <c r="I9952" s="35"/>
      <c r="O9952" s="35"/>
    </row>
    <row r="9953" spans="9:15" x14ac:dyDescent="0.35">
      <c r="I9953" s="35"/>
      <c r="O9953" s="35"/>
    </row>
    <row r="9954" spans="9:15" x14ac:dyDescent="0.35">
      <c r="I9954" s="35"/>
      <c r="O9954" s="35"/>
    </row>
    <row r="9955" spans="9:15" x14ac:dyDescent="0.35">
      <c r="I9955" s="35"/>
      <c r="O9955" s="35"/>
    </row>
    <row r="9956" spans="9:15" x14ac:dyDescent="0.35">
      <c r="I9956" s="35"/>
      <c r="O9956" s="35"/>
    </row>
    <row r="9957" spans="9:15" x14ac:dyDescent="0.35">
      <c r="I9957" s="35"/>
      <c r="O9957" s="35"/>
    </row>
    <row r="9958" spans="9:15" x14ac:dyDescent="0.35">
      <c r="I9958" s="35"/>
      <c r="O9958" s="35"/>
    </row>
    <row r="9959" spans="9:15" x14ac:dyDescent="0.35">
      <c r="I9959" s="35"/>
      <c r="O9959" s="35"/>
    </row>
    <row r="9960" spans="9:15" x14ac:dyDescent="0.35">
      <c r="I9960" s="35"/>
      <c r="O9960" s="35"/>
    </row>
    <row r="9961" spans="9:15" x14ac:dyDescent="0.35">
      <c r="I9961" s="35"/>
      <c r="O9961" s="35"/>
    </row>
    <row r="9962" spans="9:15" x14ac:dyDescent="0.35">
      <c r="I9962" s="35"/>
      <c r="O9962" s="35"/>
    </row>
    <row r="9963" spans="9:15" x14ac:dyDescent="0.35">
      <c r="I9963" s="35"/>
      <c r="O9963" s="35"/>
    </row>
    <row r="9964" spans="9:15" x14ac:dyDescent="0.35">
      <c r="I9964" s="35"/>
      <c r="O9964" s="35"/>
    </row>
    <row r="9965" spans="9:15" x14ac:dyDescent="0.35">
      <c r="I9965" s="35"/>
      <c r="O9965" s="35"/>
    </row>
    <row r="9966" spans="9:15" x14ac:dyDescent="0.35">
      <c r="I9966" s="35"/>
      <c r="O9966" s="35"/>
    </row>
    <row r="9967" spans="9:15" x14ac:dyDescent="0.35">
      <c r="I9967" s="35"/>
      <c r="O9967" s="35"/>
    </row>
    <row r="9968" spans="9:15" x14ac:dyDescent="0.35">
      <c r="I9968" s="35"/>
      <c r="O9968" s="35"/>
    </row>
    <row r="9969" spans="9:15" x14ac:dyDescent="0.35">
      <c r="I9969" s="35"/>
      <c r="O9969" s="35"/>
    </row>
    <row r="9970" spans="9:15" x14ac:dyDescent="0.35">
      <c r="I9970" s="35"/>
      <c r="O9970" s="35"/>
    </row>
    <row r="9971" spans="9:15" x14ac:dyDescent="0.35">
      <c r="I9971" s="35"/>
      <c r="O9971" s="35"/>
    </row>
    <row r="9972" spans="9:15" x14ac:dyDescent="0.35">
      <c r="I9972" s="35"/>
      <c r="O9972" s="35"/>
    </row>
    <row r="9973" spans="9:15" x14ac:dyDescent="0.35">
      <c r="I9973" s="35"/>
      <c r="O9973" s="35"/>
    </row>
    <row r="9974" spans="9:15" x14ac:dyDescent="0.35">
      <c r="I9974" s="35"/>
      <c r="O9974" s="35"/>
    </row>
    <row r="9975" spans="9:15" x14ac:dyDescent="0.35">
      <c r="I9975" s="35"/>
      <c r="O9975" s="35"/>
    </row>
    <row r="9976" spans="9:15" x14ac:dyDescent="0.35">
      <c r="I9976" s="35"/>
      <c r="O9976" s="35"/>
    </row>
    <row r="9977" spans="9:15" x14ac:dyDescent="0.35">
      <c r="I9977" s="35"/>
      <c r="O9977" s="35"/>
    </row>
    <row r="9978" spans="9:15" x14ac:dyDescent="0.35">
      <c r="I9978" s="35"/>
      <c r="O9978" s="35"/>
    </row>
    <row r="9979" spans="9:15" x14ac:dyDescent="0.35">
      <c r="I9979" s="35"/>
      <c r="O9979" s="35"/>
    </row>
    <row r="9980" spans="9:15" x14ac:dyDescent="0.35">
      <c r="I9980" s="35"/>
      <c r="O9980" s="35"/>
    </row>
    <row r="9981" spans="9:15" x14ac:dyDescent="0.35">
      <c r="I9981" s="35"/>
      <c r="O9981" s="35"/>
    </row>
    <row r="9982" spans="9:15" x14ac:dyDescent="0.35">
      <c r="I9982" s="35"/>
      <c r="O9982" s="35"/>
    </row>
    <row r="9983" spans="9:15" x14ac:dyDescent="0.35">
      <c r="I9983" s="35"/>
      <c r="O9983" s="35"/>
    </row>
    <row r="9984" spans="9:15" x14ac:dyDescent="0.35">
      <c r="I9984" s="35"/>
      <c r="O9984" s="35"/>
    </row>
    <row r="9985" spans="9:15" x14ac:dyDescent="0.35">
      <c r="I9985" s="35"/>
      <c r="O9985" s="35"/>
    </row>
    <row r="9986" spans="9:15" x14ac:dyDescent="0.35">
      <c r="I9986" s="35"/>
      <c r="O9986" s="35"/>
    </row>
    <row r="9987" spans="9:15" x14ac:dyDescent="0.35">
      <c r="I9987" s="35"/>
      <c r="O9987" s="35"/>
    </row>
    <row r="9988" spans="9:15" x14ac:dyDescent="0.35">
      <c r="I9988" s="35"/>
      <c r="O9988" s="35"/>
    </row>
    <row r="9989" spans="9:15" x14ac:dyDescent="0.35">
      <c r="I9989" s="35"/>
      <c r="O9989" s="35"/>
    </row>
    <row r="9990" spans="9:15" x14ac:dyDescent="0.35">
      <c r="I9990" s="35"/>
      <c r="O9990" s="35"/>
    </row>
    <row r="9991" spans="9:15" x14ac:dyDescent="0.35">
      <c r="I9991" s="35"/>
      <c r="O9991" s="35"/>
    </row>
    <row r="9992" spans="9:15" x14ac:dyDescent="0.35">
      <c r="I9992" s="35"/>
      <c r="O9992" s="35"/>
    </row>
    <row r="9993" spans="9:15" x14ac:dyDescent="0.35">
      <c r="I9993" s="35"/>
      <c r="O9993" s="35"/>
    </row>
    <row r="9994" spans="9:15" x14ac:dyDescent="0.35">
      <c r="I9994" s="35"/>
      <c r="O9994" s="35"/>
    </row>
    <row r="9995" spans="9:15" x14ac:dyDescent="0.35">
      <c r="I9995" s="35"/>
      <c r="O9995" s="35"/>
    </row>
    <row r="9996" spans="9:15" x14ac:dyDescent="0.35">
      <c r="I9996" s="35"/>
      <c r="O9996" s="35"/>
    </row>
    <row r="9997" spans="9:15" x14ac:dyDescent="0.35">
      <c r="I9997" s="35"/>
      <c r="O9997" s="35"/>
    </row>
    <row r="9998" spans="9:15" x14ac:dyDescent="0.35">
      <c r="I9998" s="35"/>
      <c r="O9998" s="35"/>
    </row>
    <row r="9999" spans="9:15" x14ac:dyDescent="0.35">
      <c r="I9999" s="35"/>
      <c r="O9999" s="35"/>
    </row>
    <row r="10000" spans="9:15" x14ac:dyDescent="0.35">
      <c r="I10000" s="35"/>
      <c r="O10000" s="35"/>
    </row>
  </sheetData>
  <autoFilter ref="A1:AF48">
    <filterColumn colId="26">
      <filters>
        <filter val="0105"/>
      </filters>
    </filterColumn>
  </autoFilter>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filterMode="1">
    <tabColor theme="6" tint="0.39997558519241921"/>
  </sheetPr>
  <dimension ref="A1:F124"/>
  <sheetViews>
    <sheetView workbookViewId="0">
      <selection activeCell="B28" sqref="B28"/>
    </sheetView>
  </sheetViews>
  <sheetFormatPr defaultRowHeight="14.5" x14ac:dyDescent="0.35"/>
  <cols>
    <col min="1" max="1" width="9.26953125" bestFit="1" customWidth="1"/>
    <col min="2" max="4" width="50" customWidth="1"/>
    <col min="5" max="5" width="31.7265625" bestFit="1" customWidth="1"/>
    <col min="6" max="6" width="40" bestFit="1" customWidth="1"/>
  </cols>
  <sheetData>
    <row r="1" spans="1:6" x14ac:dyDescent="0.35">
      <c r="A1" s="46" t="s">
        <v>34</v>
      </c>
      <c r="B1" s="46" t="s">
        <v>35</v>
      </c>
      <c r="C1" s="46" t="s">
        <v>83</v>
      </c>
      <c r="D1" s="46" t="s">
        <v>84</v>
      </c>
      <c r="E1" s="46" t="s">
        <v>22</v>
      </c>
      <c r="F1" s="46" t="s">
        <v>23</v>
      </c>
    </row>
    <row r="2" spans="1:6" hidden="1" x14ac:dyDescent="0.35">
      <c r="A2">
        <v>46</v>
      </c>
      <c r="B2" t="s">
        <v>398</v>
      </c>
      <c r="C2" t="s">
        <v>693</v>
      </c>
      <c r="D2" t="s">
        <v>694</v>
      </c>
      <c r="E2" t="s">
        <v>85</v>
      </c>
      <c r="F2" t="s">
        <v>88</v>
      </c>
    </row>
    <row r="3" spans="1:6" hidden="1" x14ac:dyDescent="0.35">
      <c r="A3">
        <v>46</v>
      </c>
      <c r="B3" t="s">
        <v>398</v>
      </c>
      <c r="C3" t="s">
        <v>695</v>
      </c>
      <c r="D3" t="s">
        <v>696</v>
      </c>
      <c r="E3" t="s">
        <v>697</v>
      </c>
      <c r="F3" t="s">
        <v>698</v>
      </c>
    </row>
    <row r="4" spans="1:6" hidden="1" x14ac:dyDescent="0.35">
      <c r="A4">
        <v>46</v>
      </c>
      <c r="B4" t="s">
        <v>398</v>
      </c>
      <c r="C4" t="s">
        <v>699</v>
      </c>
      <c r="D4" t="s">
        <v>700</v>
      </c>
      <c r="E4" t="s">
        <v>85</v>
      </c>
      <c r="F4" t="s">
        <v>88</v>
      </c>
    </row>
    <row r="5" spans="1:6" hidden="1" x14ac:dyDescent="0.35">
      <c r="A5">
        <v>46</v>
      </c>
      <c r="B5" t="s">
        <v>398</v>
      </c>
      <c r="C5" t="s">
        <v>701</v>
      </c>
      <c r="D5" t="s">
        <v>702</v>
      </c>
      <c r="E5" t="s">
        <v>140</v>
      </c>
      <c r="F5" t="s">
        <v>90</v>
      </c>
    </row>
    <row r="6" spans="1:6" hidden="1" x14ac:dyDescent="0.35">
      <c r="A6">
        <v>71</v>
      </c>
      <c r="B6" t="s">
        <v>405</v>
      </c>
      <c r="C6" t="s">
        <v>703</v>
      </c>
      <c r="D6" t="s">
        <v>704</v>
      </c>
      <c r="E6" t="s">
        <v>92</v>
      </c>
      <c r="F6" t="s">
        <v>144</v>
      </c>
    </row>
    <row r="7" spans="1:6" hidden="1" x14ac:dyDescent="0.35">
      <c r="A7">
        <v>71</v>
      </c>
      <c r="B7" t="s">
        <v>405</v>
      </c>
      <c r="C7" t="s">
        <v>705</v>
      </c>
      <c r="D7" t="s">
        <v>706</v>
      </c>
      <c r="E7" t="s">
        <v>92</v>
      </c>
      <c r="F7" t="s">
        <v>142</v>
      </c>
    </row>
    <row r="8" spans="1:6" hidden="1" x14ac:dyDescent="0.35">
      <c r="A8">
        <v>71</v>
      </c>
      <c r="B8" t="s">
        <v>405</v>
      </c>
      <c r="C8" t="s">
        <v>707</v>
      </c>
      <c r="D8" t="s">
        <v>708</v>
      </c>
      <c r="E8" t="s">
        <v>92</v>
      </c>
      <c r="F8" t="s">
        <v>90</v>
      </c>
    </row>
    <row r="9" spans="1:6" hidden="1" x14ac:dyDescent="0.35">
      <c r="A9">
        <v>71</v>
      </c>
      <c r="B9" t="s">
        <v>405</v>
      </c>
      <c r="C9" t="s">
        <v>709</v>
      </c>
      <c r="D9" t="s">
        <v>710</v>
      </c>
      <c r="E9" t="s">
        <v>86</v>
      </c>
      <c r="F9" t="s">
        <v>144</v>
      </c>
    </row>
    <row r="10" spans="1:6" hidden="1" x14ac:dyDescent="0.35">
      <c r="A10">
        <v>71</v>
      </c>
      <c r="B10" t="s">
        <v>405</v>
      </c>
      <c r="C10" t="s">
        <v>711</v>
      </c>
      <c r="D10" t="s">
        <v>712</v>
      </c>
      <c r="E10" t="s">
        <v>92</v>
      </c>
      <c r="F10" t="s">
        <v>90</v>
      </c>
    </row>
    <row r="11" spans="1:6" hidden="1" x14ac:dyDescent="0.35">
      <c r="A11">
        <v>71</v>
      </c>
      <c r="B11" t="s">
        <v>405</v>
      </c>
      <c r="C11" t="s">
        <v>713</v>
      </c>
      <c r="D11" t="s">
        <v>714</v>
      </c>
      <c r="E11" t="s">
        <v>86</v>
      </c>
      <c r="F11" t="s">
        <v>142</v>
      </c>
    </row>
    <row r="12" spans="1:6" hidden="1" x14ac:dyDescent="0.35">
      <c r="A12">
        <v>83</v>
      </c>
      <c r="B12" t="s">
        <v>418</v>
      </c>
      <c r="C12" t="s">
        <v>715</v>
      </c>
      <c r="D12" t="s">
        <v>716</v>
      </c>
      <c r="E12" t="s">
        <v>85</v>
      </c>
      <c r="F12" t="s">
        <v>717</v>
      </c>
    </row>
    <row r="13" spans="1:6" hidden="1" x14ac:dyDescent="0.35">
      <c r="A13">
        <v>83</v>
      </c>
      <c r="B13" t="s">
        <v>418</v>
      </c>
      <c r="C13" t="s">
        <v>718</v>
      </c>
      <c r="D13" t="s">
        <v>719</v>
      </c>
      <c r="E13" t="s">
        <v>85</v>
      </c>
      <c r="F13" t="s">
        <v>88</v>
      </c>
    </row>
    <row r="14" spans="1:6" hidden="1" x14ac:dyDescent="0.35">
      <c r="A14">
        <v>99</v>
      </c>
      <c r="B14" t="s">
        <v>431</v>
      </c>
      <c r="C14" t="s">
        <v>720</v>
      </c>
      <c r="D14" t="s">
        <v>721</v>
      </c>
      <c r="E14" t="s">
        <v>92</v>
      </c>
      <c r="F14" t="s">
        <v>90</v>
      </c>
    </row>
    <row r="15" spans="1:6" hidden="1" x14ac:dyDescent="0.35">
      <c r="A15">
        <v>99</v>
      </c>
      <c r="B15" t="s">
        <v>431</v>
      </c>
      <c r="C15" t="s">
        <v>722</v>
      </c>
      <c r="D15" t="s">
        <v>723</v>
      </c>
      <c r="E15" t="s">
        <v>92</v>
      </c>
      <c r="F15" t="s">
        <v>144</v>
      </c>
    </row>
    <row r="16" spans="1:6" hidden="1" x14ac:dyDescent="0.35">
      <c r="A16">
        <v>99</v>
      </c>
      <c r="B16" t="s">
        <v>431</v>
      </c>
      <c r="C16" t="s">
        <v>724</v>
      </c>
      <c r="D16" t="s">
        <v>725</v>
      </c>
      <c r="E16" t="s">
        <v>92</v>
      </c>
      <c r="F16" t="s">
        <v>144</v>
      </c>
    </row>
    <row r="17" spans="1:6" hidden="1" x14ac:dyDescent="0.35">
      <c r="A17">
        <v>99</v>
      </c>
      <c r="B17" t="s">
        <v>431</v>
      </c>
      <c r="C17" t="s">
        <v>726</v>
      </c>
      <c r="D17" t="s">
        <v>727</v>
      </c>
      <c r="E17" t="s">
        <v>85</v>
      </c>
      <c r="F17" t="s">
        <v>201</v>
      </c>
    </row>
    <row r="18" spans="1:6" hidden="1" x14ac:dyDescent="0.35">
      <c r="A18">
        <v>114</v>
      </c>
      <c r="B18" t="s">
        <v>441</v>
      </c>
      <c r="C18" t="s">
        <v>728</v>
      </c>
      <c r="D18" t="s">
        <v>729</v>
      </c>
      <c r="E18" t="s">
        <v>85</v>
      </c>
      <c r="F18" t="s">
        <v>88</v>
      </c>
    </row>
    <row r="19" spans="1:6" hidden="1" x14ac:dyDescent="0.35">
      <c r="A19">
        <v>114</v>
      </c>
      <c r="B19" t="s">
        <v>441</v>
      </c>
      <c r="C19" t="s">
        <v>730</v>
      </c>
      <c r="D19" t="s">
        <v>731</v>
      </c>
      <c r="E19" t="s">
        <v>85</v>
      </c>
      <c r="F19" t="s">
        <v>88</v>
      </c>
    </row>
    <row r="20" spans="1:6" hidden="1" x14ac:dyDescent="0.35">
      <c r="A20">
        <v>114</v>
      </c>
      <c r="B20" t="s">
        <v>441</v>
      </c>
      <c r="C20" t="s">
        <v>732</v>
      </c>
      <c r="D20" t="s">
        <v>733</v>
      </c>
      <c r="E20" t="s">
        <v>92</v>
      </c>
      <c r="F20" t="s">
        <v>90</v>
      </c>
    </row>
    <row r="21" spans="1:6" hidden="1" x14ac:dyDescent="0.35">
      <c r="A21">
        <v>114</v>
      </c>
      <c r="B21" t="s">
        <v>441</v>
      </c>
      <c r="C21" t="s">
        <v>734</v>
      </c>
      <c r="D21" t="s">
        <v>735</v>
      </c>
      <c r="E21" t="s">
        <v>85</v>
      </c>
      <c r="F21" t="s">
        <v>88</v>
      </c>
    </row>
    <row r="22" spans="1:6" hidden="1" x14ac:dyDescent="0.35">
      <c r="A22">
        <v>116</v>
      </c>
      <c r="B22" t="s">
        <v>450</v>
      </c>
      <c r="C22" t="s">
        <v>736</v>
      </c>
      <c r="D22" t="s">
        <v>737</v>
      </c>
      <c r="E22" t="s">
        <v>85</v>
      </c>
      <c r="F22" t="s">
        <v>201</v>
      </c>
    </row>
    <row r="23" spans="1:6" hidden="1" x14ac:dyDescent="0.35">
      <c r="A23">
        <v>116</v>
      </c>
      <c r="B23" t="s">
        <v>450</v>
      </c>
      <c r="C23" t="s">
        <v>738</v>
      </c>
      <c r="D23" t="s">
        <v>737</v>
      </c>
      <c r="E23" t="s">
        <v>85</v>
      </c>
      <c r="F23" t="s">
        <v>201</v>
      </c>
    </row>
    <row r="24" spans="1:6" hidden="1" x14ac:dyDescent="0.35">
      <c r="A24">
        <v>116</v>
      </c>
      <c r="B24" t="s">
        <v>450</v>
      </c>
      <c r="C24" t="s">
        <v>739</v>
      </c>
      <c r="D24" t="s">
        <v>740</v>
      </c>
      <c r="E24" t="s">
        <v>85</v>
      </c>
      <c r="F24" t="s">
        <v>201</v>
      </c>
    </row>
    <row r="25" spans="1:6" hidden="1" x14ac:dyDescent="0.35">
      <c r="A25">
        <v>122</v>
      </c>
      <c r="B25" t="s">
        <v>455</v>
      </c>
      <c r="C25" t="s">
        <v>741</v>
      </c>
      <c r="D25" t="s">
        <v>742</v>
      </c>
      <c r="E25" t="s">
        <v>92</v>
      </c>
      <c r="F25" t="s">
        <v>202</v>
      </c>
    </row>
    <row r="26" spans="1:6" hidden="1" x14ac:dyDescent="0.35">
      <c r="A26">
        <v>122</v>
      </c>
      <c r="B26" t="s">
        <v>455</v>
      </c>
      <c r="C26" t="s">
        <v>743</v>
      </c>
      <c r="D26" t="s">
        <v>744</v>
      </c>
      <c r="E26" t="s">
        <v>92</v>
      </c>
      <c r="F26" t="s">
        <v>202</v>
      </c>
    </row>
    <row r="27" spans="1:6" hidden="1" x14ac:dyDescent="0.35">
      <c r="A27">
        <v>123</v>
      </c>
      <c r="B27" t="s">
        <v>459</v>
      </c>
      <c r="C27" t="s">
        <v>745</v>
      </c>
      <c r="D27" t="s">
        <v>746</v>
      </c>
      <c r="E27" t="s">
        <v>140</v>
      </c>
      <c r="F27" t="s">
        <v>90</v>
      </c>
    </row>
    <row r="28" spans="1:6" hidden="1" x14ac:dyDescent="0.35">
      <c r="A28">
        <v>123</v>
      </c>
      <c r="B28" t="s">
        <v>459</v>
      </c>
      <c r="C28" t="s">
        <v>747</v>
      </c>
      <c r="D28" t="s">
        <v>748</v>
      </c>
      <c r="E28" t="s">
        <v>85</v>
      </c>
      <c r="F28" t="s">
        <v>88</v>
      </c>
    </row>
    <row r="29" spans="1:6" hidden="1" x14ac:dyDescent="0.35">
      <c r="A29">
        <v>124</v>
      </c>
      <c r="B29" t="s">
        <v>466</v>
      </c>
      <c r="C29" t="s">
        <v>749</v>
      </c>
      <c r="D29" t="s">
        <v>750</v>
      </c>
      <c r="E29" t="s">
        <v>92</v>
      </c>
      <c r="F29" t="s">
        <v>144</v>
      </c>
    </row>
    <row r="30" spans="1:6" hidden="1" x14ac:dyDescent="0.35">
      <c r="A30">
        <v>124</v>
      </c>
      <c r="B30" t="s">
        <v>466</v>
      </c>
      <c r="C30" t="s">
        <v>751</v>
      </c>
      <c r="D30" t="s">
        <v>752</v>
      </c>
      <c r="E30" t="s">
        <v>92</v>
      </c>
      <c r="F30" t="s">
        <v>142</v>
      </c>
    </row>
    <row r="31" spans="1:6" hidden="1" x14ac:dyDescent="0.35">
      <c r="A31">
        <v>132</v>
      </c>
      <c r="B31" t="s">
        <v>473</v>
      </c>
      <c r="C31" t="s">
        <v>753</v>
      </c>
      <c r="D31" t="s">
        <v>754</v>
      </c>
      <c r="E31" t="s">
        <v>85</v>
      </c>
      <c r="F31" t="s">
        <v>88</v>
      </c>
    </row>
    <row r="32" spans="1:6" hidden="1" x14ac:dyDescent="0.35">
      <c r="A32">
        <v>132</v>
      </c>
      <c r="B32" t="s">
        <v>473</v>
      </c>
      <c r="C32" t="s">
        <v>755</v>
      </c>
      <c r="D32" t="s">
        <v>756</v>
      </c>
      <c r="E32" t="s">
        <v>85</v>
      </c>
      <c r="F32" t="s">
        <v>88</v>
      </c>
    </row>
    <row r="33" spans="1:6" hidden="1" x14ac:dyDescent="0.35">
      <c r="A33">
        <v>132</v>
      </c>
      <c r="B33" t="s">
        <v>473</v>
      </c>
      <c r="C33" t="s">
        <v>757</v>
      </c>
      <c r="D33" t="s">
        <v>758</v>
      </c>
      <c r="E33" t="s">
        <v>140</v>
      </c>
      <c r="F33" t="s">
        <v>759</v>
      </c>
    </row>
    <row r="34" spans="1:6" hidden="1" x14ac:dyDescent="0.35">
      <c r="A34">
        <v>146</v>
      </c>
      <c r="B34" t="s">
        <v>485</v>
      </c>
      <c r="C34" t="s">
        <v>760</v>
      </c>
      <c r="D34" t="s">
        <v>761</v>
      </c>
      <c r="E34" t="s">
        <v>92</v>
      </c>
      <c r="F34" t="s">
        <v>144</v>
      </c>
    </row>
    <row r="35" spans="1:6" hidden="1" x14ac:dyDescent="0.35">
      <c r="A35">
        <v>146</v>
      </c>
      <c r="B35" t="s">
        <v>485</v>
      </c>
      <c r="C35" t="s">
        <v>762</v>
      </c>
      <c r="D35" t="s">
        <v>763</v>
      </c>
      <c r="E35" t="s">
        <v>85</v>
      </c>
      <c r="F35" t="s">
        <v>88</v>
      </c>
    </row>
    <row r="36" spans="1:6" x14ac:dyDescent="0.35">
      <c r="A36">
        <v>158</v>
      </c>
      <c r="B36" t="s">
        <v>490</v>
      </c>
      <c r="C36" t="s">
        <v>764</v>
      </c>
      <c r="D36" t="s">
        <v>765</v>
      </c>
      <c r="E36" t="s">
        <v>92</v>
      </c>
      <c r="F36" t="s">
        <v>93</v>
      </c>
    </row>
    <row r="37" spans="1:6" x14ac:dyDescent="0.35">
      <c r="A37">
        <v>158</v>
      </c>
      <c r="B37" t="s">
        <v>490</v>
      </c>
      <c r="C37" t="s">
        <v>766</v>
      </c>
      <c r="D37" t="s">
        <v>765</v>
      </c>
      <c r="E37" t="s">
        <v>92</v>
      </c>
      <c r="F37" t="s">
        <v>93</v>
      </c>
    </row>
    <row r="38" spans="1:6" hidden="1" x14ac:dyDescent="0.35">
      <c r="A38">
        <v>190</v>
      </c>
      <c r="B38" t="s">
        <v>495</v>
      </c>
      <c r="C38" t="s">
        <v>767</v>
      </c>
      <c r="D38" t="s">
        <v>768</v>
      </c>
      <c r="E38" t="s">
        <v>92</v>
      </c>
      <c r="F38" t="s">
        <v>144</v>
      </c>
    </row>
    <row r="39" spans="1:6" hidden="1" x14ac:dyDescent="0.35">
      <c r="A39">
        <v>190</v>
      </c>
      <c r="B39" t="s">
        <v>495</v>
      </c>
      <c r="C39" t="s">
        <v>769</v>
      </c>
      <c r="D39" t="s">
        <v>770</v>
      </c>
      <c r="E39" t="s">
        <v>140</v>
      </c>
      <c r="F39" t="s">
        <v>90</v>
      </c>
    </row>
    <row r="40" spans="1:6" hidden="1" x14ac:dyDescent="0.35">
      <c r="A40">
        <v>190</v>
      </c>
      <c r="B40" t="s">
        <v>495</v>
      </c>
      <c r="C40" t="s">
        <v>771</v>
      </c>
      <c r="D40" t="s">
        <v>772</v>
      </c>
      <c r="E40" t="s">
        <v>92</v>
      </c>
      <c r="F40" t="s">
        <v>142</v>
      </c>
    </row>
    <row r="41" spans="1:6" hidden="1" x14ac:dyDescent="0.35">
      <c r="A41">
        <v>190</v>
      </c>
      <c r="B41" t="s">
        <v>495</v>
      </c>
      <c r="C41" t="s">
        <v>773</v>
      </c>
      <c r="D41" t="s">
        <v>770</v>
      </c>
      <c r="E41" t="s">
        <v>140</v>
      </c>
      <c r="F41" t="s">
        <v>90</v>
      </c>
    </row>
    <row r="42" spans="1:6" hidden="1" x14ac:dyDescent="0.35">
      <c r="A42">
        <v>190</v>
      </c>
      <c r="B42" t="s">
        <v>495</v>
      </c>
      <c r="C42" t="s">
        <v>774</v>
      </c>
      <c r="D42" t="s">
        <v>775</v>
      </c>
      <c r="E42" t="s">
        <v>92</v>
      </c>
      <c r="F42" t="s">
        <v>93</v>
      </c>
    </row>
    <row r="43" spans="1:6" hidden="1" x14ac:dyDescent="0.35">
      <c r="A43">
        <v>190</v>
      </c>
      <c r="B43" t="s">
        <v>495</v>
      </c>
      <c r="C43" t="s">
        <v>776</v>
      </c>
      <c r="D43" t="s">
        <v>777</v>
      </c>
      <c r="E43" t="s">
        <v>85</v>
      </c>
      <c r="F43" t="s">
        <v>201</v>
      </c>
    </row>
    <row r="44" spans="1:6" x14ac:dyDescent="0.35">
      <c r="A44">
        <v>191</v>
      </c>
      <c r="B44" t="s">
        <v>506</v>
      </c>
      <c r="C44" t="s">
        <v>778</v>
      </c>
      <c r="D44" t="s">
        <v>779</v>
      </c>
      <c r="E44" t="s">
        <v>85</v>
      </c>
      <c r="F44" t="s">
        <v>143</v>
      </c>
    </row>
    <row r="45" spans="1:6" hidden="1" x14ac:dyDescent="0.35">
      <c r="A45">
        <v>214</v>
      </c>
      <c r="B45" t="s">
        <v>510</v>
      </c>
      <c r="C45" t="s">
        <v>780</v>
      </c>
      <c r="D45" t="s">
        <v>781</v>
      </c>
      <c r="E45" t="s">
        <v>85</v>
      </c>
      <c r="F45" t="s">
        <v>143</v>
      </c>
    </row>
    <row r="46" spans="1:6" hidden="1" x14ac:dyDescent="0.35">
      <c r="A46">
        <v>214</v>
      </c>
      <c r="B46" t="s">
        <v>510</v>
      </c>
      <c r="C46" t="s">
        <v>782</v>
      </c>
      <c r="D46" t="s">
        <v>781</v>
      </c>
      <c r="E46" t="s">
        <v>85</v>
      </c>
      <c r="F46" t="s">
        <v>143</v>
      </c>
    </row>
    <row r="47" spans="1:6" hidden="1" x14ac:dyDescent="0.35">
      <c r="A47">
        <v>225</v>
      </c>
      <c r="B47" t="s">
        <v>519</v>
      </c>
      <c r="C47" t="s">
        <v>783</v>
      </c>
      <c r="D47" t="s">
        <v>784</v>
      </c>
      <c r="E47" t="s">
        <v>85</v>
      </c>
      <c r="F47" t="s">
        <v>88</v>
      </c>
    </row>
    <row r="48" spans="1:6" hidden="1" x14ac:dyDescent="0.35">
      <c r="A48">
        <v>225</v>
      </c>
      <c r="B48" t="s">
        <v>519</v>
      </c>
      <c r="C48" t="s">
        <v>785</v>
      </c>
      <c r="D48" t="s">
        <v>786</v>
      </c>
      <c r="E48" t="s">
        <v>85</v>
      </c>
      <c r="F48" t="s">
        <v>201</v>
      </c>
    </row>
    <row r="49" spans="1:6" hidden="1" x14ac:dyDescent="0.35">
      <c r="A49">
        <v>225</v>
      </c>
      <c r="B49" t="s">
        <v>519</v>
      </c>
      <c r="C49" t="s">
        <v>787</v>
      </c>
      <c r="D49" t="s">
        <v>788</v>
      </c>
      <c r="E49" t="s">
        <v>140</v>
      </c>
      <c r="F49" t="s">
        <v>141</v>
      </c>
    </row>
    <row r="50" spans="1:6" hidden="1" x14ac:dyDescent="0.35">
      <c r="A50">
        <v>229</v>
      </c>
      <c r="B50" t="s">
        <v>526</v>
      </c>
      <c r="C50" t="s">
        <v>789</v>
      </c>
      <c r="D50" t="s">
        <v>790</v>
      </c>
      <c r="E50" t="s">
        <v>85</v>
      </c>
      <c r="F50" t="s">
        <v>88</v>
      </c>
    </row>
    <row r="51" spans="1:6" hidden="1" x14ac:dyDescent="0.35">
      <c r="A51">
        <v>235</v>
      </c>
      <c r="B51" t="s">
        <v>529</v>
      </c>
      <c r="C51" t="s">
        <v>791</v>
      </c>
      <c r="D51" t="s">
        <v>792</v>
      </c>
      <c r="E51" t="s">
        <v>85</v>
      </c>
      <c r="F51" t="s">
        <v>88</v>
      </c>
    </row>
    <row r="52" spans="1:6" hidden="1" x14ac:dyDescent="0.35">
      <c r="A52">
        <v>235</v>
      </c>
      <c r="B52" t="s">
        <v>529</v>
      </c>
      <c r="C52" t="s">
        <v>793</v>
      </c>
      <c r="D52" t="s">
        <v>794</v>
      </c>
      <c r="E52" t="s">
        <v>85</v>
      </c>
      <c r="F52" t="s">
        <v>88</v>
      </c>
    </row>
    <row r="53" spans="1:6" hidden="1" x14ac:dyDescent="0.35">
      <c r="A53">
        <v>235</v>
      </c>
      <c r="B53" t="s">
        <v>529</v>
      </c>
      <c r="C53" t="s">
        <v>795</v>
      </c>
      <c r="D53" t="s">
        <v>792</v>
      </c>
      <c r="E53" t="s">
        <v>85</v>
      </c>
      <c r="F53" t="s">
        <v>88</v>
      </c>
    </row>
    <row r="54" spans="1:6" hidden="1" x14ac:dyDescent="0.35">
      <c r="A54">
        <v>238</v>
      </c>
      <c r="B54" t="s">
        <v>538</v>
      </c>
      <c r="C54" t="s">
        <v>796</v>
      </c>
      <c r="D54" t="s">
        <v>797</v>
      </c>
      <c r="E54" t="s">
        <v>85</v>
      </c>
      <c r="F54" t="s">
        <v>88</v>
      </c>
    </row>
    <row r="55" spans="1:6" hidden="1" x14ac:dyDescent="0.35">
      <c r="A55">
        <v>238</v>
      </c>
      <c r="B55" t="s">
        <v>538</v>
      </c>
      <c r="C55" t="s">
        <v>798</v>
      </c>
      <c r="D55" t="s">
        <v>799</v>
      </c>
      <c r="E55" t="s">
        <v>85</v>
      </c>
      <c r="F55" t="s">
        <v>88</v>
      </c>
    </row>
    <row r="56" spans="1:6" hidden="1" x14ac:dyDescent="0.35">
      <c r="A56">
        <v>238</v>
      </c>
      <c r="B56" t="s">
        <v>538</v>
      </c>
      <c r="C56" t="s">
        <v>800</v>
      </c>
      <c r="D56" t="s">
        <v>801</v>
      </c>
      <c r="E56" t="s">
        <v>85</v>
      </c>
      <c r="F56" t="s">
        <v>201</v>
      </c>
    </row>
    <row r="57" spans="1:6" hidden="1" x14ac:dyDescent="0.35">
      <c r="A57">
        <v>238</v>
      </c>
      <c r="B57" t="s">
        <v>538</v>
      </c>
      <c r="C57" t="s">
        <v>802</v>
      </c>
      <c r="D57" t="s">
        <v>803</v>
      </c>
      <c r="E57" t="s">
        <v>85</v>
      </c>
      <c r="F57" t="s">
        <v>88</v>
      </c>
    </row>
    <row r="58" spans="1:6" hidden="1" x14ac:dyDescent="0.35">
      <c r="A58">
        <v>238</v>
      </c>
      <c r="B58" t="s">
        <v>538</v>
      </c>
      <c r="C58" t="s">
        <v>804</v>
      </c>
      <c r="D58" t="s">
        <v>805</v>
      </c>
      <c r="E58" t="s">
        <v>85</v>
      </c>
      <c r="F58" t="s">
        <v>88</v>
      </c>
    </row>
    <row r="59" spans="1:6" hidden="1" x14ac:dyDescent="0.35">
      <c r="A59">
        <v>243</v>
      </c>
      <c r="B59" t="s">
        <v>547</v>
      </c>
      <c r="C59" t="s">
        <v>806</v>
      </c>
      <c r="D59" t="s">
        <v>807</v>
      </c>
      <c r="E59" t="s">
        <v>85</v>
      </c>
      <c r="F59" t="s">
        <v>88</v>
      </c>
    </row>
    <row r="60" spans="1:6" hidden="1" x14ac:dyDescent="0.35">
      <c r="A60">
        <v>243</v>
      </c>
      <c r="B60" t="s">
        <v>547</v>
      </c>
      <c r="C60" t="s">
        <v>808</v>
      </c>
      <c r="D60" t="s">
        <v>809</v>
      </c>
      <c r="E60" t="s">
        <v>85</v>
      </c>
      <c r="F60" t="s">
        <v>88</v>
      </c>
    </row>
    <row r="61" spans="1:6" hidden="1" x14ac:dyDescent="0.35">
      <c r="A61">
        <v>243</v>
      </c>
      <c r="B61" t="s">
        <v>547</v>
      </c>
      <c r="C61" t="s">
        <v>810</v>
      </c>
      <c r="D61" t="s">
        <v>811</v>
      </c>
      <c r="E61" t="s">
        <v>86</v>
      </c>
      <c r="F61" t="s">
        <v>87</v>
      </c>
    </row>
    <row r="62" spans="1:6" hidden="1" x14ac:dyDescent="0.35">
      <c r="A62">
        <v>243</v>
      </c>
      <c r="B62" t="s">
        <v>547</v>
      </c>
      <c r="C62" t="s">
        <v>812</v>
      </c>
      <c r="D62" t="s">
        <v>807</v>
      </c>
      <c r="E62" t="s">
        <v>85</v>
      </c>
      <c r="F62" t="s">
        <v>88</v>
      </c>
    </row>
    <row r="63" spans="1:6" hidden="1" x14ac:dyDescent="0.35">
      <c r="A63">
        <v>243</v>
      </c>
      <c r="B63" t="s">
        <v>547</v>
      </c>
      <c r="C63" t="s">
        <v>813</v>
      </c>
      <c r="D63" t="s">
        <v>814</v>
      </c>
      <c r="E63" t="s">
        <v>86</v>
      </c>
      <c r="F63" t="s">
        <v>87</v>
      </c>
    </row>
    <row r="64" spans="1:6" hidden="1" x14ac:dyDescent="0.35">
      <c r="A64">
        <v>243</v>
      </c>
      <c r="B64" t="s">
        <v>547</v>
      </c>
      <c r="C64" t="s">
        <v>815</v>
      </c>
      <c r="D64" t="s">
        <v>811</v>
      </c>
      <c r="E64" t="s">
        <v>86</v>
      </c>
      <c r="F64" t="s">
        <v>87</v>
      </c>
    </row>
    <row r="65" spans="1:6" hidden="1" x14ac:dyDescent="0.35">
      <c r="A65">
        <v>243</v>
      </c>
      <c r="B65" t="s">
        <v>547</v>
      </c>
      <c r="C65" t="s">
        <v>816</v>
      </c>
      <c r="D65" t="s">
        <v>817</v>
      </c>
      <c r="E65" t="s">
        <v>86</v>
      </c>
      <c r="F65" t="s">
        <v>87</v>
      </c>
    </row>
    <row r="66" spans="1:6" hidden="1" x14ac:dyDescent="0.35">
      <c r="A66">
        <v>253</v>
      </c>
      <c r="B66" t="s">
        <v>556</v>
      </c>
      <c r="C66" t="s">
        <v>818</v>
      </c>
      <c r="D66" t="s">
        <v>819</v>
      </c>
      <c r="E66" t="s">
        <v>85</v>
      </c>
      <c r="F66" t="s">
        <v>88</v>
      </c>
    </row>
    <row r="67" spans="1:6" hidden="1" x14ac:dyDescent="0.35">
      <c r="A67">
        <v>253</v>
      </c>
      <c r="B67" t="s">
        <v>556</v>
      </c>
      <c r="C67" t="s">
        <v>820</v>
      </c>
      <c r="D67" t="s">
        <v>821</v>
      </c>
      <c r="E67" t="s">
        <v>85</v>
      </c>
      <c r="F67" t="s">
        <v>88</v>
      </c>
    </row>
    <row r="68" spans="1:6" hidden="1" x14ac:dyDescent="0.35">
      <c r="A68">
        <v>253</v>
      </c>
      <c r="B68" t="s">
        <v>556</v>
      </c>
      <c r="C68" t="s">
        <v>822</v>
      </c>
      <c r="D68" t="s">
        <v>823</v>
      </c>
      <c r="E68" t="s">
        <v>140</v>
      </c>
      <c r="F68" t="s">
        <v>759</v>
      </c>
    </row>
    <row r="69" spans="1:6" hidden="1" x14ac:dyDescent="0.35">
      <c r="A69">
        <v>258</v>
      </c>
      <c r="B69" t="s">
        <v>564</v>
      </c>
      <c r="C69" t="s">
        <v>762</v>
      </c>
      <c r="D69" t="s">
        <v>763</v>
      </c>
      <c r="E69" t="s">
        <v>85</v>
      </c>
      <c r="F69" t="s">
        <v>88</v>
      </c>
    </row>
    <row r="70" spans="1:6" hidden="1" x14ac:dyDescent="0.35">
      <c r="A70">
        <v>273</v>
      </c>
      <c r="B70" t="s">
        <v>569</v>
      </c>
      <c r="C70" t="s">
        <v>824</v>
      </c>
      <c r="D70" t="s">
        <v>825</v>
      </c>
      <c r="E70" t="s">
        <v>697</v>
      </c>
      <c r="F70" t="s">
        <v>90</v>
      </c>
    </row>
    <row r="71" spans="1:6" hidden="1" x14ac:dyDescent="0.35">
      <c r="A71">
        <v>273</v>
      </c>
      <c r="B71" t="s">
        <v>569</v>
      </c>
      <c r="C71" t="s">
        <v>826</v>
      </c>
      <c r="D71" t="s">
        <v>827</v>
      </c>
      <c r="E71" t="s">
        <v>85</v>
      </c>
      <c r="F71" t="s">
        <v>88</v>
      </c>
    </row>
    <row r="72" spans="1:6" hidden="1" x14ac:dyDescent="0.35">
      <c r="A72">
        <v>274</v>
      </c>
      <c r="B72" t="s">
        <v>574</v>
      </c>
      <c r="C72" t="s">
        <v>828</v>
      </c>
      <c r="D72" t="s">
        <v>829</v>
      </c>
      <c r="E72" t="s">
        <v>85</v>
      </c>
      <c r="F72" t="s">
        <v>143</v>
      </c>
    </row>
    <row r="73" spans="1:6" hidden="1" x14ac:dyDescent="0.35">
      <c r="A73">
        <v>274</v>
      </c>
      <c r="B73" t="s">
        <v>574</v>
      </c>
      <c r="C73" t="s">
        <v>830</v>
      </c>
      <c r="D73" t="s">
        <v>831</v>
      </c>
      <c r="E73" t="s">
        <v>86</v>
      </c>
      <c r="F73" t="s">
        <v>142</v>
      </c>
    </row>
    <row r="74" spans="1:6" hidden="1" x14ac:dyDescent="0.35">
      <c r="A74">
        <v>274</v>
      </c>
      <c r="B74" t="s">
        <v>574</v>
      </c>
      <c r="C74" t="s">
        <v>832</v>
      </c>
      <c r="D74" t="s">
        <v>833</v>
      </c>
      <c r="E74" t="s">
        <v>92</v>
      </c>
      <c r="F74" t="s">
        <v>142</v>
      </c>
    </row>
    <row r="75" spans="1:6" hidden="1" x14ac:dyDescent="0.35">
      <c r="A75">
        <v>278</v>
      </c>
      <c r="B75" t="s">
        <v>581</v>
      </c>
      <c r="C75" t="s">
        <v>834</v>
      </c>
      <c r="D75" t="s">
        <v>835</v>
      </c>
      <c r="E75" t="s">
        <v>85</v>
      </c>
      <c r="F75" t="s">
        <v>88</v>
      </c>
    </row>
    <row r="76" spans="1:6" hidden="1" x14ac:dyDescent="0.35">
      <c r="A76">
        <v>278</v>
      </c>
      <c r="B76" t="s">
        <v>581</v>
      </c>
      <c r="C76" t="s">
        <v>836</v>
      </c>
      <c r="D76" t="s">
        <v>837</v>
      </c>
      <c r="E76" t="s">
        <v>85</v>
      </c>
      <c r="F76" t="s">
        <v>88</v>
      </c>
    </row>
    <row r="77" spans="1:6" hidden="1" x14ac:dyDescent="0.35">
      <c r="A77">
        <v>282</v>
      </c>
      <c r="B77" t="s">
        <v>587</v>
      </c>
      <c r="C77" t="s">
        <v>838</v>
      </c>
      <c r="D77" t="s">
        <v>839</v>
      </c>
      <c r="E77" t="s">
        <v>92</v>
      </c>
      <c r="F77" t="s">
        <v>202</v>
      </c>
    </row>
    <row r="78" spans="1:6" hidden="1" x14ac:dyDescent="0.35">
      <c r="A78">
        <v>282</v>
      </c>
      <c r="B78" t="s">
        <v>587</v>
      </c>
      <c r="C78" t="s">
        <v>840</v>
      </c>
      <c r="D78" t="s">
        <v>841</v>
      </c>
      <c r="E78" t="s">
        <v>85</v>
      </c>
      <c r="F78" t="s">
        <v>88</v>
      </c>
    </row>
    <row r="79" spans="1:6" x14ac:dyDescent="0.35">
      <c r="A79">
        <v>324</v>
      </c>
      <c r="B79" t="s">
        <v>592</v>
      </c>
      <c r="C79" t="s">
        <v>842</v>
      </c>
      <c r="D79" t="s">
        <v>843</v>
      </c>
      <c r="E79" t="s">
        <v>86</v>
      </c>
      <c r="F79" t="s">
        <v>87</v>
      </c>
    </row>
    <row r="80" spans="1:6" hidden="1" x14ac:dyDescent="0.35">
      <c r="A80">
        <v>326</v>
      </c>
      <c r="B80" t="s">
        <v>597</v>
      </c>
      <c r="C80" t="s">
        <v>844</v>
      </c>
      <c r="D80" t="s">
        <v>845</v>
      </c>
      <c r="E80" t="s">
        <v>85</v>
      </c>
      <c r="F80" t="s">
        <v>88</v>
      </c>
    </row>
    <row r="81" spans="1:6" hidden="1" x14ac:dyDescent="0.35">
      <c r="A81">
        <v>327</v>
      </c>
      <c r="B81" t="s">
        <v>604</v>
      </c>
      <c r="C81" t="s">
        <v>846</v>
      </c>
      <c r="D81" t="s">
        <v>847</v>
      </c>
      <c r="E81" t="s">
        <v>85</v>
      </c>
      <c r="F81" t="s">
        <v>88</v>
      </c>
    </row>
    <row r="82" spans="1:6" x14ac:dyDescent="0.35">
      <c r="A82">
        <v>329</v>
      </c>
      <c r="B82" t="s">
        <v>607</v>
      </c>
      <c r="C82" t="s">
        <v>848</v>
      </c>
      <c r="D82" t="s">
        <v>849</v>
      </c>
      <c r="E82" t="s">
        <v>92</v>
      </c>
      <c r="F82" t="s">
        <v>142</v>
      </c>
    </row>
    <row r="83" spans="1:6" hidden="1" x14ac:dyDescent="0.35">
      <c r="A83">
        <v>331</v>
      </c>
      <c r="B83" t="s">
        <v>612</v>
      </c>
      <c r="C83" t="s">
        <v>850</v>
      </c>
      <c r="D83" t="s">
        <v>851</v>
      </c>
      <c r="E83" t="s">
        <v>92</v>
      </c>
      <c r="F83" t="s">
        <v>90</v>
      </c>
    </row>
    <row r="84" spans="1:6" hidden="1" x14ac:dyDescent="0.35">
      <c r="A84">
        <v>331</v>
      </c>
      <c r="B84" t="s">
        <v>612</v>
      </c>
      <c r="C84" t="s">
        <v>852</v>
      </c>
      <c r="D84" t="s">
        <v>851</v>
      </c>
      <c r="E84" t="s">
        <v>92</v>
      </c>
      <c r="F84" t="s">
        <v>90</v>
      </c>
    </row>
    <row r="85" spans="1:6" hidden="1" x14ac:dyDescent="0.35">
      <c r="A85">
        <v>331</v>
      </c>
      <c r="B85" t="s">
        <v>612</v>
      </c>
      <c r="C85" t="s">
        <v>853</v>
      </c>
      <c r="D85" t="s">
        <v>854</v>
      </c>
      <c r="E85" t="s">
        <v>140</v>
      </c>
      <c r="F85" t="s">
        <v>141</v>
      </c>
    </row>
    <row r="86" spans="1:6" x14ac:dyDescent="0.35">
      <c r="A86">
        <v>332</v>
      </c>
      <c r="B86" t="s">
        <v>618</v>
      </c>
      <c r="C86" t="s">
        <v>855</v>
      </c>
      <c r="D86" t="s">
        <v>856</v>
      </c>
      <c r="E86" t="s">
        <v>92</v>
      </c>
      <c r="F86" t="s">
        <v>90</v>
      </c>
    </row>
    <row r="87" spans="1:6" hidden="1" x14ac:dyDescent="0.35">
      <c r="A87">
        <v>346</v>
      </c>
      <c r="B87" t="s">
        <v>620</v>
      </c>
      <c r="C87" t="s">
        <v>857</v>
      </c>
      <c r="D87" t="s">
        <v>858</v>
      </c>
      <c r="E87" t="s">
        <v>92</v>
      </c>
      <c r="F87" t="s">
        <v>90</v>
      </c>
    </row>
    <row r="88" spans="1:6" hidden="1" x14ac:dyDescent="0.35">
      <c r="A88">
        <v>347</v>
      </c>
      <c r="B88" t="s">
        <v>625</v>
      </c>
      <c r="C88" t="s">
        <v>859</v>
      </c>
      <c r="D88" t="s">
        <v>860</v>
      </c>
      <c r="E88" t="s">
        <v>85</v>
      </c>
      <c r="F88" t="s">
        <v>88</v>
      </c>
    </row>
    <row r="89" spans="1:6" hidden="1" x14ac:dyDescent="0.35">
      <c r="A89">
        <v>347</v>
      </c>
      <c r="B89" t="s">
        <v>625</v>
      </c>
      <c r="C89" t="s">
        <v>861</v>
      </c>
      <c r="D89" t="s">
        <v>860</v>
      </c>
      <c r="E89" t="s">
        <v>85</v>
      </c>
      <c r="F89" t="s">
        <v>88</v>
      </c>
    </row>
    <row r="90" spans="1:6" hidden="1" x14ac:dyDescent="0.35">
      <c r="A90">
        <v>347</v>
      </c>
      <c r="B90" t="s">
        <v>625</v>
      </c>
      <c r="C90" t="s">
        <v>862</v>
      </c>
      <c r="D90" t="s">
        <v>863</v>
      </c>
      <c r="E90" t="s">
        <v>140</v>
      </c>
      <c r="F90" t="s">
        <v>90</v>
      </c>
    </row>
    <row r="91" spans="1:6" hidden="1" x14ac:dyDescent="0.35">
      <c r="A91">
        <v>347</v>
      </c>
      <c r="B91" t="s">
        <v>625</v>
      </c>
      <c r="C91" t="s">
        <v>864</v>
      </c>
      <c r="D91" t="s">
        <v>865</v>
      </c>
      <c r="E91" t="s">
        <v>697</v>
      </c>
      <c r="F91" t="s">
        <v>90</v>
      </c>
    </row>
    <row r="92" spans="1:6" hidden="1" x14ac:dyDescent="0.35">
      <c r="A92">
        <v>347</v>
      </c>
      <c r="B92" t="s">
        <v>625</v>
      </c>
      <c r="C92" t="s">
        <v>866</v>
      </c>
      <c r="D92" t="s">
        <v>867</v>
      </c>
      <c r="E92" t="s">
        <v>140</v>
      </c>
      <c r="F92" t="s">
        <v>90</v>
      </c>
    </row>
    <row r="93" spans="1:6" hidden="1" x14ac:dyDescent="0.35">
      <c r="A93">
        <v>347</v>
      </c>
      <c r="B93" t="s">
        <v>625</v>
      </c>
      <c r="C93" t="s">
        <v>868</v>
      </c>
      <c r="D93" t="s">
        <v>863</v>
      </c>
      <c r="E93" t="s">
        <v>140</v>
      </c>
      <c r="F93" t="s">
        <v>90</v>
      </c>
    </row>
    <row r="94" spans="1:6" hidden="1" x14ac:dyDescent="0.35">
      <c r="A94">
        <v>347</v>
      </c>
      <c r="B94" t="s">
        <v>625</v>
      </c>
      <c r="C94" t="s">
        <v>869</v>
      </c>
      <c r="D94" t="s">
        <v>870</v>
      </c>
      <c r="E94" t="s">
        <v>697</v>
      </c>
      <c r="F94" t="s">
        <v>698</v>
      </c>
    </row>
    <row r="95" spans="1:6" hidden="1" x14ac:dyDescent="0.35">
      <c r="A95">
        <v>354</v>
      </c>
      <c r="B95" t="s">
        <v>634</v>
      </c>
      <c r="C95" t="s">
        <v>871</v>
      </c>
      <c r="D95" t="s">
        <v>872</v>
      </c>
      <c r="E95" t="s">
        <v>85</v>
      </c>
      <c r="F95" t="s">
        <v>88</v>
      </c>
    </row>
    <row r="96" spans="1:6" hidden="1" x14ac:dyDescent="0.35">
      <c r="A96">
        <v>354</v>
      </c>
      <c r="B96" t="s">
        <v>634</v>
      </c>
      <c r="C96" t="s">
        <v>873</v>
      </c>
      <c r="D96" t="s">
        <v>874</v>
      </c>
      <c r="E96" t="s">
        <v>92</v>
      </c>
      <c r="F96" t="s">
        <v>142</v>
      </c>
    </row>
    <row r="97" spans="1:6" hidden="1" x14ac:dyDescent="0.35">
      <c r="A97">
        <v>354</v>
      </c>
      <c r="B97" t="s">
        <v>634</v>
      </c>
      <c r="C97" t="s">
        <v>875</v>
      </c>
      <c r="D97" t="s">
        <v>876</v>
      </c>
      <c r="E97" t="s">
        <v>86</v>
      </c>
      <c r="F97" t="s">
        <v>87</v>
      </c>
    </row>
    <row r="98" spans="1:6" hidden="1" x14ac:dyDescent="0.35">
      <c r="A98">
        <v>354</v>
      </c>
      <c r="B98" t="s">
        <v>634</v>
      </c>
      <c r="C98" t="s">
        <v>877</v>
      </c>
      <c r="D98" t="s">
        <v>878</v>
      </c>
      <c r="E98" t="s">
        <v>85</v>
      </c>
      <c r="F98" t="s">
        <v>88</v>
      </c>
    </row>
    <row r="99" spans="1:6" hidden="1" x14ac:dyDescent="0.35">
      <c r="A99">
        <v>354</v>
      </c>
      <c r="B99" t="s">
        <v>634</v>
      </c>
      <c r="C99" t="s">
        <v>879</v>
      </c>
      <c r="D99" t="s">
        <v>880</v>
      </c>
      <c r="E99" t="s">
        <v>85</v>
      </c>
      <c r="F99" t="s">
        <v>88</v>
      </c>
    </row>
    <row r="100" spans="1:6" hidden="1" x14ac:dyDescent="0.35">
      <c r="A100">
        <v>354</v>
      </c>
      <c r="B100" t="s">
        <v>634</v>
      </c>
      <c r="C100" t="s">
        <v>881</v>
      </c>
      <c r="D100" t="s">
        <v>874</v>
      </c>
      <c r="E100" t="s">
        <v>92</v>
      </c>
      <c r="F100" t="s">
        <v>142</v>
      </c>
    </row>
    <row r="101" spans="1:6" hidden="1" x14ac:dyDescent="0.35">
      <c r="A101">
        <v>354</v>
      </c>
      <c r="B101" t="s">
        <v>634</v>
      </c>
      <c r="C101" t="s">
        <v>882</v>
      </c>
      <c r="D101" t="s">
        <v>883</v>
      </c>
      <c r="E101" t="s">
        <v>85</v>
      </c>
      <c r="F101" t="s">
        <v>88</v>
      </c>
    </row>
    <row r="102" spans="1:6" hidden="1" x14ac:dyDescent="0.35">
      <c r="A102">
        <v>354</v>
      </c>
      <c r="B102" t="s">
        <v>634</v>
      </c>
      <c r="C102" t="s">
        <v>884</v>
      </c>
      <c r="D102" t="s">
        <v>883</v>
      </c>
      <c r="E102" t="s">
        <v>85</v>
      </c>
      <c r="F102" t="s">
        <v>88</v>
      </c>
    </row>
    <row r="103" spans="1:6" hidden="1" x14ac:dyDescent="0.35">
      <c r="A103">
        <v>355</v>
      </c>
      <c r="B103" t="s">
        <v>643</v>
      </c>
      <c r="C103" t="s">
        <v>885</v>
      </c>
      <c r="D103" t="s">
        <v>886</v>
      </c>
      <c r="E103" t="s">
        <v>140</v>
      </c>
      <c r="F103" t="s">
        <v>90</v>
      </c>
    </row>
    <row r="104" spans="1:6" hidden="1" x14ac:dyDescent="0.35">
      <c r="A104">
        <v>355</v>
      </c>
      <c r="B104" t="s">
        <v>643</v>
      </c>
      <c r="C104" t="s">
        <v>887</v>
      </c>
      <c r="D104" t="s">
        <v>888</v>
      </c>
      <c r="E104" t="s">
        <v>92</v>
      </c>
      <c r="F104" t="s">
        <v>90</v>
      </c>
    </row>
    <row r="105" spans="1:6" hidden="1" x14ac:dyDescent="0.35">
      <c r="A105">
        <v>355</v>
      </c>
      <c r="B105" t="s">
        <v>643</v>
      </c>
      <c r="C105" t="s">
        <v>889</v>
      </c>
      <c r="D105" t="s">
        <v>888</v>
      </c>
      <c r="E105" t="s">
        <v>92</v>
      </c>
      <c r="F105" t="s">
        <v>90</v>
      </c>
    </row>
    <row r="106" spans="1:6" hidden="1" x14ac:dyDescent="0.35">
      <c r="A106">
        <v>355</v>
      </c>
      <c r="B106" t="s">
        <v>643</v>
      </c>
      <c r="C106" t="s">
        <v>890</v>
      </c>
      <c r="D106" t="s">
        <v>891</v>
      </c>
      <c r="E106" t="s">
        <v>85</v>
      </c>
      <c r="F106" t="s">
        <v>88</v>
      </c>
    </row>
    <row r="107" spans="1:6" hidden="1" x14ac:dyDescent="0.35">
      <c r="A107">
        <v>361</v>
      </c>
      <c r="B107" t="s">
        <v>650</v>
      </c>
      <c r="C107" t="s">
        <v>892</v>
      </c>
      <c r="D107" t="s">
        <v>893</v>
      </c>
      <c r="E107" t="s">
        <v>92</v>
      </c>
      <c r="F107" t="s">
        <v>142</v>
      </c>
    </row>
    <row r="108" spans="1:6" hidden="1" x14ac:dyDescent="0.35">
      <c r="A108">
        <v>361</v>
      </c>
      <c r="B108" t="s">
        <v>650</v>
      </c>
      <c r="C108" t="s">
        <v>894</v>
      </c>
      <c r="D108" t="s">
        <v>895</v>
      </c>
      <c r="E108" t="s">
        <v>92</v>
      </c>
      <c r="F108" t="s">
        <v>90</v>
      </c>
    </row>
    <row r="109" spans="1:6" hidden="1" x14ac:dyDescent="0.35">
      <c r="A109">
        <v>361</v>
      </c>
      <c r="B109" t="s">
        <v>650</v>
      </c>
      <c r="C109" t="s">
        <v>896</v>
      </c>
      <c r="D109" t="s">
        <v>897</v>
      </c>
      <c r="E109" t="s">
        <v>85</v>
      </c>
      <c r="F109" t="s">
        <v>143</v>
      </c>
    </row>
    <row r="110" spans="1:6" hidden="1" x14ac:dyDescent="0.35">
      <c r="A110">
        <v>361</v>
      </c>
      <c r="B110" t="s">
        <v>650</v>
      </c>
      <c r="C110" t="s">
        <v>898</v>
      </c>
      <c r="D110" t="s">
        <v>899</v>
      </c>
      <c r="E110" t="s">
        <v>85</v>
      </c>
      <c r="F110" t="s">
        <v>88</v>
      </c>
    </row>
    <row r="111" spans="1:6" hidden="1" x14ac:dyDescent="0.35">
      <c r="A111">
        <v>361</v>
      </c>
      <c r="B111" t="s">
        <v>650</v>
      </c>
      <c r="C111" t="s">
        <v>900</v>
      </c>
      <c r="D111" t="s">
        <v>893</v>
      </c>
      <c r="E111" t="s">
        <v>92</v>
      </c>
      <c r="F111" t="s">
        <v>142</v>
      </c>
    </row>
    <row r="112" spans="1:6" hidden="1" x14ac:dyDescent="0.35">
      <c r="A112">
        <v>365</v>
      </c>
      <c r="B112" t="s">
        <v>660</v>
      </c>
      <c r="C112" t="s">
        <v>901</v>
      </c>
      <c r="D112" t="s">
        <v>902</v>
      </c>
      <c r="E112" t="s">
        <v>89</v>
      </c>
      <c r="F112" t="s">
        <v>91</v>
      </c>
    </row>
    <row r="113" spans="1:6" hidden="1" x14ac:dyDescent="0.35">
      <c r="A113">
        <v>365</v>
      </c>
      <c r="B113" t="s">
        <v>660</v>
      </c>
      <c r="C113" t="s">
        <v>903</v>
      </c>
      <c r="D113" t="s">
        <v>904</v>
      </c>
      <c r="E113" t="s">
        <v>85</v>
      </c>
      <c r="F113" t="s">
        <v>88</v>
      </c>
    </row>
    <row r="114" spans="1:6" hidden="1" x14ac:dyDescent="0.35">
      <c r="A114">
        <v>365</v>
      </c>
      <c r="B114" t="s">
        <v>660</v>
      </c>
      <c r="C114" t="s">
        <v>905</v>
      </c>
      <c r="D114" t="s">
        <v>906</v>
      </c>
      <c r="E114" t="s">
        <v>85</v>
      </c>
      <c r="F114" t="s">
        <v>143</v>
      </c>
    </row>
    <row r="115" spans="1:6" hidden="1" x14ac:dyDescent="0.35">
      <c r="A115">
        <v>368</v>
      </c>
      <c r="B115" t="s">
        <v>666</v>
      </c>
      <c r="C115" t="s">
        <v>907</v>
      </c>
      <c r="D115" t="s">
        <v>908</v>
      </c>
      <c r="E115" t="s">
        <v>85</v>
      </c>
      <c r="F115" t="s">
        <v>88</v>
      </c>
    </row>
    <row r="116" spans="1:6" hidden="1" x14ac:dyDescent="0.35">
      <c r="A116">
        <v>376</v>
      </c>
      <c r="B116" t="s">
        <v>671</v>
      </c>
      <c r="C116" t="s">
        <v>909</v>
      </c>
      <c r="D116" t="s">
        <v>910</v>
      </c>
      <c r="E116" t="s">
        <v>85</v>
      </c>
      <c r="F116" t="s">
        <v>143</v>
      </c>
    </row>
    <row r="117" spans="1:6" hidden="1" x14ac:dyDescent="0.35">
      <c r="A117">
        <v>376</v>
      </c>
      <c r="B117" t="s">
        <v>671</v>
      </c>
      <c r="C117" t="s">
        <v>911</v>
      </c>
      <c r="D117" t="s">
        <v>910</v>
      </c>
      <c r="E117" t="s">
        <v>85</v>
      </c>
      <c r="F117" t="s">
        <v>143</v>
      </c>
    </row>
    <row r="118" spans="1:6" hidden="1" x14ac:dyDescent="0.35">
      <c r="A118">
        <v>377</v>
      </c>
      <c r="B118" t="s">
        <v>912</v>
      </c>
      <c r="C118" t="s">
        <v>913</v>
      </c>
      <c r="D118" t="s">
        <v>914</v>
      </c>
      <c r="E118" t="s">
        <v>140</v>
      </c>
      <c r="F118" t="s">
        <v>90</v>
      </c>
    </row>
    <row r="119" spans="1:6" x14ac:dyDescent="0.35">
      <c r="A119">
        <v>384</v>
      </c>
      <c r="B119" t="s">
        <v>676</v>
      </c>
      <c r="C119" t="s">
        <v>915</v>
      </c>
      <c r="D119" t="s">
        <v>916</v>
      </c>
      <c r="E119" t="s">
        <v>92</v>
      </c>
      <c r="F119" t="s">
        <v>142</v>
      </c>
    </row>
    <row r="120" spans="1:6" x14ac:dyDescent="0.35">
      <c r="A120">
        <v>384</v>
      </c>
      <c r="B120" t="s">
        <v>676</v>
      </c>
      <c r="C120" t="s">
        <v>917</v>
      </c>
      <c r="D120" t="s">
        <v>918</v>
      </c>
      <c r="E120" t="s">
        <v>85</v>
      </c>
      <c r="F120" t="s">
        <v>143</v>
      </c>
    </row>
    <row r="121" spans="1:6" x14ac:dyDescent="0.35">
      <c r="A121">
        <v>384</v>
      </c>
      <c r="B121" t="s">
        <v>676</v>
      </c>
      <c r="C121" t="s">
        <v>919</v>
      </c>
      <c r="D121" t="s">
        <v>920</v>
      </c>
      <c r="E121" t="s">
        <v>92</v>
      </c>
      <c r="F121" t="s">
        <v>90</v>
      </c>
    </row>
    <row r="122" spans="1:6" x14ac:dyDescent="0.35">
      <c r="A122">
        <v>391</v>
      </c>
      <c r="B122" t="s">
        <v>685</v>
      </c>
      <c r="C122" t="s">
        <v>921</v>
      </c>
      <c r="D122" t="s">
        <v>922</v>
      </c>
      <c r="E122" t="s">
        <v>140</v>
      </c>
      <c r="F122" t="s">
        <v>90</v>
      </c>
    </row>
    <row r="123" spans="1:6" hidden="1" x14ac:dyDescent="0.35">
      <c r="A123">
        <v>398</v>
      </c>
      <c r="B123" t="s">
        <v>688</v>
      </c>
      <c r="C123" t="s">
        <v>923</v>
      </c>
      <c r="D123" t="s">
        <v>924</v>
      </c>
      <c r="E123" t="s">
        <v>85</v>
      </c>
      <c r="F123" t="s">
        <v>88</v>
      </c>
    </row>
    <row r="124" spans="1:6" hidden="1" x14ac:dyDescent="0.35">
      <c r="A124">
        <v>398</v>
      </c>
      <c r="B124" t="s">
        <v>688</v>
      </c>
      <c r="C124" t="s">
        <v>925</v>
      </c>
      <c r="D124" t="s">
        <v>926</v>
      </c>
      <c r="E124" t="s">
        <v>92</v>
      </c>
      <c r="F124" t="s">
        <v>144</v>
      </c>
    </row>
  </sheetData>
  <autoFilter ref="A1:F124">
    <filterColumn colId="0">
      <filters>
        <filter val="158"/>
        <filter val="191"/>
        <filter val="324"/>
        <filter val="329"/>
        <filter val="332"/>
        <filter val="384"/>
        <filter val="391"/>
      </filters>
    </filterColumn>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filterMode="1">
    <tabColor theme="6" tint="0.39997558519241921"/>
  </sheetPr>
  <dimension ref="A1:O10000"/>
  <sheetViews>
    <sheetView workbookViewId="0">
      <selection activeCell="E137" sqref="E137"/>
    </sheetView>
  </sheetViews>
  <sheetFormatPr defaultRowHeight="14.5" x14ac:dyDescent="0.35"/>
  <cols>
    <col min="1" max="1" width="9.26953125" bestFit="1" customWidth="1"/>
    <col min="2" max="2" width="50" customWidth="1"/>
    <col min="3" max="3" width="20" bestFit="1" customWidth="1"/>
    <col min="4" max="4" width="50" customWidth="1"/>
    <col min="5" max="5" width="21.1796875" bestFit="1" customWidth="1"/>
    <col min="6" max="6" width="24.7265625" bestFit="1" customWidth="1"/>
    <col min="7" max="7" width="25.81640625" bestFit="1" customWidth="1"/>
    <col min="8" max="8" width="50" customWidth="1"/>
    <col min="9" max="9" width="12.81640625" bestFit="1" customWidth="1"/>
    <col min="10" max="10" width="38.81640625" bestFit="1" customWidth="1"/>
    <col min="11" max="11" width="10.54296875" bestFit="1" customWidth="1"/>
    <col min="12" max="12" width="50" customWidth="1"/>
    <col min="13" max="13" width="18.7265625" bestFit="1" customWidth="1"/>
    <col min="14" max="14" width="11.7265625" bestFit="1" customWidth="1"/>
    <col min="15" max="15" width="16.453125" bestFit="1" customWidth="1"/>
  </cols>
  <sheetData>
    <row r="1" spans="1:15" x14ac:dyDescent="0.35">
      <c r="A1" s="46" t="s">
        <v>34</v>
      </c>
      <c r="B1" s="46" t="s">
        <v>35</v>
      </c>
      <c r="C1" s="46" t="s">
        <v>43</v>
      </c>
      <c r="D1" s="46" t="s">
        <v>94</v>
      </c>
      <c r="E1" s="46" t="s">
        <v>95</v>
      </c>
      <c r="F1" s="46" t="s">
        <v>96</v>
      </c>
      <c r="G1" s="46" t="s">
        <v>46</v>
      </c>
      <c r="H1" s="47" t="s">
        <v>47</v>
      </c>
      <c r="I1" s="46" t="s">
        <v>97</v>
      </c>
      <c r="J1" s="46" t="s">
        <v>98</v>
      </c>
      <c r="K1" s="46" t="s">
        <v>99</v>
      </c>
      <c r="L1" s="46" t="s">
        <v>100</v>
      </c>
      <c r="M1" s="46" t="s">
        <v>101</v>
      </c>
      <c r="N1" s="46" t="s">
        <v>102</v>
      </c>
      <c r="O1" s="46" t="s">
        <v>103</v>
      </c>
    </row>
    <row r="2" spans="1:15" hidden="1" x14ac:dyDescent="0.35">
      <c r="A2">
        <v>46</v>
      </c>
      <c r="B2" t="s">
        <v>398</v>
      </c>
      <c r="C2" t="s">
        <v>66</v>
      </c>
      <c r="D2" t="s">
        <v>399</v>
      </c>
      <c r="E2" t="s">
        <v>187</v>
      </c>
      <c r="F2" t="s">
        <v>110</v>
      </c>
      <c r="G2" t="s">
        <v>78</v>
      </c>
      <c r="H2" s="35" t="s">
        <v>400</v>
      </c>
      <c r="J2" t="s">
        <v>104</v>
      </c>
      <c r="K2" t="s">
        <v>109</v>
      </c>
      <c r="L2" t="s">
        <v>105</v>
      </c>
      <c r="M2" t="s">
        <v>106</v>
      </c>
      <c r="N2" t="s">
        <v>107</v>
      </c>
      <c r="O2" t="s">
        <v>69</v>
      </c>
    </row>
    <row r="3" spans="1:15" hidden="1" x14ac:dyDescent="0.35">
      <c r="A3">
        <v>46</v>
      </c>
      <c r="B3" t="s">
        <v>398</v>
      </c>
      <c r="C3" t="s">
        <v>66</v>
      </c>
      <c r="D3" t="s">
        <v>401</v>
      </c>
      <c r="E3" t="s">
        <v>187</v>
      </c>
      <c r="F3" t="s">
        <v>110</v>
      </c>
      <c r="G3" t="s">
        <v>78</v>
      </c>
      <c r="H3" s="35" t="s">
        <v>400</v>
      </c>
      <c r="J3" t="s">
        <v>104</v>
      </c>
      <c r="K3" t="s">
        <v>109</v>
      </c>
      <c r="L3" t="s">
        <v>105</v>
      </c>
      <c r="M3" t="s">
        <v>106</v>
      </c>
      <c r="N3" t="s">
        <v>107</v>
      </c>
      <c r="O3" t="s">
        <v>69</v>
      </c>
    </row>
    <row r="4" spans="1:15" hidden="1" x14ac:dyDescent="0.35">
      <c r="A4">
        <v>46</v>
      </c>
      <c r="B4" t="s">
        <v>398</v>
      </c>
      <c r="C4" t="s">
        <v>66</v>
      </c>
      <c r="D4" t="s">
        <v>402</v>
      </c>
      <c r="E4" t="s">
        <v>187</v>
      </c>
      <c r="F4" t="s">
        <v>110</v>
      </c>
      <c r="G4" t="s">
        <v>78</v>
      </c>
      <c r="H4" s="35" t="s">
        <v>400</v>
      </c>
      <c r="J4" t="s">
        <v>104</v>
      </c>
      <c r="K4" t="s">
        <v>109</v>
      </c>
      <c r="L4" t="s">
        <v>105</v>
      </c>
      <c r="M4" t="s">
        <v>106</v>
      </c>
      <c r="N4" t="s">
        <v>107</v>
      </c>
      <c r="O4" t="s">
        <v>69</v>
      </c>
    </row>
    <row r="5" spans="1:15" hidden="1" x14ac:dyDescent="0.35">
      <c r="A5">
        <v>46</v>
      </c>
      <c r="B5" t="s">
        <v>398</v>
      </c>
      <c r="C5" t="s">
        <v>66</v>
      </c>
      <c r="D5" t="s">
        <v>403</v>
      </c>
      <c r="E5" t="s">
        <v>404</v>
      </c>
      <c r="F5" t="s">
        <v>187</v>
      </c>
      <c r="G5" t="s">
        <v>78</v>
      </c>
      <c r="H5" s="35" t="s">
        <v>400</v>
      </c>
      <c r="J5" t="s">
        <v>104</v>
      </c>
      <c r="K5" t="s">
        <v>109</v>
      </c>
      <c r="L5" t="s">
        <v>105</v>
      </c>
      <c r="M5" t="s">
        <v>106</v>
      </c>
      <c r="N5" t="s">
        <v>107</v>
      </c>
      <c r="O5" t="s">
        <v>69</v>
      </c>
    </row>
    <row r="6" spans="1:15" hidden="1" x14ac:dyDescent="0.35">
      <c r="A6">
        <v>71</v>
      </c>
      <c r="B6" t="s">
        <v>405</v>
      </c>
      <c r="C6" t="s">
        <v>66</v>
      </c>
      <c r="D6" t="s">
        <v>406</v>
      </c>
      <c r="E6" t="s">
        <v>407</v>
      </c>
      <c r="F6" t="s">
        <v>408</v>
      </c>
      <c r="G6" t="s">
        <v>407</v>
      </c>
      <c r="H6" s="35" t="s">
        <v>409</v>
      </c>
      <c r="I6" t="s">
        <v>410</v>
      </c>
      <c r="J6" t="s">
        <v>104</v>
      </c>
      <c r="K6" t="s">
        <v>108</v>
      </c>
      <c r="L6" t="s">
        <v>105</v>
      </c>
      <c r="M6" t="s">
        <v>106</v>
      </c>
      <c r="N6" t="s">
        <v>107</v>
      </c>
      <c r="O6" t="s">
        <v>69</v>
      </c>
    </row>
    <row r="7" spans="1:15" hidden="1" x14ac:dyDescent="0.35">
      <c r="A7">
        <v>71</v>
      </c>
      <c r="B7" t="s">
        <v>405</v>
      </c>
      <c r="C7" t="s">
        <v>66</v>
      </c>
      <c r="D7" t="s">
        <v>411</v>
      </c>
      <c r="E7" t="s">
        <v>412</v>
      </c>
      <c r="F7" t="s">
        <v>408</v>
      </c>
      <c r="G7" t="s">
        <v>407</v>
      </c>
      <c r="H7" s="35" t="s">
        <v>409</v>
      </c>
      <c r="I7" t="s">
        <v>410</v>
      </c>
      <c r="J7" t="s">
        <v>104</v>
      </c>
      <c r="K7" t="s">
        <v>109</v>
      </c>
      <c r="M7" t="s">
        <v>106</v>
      </c>
      <c r="N7" t="s">
        <v>107</v>
      </c>
      <c r="O7" t="s">
        <v>69</v>
      </c>
    </row>
    <row r="8" spans="1:15" hidden="1" x14ac:dyDescent="0.35">
      <c r="A8">
        <v>71</v>
      </c>
      <c r="B8" t="s">
        <v>405</v>
      </c>
      <c r="C8" t="s">
        <v>66</v>
      </c>
      <c r="D8" t="s">
        <v>413</v>
      </c>
      <c r="E8" t="s">
        <v>407</v>
      </c>
      <c r="F8" t="s">
        <v>408</v>
      </c>
      <c r="G8" t="s">
        <v>407</v>
      </c>
      <c r="H8" s="35" t="s">
        <v>409</v>
      </c>
      <c r="I8" t="s">
        <v>410</v>
      </c>
      <c r="J8" t="s">
        <v>104</v>
      </c>
      <c r="K8" t="s">
        <v>109</v>
      </c>
      <c r="L8" t="s">
        <v>105</v>
      </c>
      <c r="M8" t="s">
        <v>106</v>
      </c>
      <c r="N8" t="s">
        <v>107</v>
      </c>
      <c r="O8" t="s">
        <v>69</v>
      </c>
    </row>
    <row r="9" spans="1:15" hidden="1" x14ac:dyDescent="0.35">
      <c r="A9">
        <v>71</v>
      </c>
      <c r="B9" t="s">
        <v>405</v>
      </c>
      <c r="C9" t="s">
        <v>66</v>
      </c>
      <c r="D9" t="s">
        <v>414</v>
      </c>
      <c r="E9" t="s">
        <v>415</v>
      </c>
      <c r="F9" t="s">
        <v>408</v>
      </c>
      <c r="G9" t="s">
        <v>407</v>
      </c>
      <c r="H9" s="35" t="s">
        <v>409</v>
      </c>
      <c r="I9" t="s">
        <v>410</v>
      </c>
      <c r="J9" t="s">
        <v>104</v>
      </c>
      <c r="K9" t="s">
        <v>109</v>
      </c>
      <c r="M9" t="s">
        <v>106</v>
      </c>
      <c r="N9" t="s">
        <v>107</v>
      </c>
      <c r="O9" t="s">
        <v>69</v>
      </c>
    </row>
    <row r="10" spans="1:15" hidden="1" x14ac:dyDescent="0.35">
      <c r="A10">
        <v>71</v>
      </c>
      <c r="B10" t="s">
        <v>405</v>
      </c>
      <c r="C10" t="s">
        <v>66</v>
      </c>
      <c r="D10" t="s">
        <v>416</v>
      </c>
      <c r="E10" t="s">
        <v>415</v>
      </c>
      <c r="F10" t="s">
        <v>408</v>
      </c>
      <c r="G10" t="s">
        <v>407</v>
      </c>
      <c r="H10" s="35" t="s">
        <v>409</v>
      </c>
      <c r="I10" t="s">
        <v>410</v>
      </c>
      <c r="J10" t="s">
        <v>104</v>
      </c>
      <c r="K10" t="s">
        <v>109</v>
      </c>
      <c r="M10" t="s">
        <v>106</v>
      </c>
      <c r="N10" t="s">
        <v>107</v>
      </c>
      <c r="O10" t="s">
        <v>69</v>
      </c>
    </row>
    <row r="11" spans="1:15" hidden="1" x14ac:dyDescent="0.35">
      <c r="A11">
        <v>71</v>
      </c>
      <c r="B11" t="s">
        <v>405</v>
      </c>
      <c r="C11" t="s">
        <v>66</v>
      </c>
      <c r="D11" t="s">
        <v>417</v>
      </c>
      <c r="E11" t="s">
        <v>415</v>
      </c>
      <c r="F11" t="s">
        <v>408</v>
      </c>
      <c r="G11" t="s">
        <v>407</v>
      </c>
      <c r="H11" s="35" t="s">
        <v>409</v>
      </c>
      <c r="I11" t="s">
        <v>410</v>
      </c>
      <c r="J11" t="s">
        <v>104</v>
      </c>
      <c r="K11" t="s">
        <v>109</v>
      </c>
      <c r="M11" t="s">
        <v>106</v>
      </c>
      <c r="N11" t="s">
        <v>107</v>
      </c>
      <c r="O11" t="s">
        <v>69</v>
      </c>
    </row>
    <row r="12" spans="1:15" hidden="1" x14ac:dyDescent="0.35">
      <c r="A12">
        <v>83</v>
      </c>
      <c r="B12" t="s">
        <v>418</v>
      </c>
      <c r="C12" t="s">
        <v>66</v>
      </c>
      <c r="D12" t="s">
        <v>419</v>
      </c>
      <c r="E12" t="s">
        <v>420</v>
      </c>
      <c r="F12" t="s">
        <v>110</v>
      </c>
      <c r="G12" t="s">
        <v>421</v>
      </c>
      <c r="H12" s="35" t="s">
        <v>422</v>
      </c>
      <c r="I12" t="s">
        <v>423</v>
      </c>
      <c r="J12" t="s">
        <v>104</v>
      </c>
      <c r="K12" t="s">
        <v>108</v>
      </c>
      <c r="L12" t="s">
        <v>105</v>
      </c>
      <c r="M12" t="s">
        <v>106</v>
      </c>
      <c r="N12" t="s">
        <v>107</v>
      </c>
      <c r="O12" t="s">
        <v>69</v>
      </c>
    </row>
    <row r="13" spans="1:15" hidden="1" x14ac:dyDescent="0.35">
      <c r="A13">
        <v>83</v>
      </c>
      <c r="B13" t="s">
        <v>418</v>
      </c>
      <c r="C13" t="s">
        <v>66</v>
      </c>
      <c r="D13" t="s">
        <v>424</v>
      </c>
      <c r="E13" t="s">
        <v>420</v>
      </c>
      <c r="F13" t="s">
        <v>110</v>
      </c>
      <c r="G13" t="s">
        <v>421</v>
      </c>
      <c r="H13" s="35" t="s">
        <v>422</v>
      </c>
      <c r="J13" t="s">
        <v>104</v>
      </c>
      <c r="K13" t="s">
        <v>109</v>
      </c>
      <c r="L13" t="s">
        <v>105</v>
      </c>
      <c r="M13" t="s">
        <v>106</v>
      </c>
      <c r="N13" t="s">
        <v>107</v>
      </c>
      <c r="O13" t="s">
        <v>69</v>
      </c>
    </row>
    <row r="14" spans="1:15" hidden="1" x14ac:dyDescent="0.35">
      <c r="A14">
        <v>83</v>
      </c>
      <c r="B14" t="s">
        <v>418</v>
      </c>
      <c r="C14" t="s">
        <v>66</v>
      </c>
      <c r="D14" t="s">
        <v>425</v>
      </c>
      <c r="E14" t="s">
        <v>420</v>
      </c>
      <c r="F14" t="s">
        <v>110</v>
      </c>
      <c r="G14" t="s">
        <v>421</v>
      </c>
      <c r="H14" s="35" t="s">
        <v>422</v>
      </c>
      <c r="J14" t="s">
        <v>104</v>
      </c>
      <c r="K14" t="s">
        <v>109</v>
      </c>
      <c r="L14" t="s">
        <v>105</v>
      </c>
      <c r="M14" t="s">
        <v>106</v>
      </c>
      <c r="N14" t="s">
        <v>107</v>
      </c>
      <c r="O14" t="s">
        <v>69</v>
      </c>
    </row>
    <row r="15" spans="1:15" hidden="1" x14ac:dyDescent="0.35">
      <c r="A15">
        <v>83</v>
      </c>
      <c r="B15" t="s">
        <v>418</v>
      </c>
      <c r="C15" t="s">
        <v>66</v>
      </c>
      <c r="D15" t="s">
        <v>426</v>
      </c>
      <c r="E15" t="s">
        <v>420</v>
      </c>
      <c r="F15" t="s">
        <v>110</v>
      </c>
      <c r="G15" t="s">
        <v>421</v>
      </c>
      <c r="H15" s="35" t="s">
        <v>422</v>
      </c>
      <c r="I15" t="s">
        <v>427</v>
      </c>
      <c r="J15" t="s">
        <v>104</v>
      </c>
      <c r="K15" t="s">
        <v>109</v>
      </c>
      <c r="L15" t="s">
        <v>105</v>
      </c>
      <c r="M15" t="s">
        <v>106</v>
      </c>
      <c r="N15" t="s">
        <v>107</v>
      </c>
      <c r="O15" t="s">
        <v>69</v>
      </c>
    </row>
    <row r="16" spans="1:15" hidden="1" x14ac:dyDescent="0.35">
      <c r="A16">
        <v>83</v>
      </c>
      <c r="B16" t="s">
        <v>418</v>
      </c>
      <c r="C16" t="s">
        <v>66</v>
      </c>
      <c r="D16" t="s">
        <v>428</v>
      </c>
      <c r="E16" t="s">
        <v>420</v>
      </c>
      <c r="F16" t="s">
        <v>110</v>
      </c>
      <c r="G16" t="s">
        <v>421</v>
      </c>
      <c r="H16" s="35" t="s">
        <v>422</v>
      </c>
      <c r="I16" t="s">
        <v>423</v>
      </c>
      <c r="J16" t="s">
        <v>104</v>
      </c>
      <c r="K16" t="s">
        <v>109</v>
      </c>
      <c r="L16" t="s">
        <v>105</v>
      </c>
      <c r="M16" t="s">
        <v>106</v>
      </c>
      <c r="N16" t="s">
        <v>107</v>
      </c>
      <c r="O16" t="s">
        <v>69</v>
      </c>
    </row>
    <row r="17" spans="1:15" hidden="1" x14ac:dyDescent="0.35">
      <c r="A17">
        <v>83</v>
      </c>
      <c r="B17" t="s">
        <v>418</v>
      </c>
      <c r="C17" t="s">
        <v>66</v>
      </c>
      <c r="D17" t="s">
        <v>429</v>
      </c>
      <c r="E17" t="s">
        <v>430</v>
      </c>
      <c r="F17" t="s">
        <v>110</v>
      </c>
      <c r="G17" t="s">
        <v>421</v>
      </c>
      <c r="H17" s="35" t="s">
        <v>422</v>
      </c>
      <c r="I17" t="s">
        <v>427</v>
      </c>
      <c r="J17" t="s">
        <v>104</v>
      </c>
      <c r="K17" t="s">
        <v>112</v>
      </c>
      <c r="L17" t="s">
        <v>105</v>
      </c>
      <c r="M17" t="s">
        <v>106</v>
      </c>
      <c r="N17" t="s">
        <v>107</v>
      </c>
      <c r="O17" t="s">
        <v>69</v>
      </c>
    </row>
    <row r="18" spans="1:15" hidden="1" x14ac:dyDescent="0.35">
      <c r="A18">
        <v>99</v>
      </c>
      <c r="B18" t="s">
        <v>431</v>
      </c>
      <c r="C18" t="s">
        <v>66</v>
      </c>
      <c r="D18" t="s">
        <v>432</v>
      </c>
      <c r="E18" t="s">
        <v>415</v>
      </c>
      <c r="F18" t="s">
        <v>433</v>
      </c>
      <c r="G18" t="s">
        <v>433</v>
      </c>
      <c r="H18" s="35" t="s">
        <v>434</v>
      </c>
      <c r="I18" t="s">
        <v>435</v>
      </c>
      <c r="J18" t="s">
        <v>104</v>
      </c>
      <c r="K18" t="s">
        <v>109</v>
      </c>
      <c r="L18" t="s">
        <v>195</v>
      </c>
      <c r="M18" t="s">
        <v>106</v>
      </c>
      <c r="N18" t="s">
        <v>107</v>
      </c>
      <c r="O18" t="s">
        <v>69</v>
      </c>
    </row>
    <row r="19" spans="1:15" hidden="1" x14ac:dyDescent="0.35">
      <c r="A19">
        <v>99</v>
      </c>
      <c r="B19" t="s">
        <v>431</v>
      </c>
      <c r="C19" t="s">
        <v>66</v>
      </c>
      <c r="D19" t="s">
        <v>436</v>
      </c>
      <c r="E19" t="s">
        <v>433</v>
      </c>
      <c r="F19" t="s">
        <v>415</v>
      </c>
      <c r="G19" t="s">
        <v>433</v>
      </c>
      <c r="H19" s="35" t="s">
        <v>434</v>
      </c>
      <c r="I19" t="s">
        <v>437</v>
      </c>
      <c r="J19" t="s">
        <v>104</v>
      </c>
      <c r="K19" t="s">
        <v>109</v>
      </c>
      <c r="L19" t="s">
        <v>105</v>
      </c>
      <c r="M19" t="s">
        <v>106</v>
      </c>
      <c r="N19" t="s">
        <v>107</v>
      </c>
      <c r="O19" t="s">
        <v>69</v>
      </c>
    </row>
    <row r="20" spans="1:15" hidden="1" x14ac:dyDescent="0.35">
      <c r="A20">
        <v>99</v>
      </c>
      <c r="B20" t="s">
        <v>431</v>
      </c>
      <c r="C20" t="s">
        <v>66</v>
      </c>
      <c r="D20" t="s">
        <v>438</v>
      </c>
      <c r="E20" t="s">
        <v>433</v>
      </c>
      <c r="F20" t="s">
        <v>415</v>
      </c>
      <c r="G20" t="s">
        <v>433</v>
      </c>
      <c r="H20" s="35" t="s">
        <v>434</v>
      </c>
      <c r="I20" t="s">
        <v>437</v>
      </c>
      <c r="J20" t="s">
        <v>104</v>
      </c>
      <c r="K20" t="s">
        <v>109</v>
      </c>
      <c r="L20" t="s">
        <v>105</v>
      </c>
      <c r="M20" t="s">
        <v>106</v>
      </c>
      <c r="N20" t="s">
        <v>107</v>
      </c>
      <c r="O20" t="s">
        <v>69</v>
      </c>
    </row>
    <row r="21" spans="1:15" hidden="1" x14ac:dyDescent="0.35">
      <c r="A21">
        <v>99</v>
      </c>
      <c r="B21" t="s">
        <v>431</v>
      </c>
      <c r="C21" t="s">
        <v>66</v>
      </c>
      <c r="D21" t="s">
        <v>439</v>
      </c>
      <c r="E21" t="s">
        <v>433</v>
      </c>
      <c r="F21" t="s">
        <v>415</v>
      </c>
      <c r="G21" t="s">
        <v>433</v>
      </c>
      <c r="H21" s="35" t="s">
        <v>434</v>
      </c>
      <c r="I21" t="s">
        <v>437</v>
      </c>
      <c r="J21" t="s">
        <v>104</v>
      </c>
      <c r="K21" t="s">
        <v>109</v>
      </c>
      <c r="L21" t="s">
        <v>105</v>
      </c>
      <c r="M21" t="s">
        <v>106</v>
      </c>
      <c r="N21" t="s">
        <v>107</v>
      </c>
      <c r="O21" t="s">
        <v>69</v>
      </c>
    </row>
    <row r="22" spans="1:15" hidden="1" x14ac:dyDescent="0.35">
      <c r="A22">
        <v>99</v>
      </c>
      <c r="B22" t="s">
        <v>431</v>
      </c>
      <c r="C22" t="s">
        <v>66</v>
      </c>
      <c r="D22" t="s">
        <v>440</v>
      </c>
      <c r="E22" t="s">
        <v>433</v>
      </c>
      <c r="F22" t="s">
        <v>415</v>
      </c>
      <c r="G22" t="s">
        <v>433</v>
      </c>
      <c r="H22" s="35" t="s">
        <v>434</v>
      </c>
      <c r="I22" t="s">
        <v>437</v>
      </c>
      <c r="J22" t="s">
        <v>104</v>
      </c>
      <c r="K22" t="s">
        <v>109</v>
      </c>
      <c r="L22" t="s">
        <v>105</v>
      </c>
      <c r="M22" t="s">
        <v>106</v>
      </c>
      <c r="N22" t="s">
        <v>107</v>
      </c>
      <c r="O22" t="s">
        <v>69</v>
      </c>
    </row>
    <row r="23" spans="1:15" hidden="1" x14ac:dyDescent="0.35">
      <c r="A23">
        <v>114</v>
      </c>
      <c r="B23" t="s">
        <v>441</v>
      </c>
      <c r="C23" t="s">
        <v>66</v>
      </c>
      <c r="D23" t="s">
        <v>442</v>
      </c>
      <c r="E23" t="s">
        <v>443</v>
      </c>
      <c r="F23" t="s">
        <v>444</v>
      </c>
      <c r="G23" t="s">
        <v>444</v>
      </c>
      <c r="H23" s="35" t="s">
        <v>408</v>
      </c>
      <c r="J23" t="s">
        <v>104</v>
      </c>
      <c r="L23" t="s">
        <v>105</v>
      </c>
      <c r="M23" t="s">
        <v>106</v>
      </c>
      <c r="N23" t="s">
        <v>107</v>
      </c>
      <c r="O23" t="s">
        <v>69</v>
      </c>
    </row>
    <row r="24" spans="1:15" hidden="1" x14ac:dyDescent="0.35">
      <c r="A24">
        <v>114</v>
      </c>
      <c r="B24" t="s">
        <v>441</v>
      </c>
      <c r="C24" t="s">
        <v>66</v>
      </c>
      <c r="D24" t="s">
        <v>445</v>
      </c>
      <c r="E24" t="s">
        <v>145</v>
      </c>
      <c r="F24" t="s">
        <v>110</v>
      </c>
      <c r="G24" t="s">
        <v>444</v>
      </c>
      <c r="H24" s="35" t="s">
        <v>408</v>
      </c>
      <c r="J24" t="s">
        <v>104</v>
      </c>
      <c r="K24" t="s">
        <v>108</v>
      </c>
      <c r="L24" t="s">
        <v>105</v>
      </c>
      <c r="M24" t="s">
        <v>106</v>
      </c>
      <c r="N24" t="s">
        <v>107</v>
      </c>
      <c r="O24" t="s">
        <v>69</v>
      </c>
    </row>
    <row r="25" spans="1:15" hidden="1" x14ac:dyDescent="0.35">
      <c r="A25">
        <v>114</v>
      </c>
      <c r="B25" t="s">
        <v>441</v>
      </c>
      <c r="C25" t="s">
        <v>66</v>
      </c>
      <c r="D25" t="s">
        <v>446</v>
      </c>
      <c r="E25" t="s">
        <v>145</v>
      </c>
      <c r="F25" t="s">
        <v>110</v>
      </c>
      <c r="G25" t="s">
        <v>444</v>
      </c>
      <c r="H25" s="35" t="s">
        <v>408</v>
      </c>
      <c r="I25" t="s">
        <v>447</v>
      </c>
      <c r="J25" t="s">
        <v>104</v>
      </c>
      <c r="K25" t="s">
        <v>108</v>
      </c>
      <c r="L25" t="s">
        <v>105</v>
      </c>
      <c r="M25" t="s">
        <v>106</v>
      </c>
      <c r="N25" t="s">
        <v>107</v>
      </c>
      <c r="O25" t="s">
        <v>69</v>
      </c>
    </row>
    <row r="26" spans="1:15" hidden="1" x14ac:dyDescent="0.35">
      <c r="A26">
        <v>114</v>
      </c>
      <c r="B26" t="s">
        <v>441</v>
      </c>
      <c r="C26" t="s">
        <v>66</v>
      </c>
      <c r="D26" t="s">
        <v>448</v>
      </c>
      <c r="E26" t="s">
        <v>444</v>
      </c>
      <c r="F26" t="s">
        <v>110</v>
      </c>
      <c r="G26" t="s">
        <v>444</v>
      </c>
      <c r="H26" s="35" t="s">
        <v>408</v>
      </c>
      <c r="I26" t="s">
        <v>449</v>
      </c>
      <c r="J26" t="s">
        <v>104</v>
      </c>
      <c r="K26" t="s">
        <v>108</v>
      </c>
      <c r="L26" t="s">
        <v>105</v>
      </c>
      <c r="M26" t="s">
        <v>106</v>
      </c>
      <c r="N26" t="s">
        <v>107</v>
      </c>
      <c r="O26" t="s">
        <v>69</v>
      </c>
    </row>
    <row r="27" spans="1:15" hidden="1" x14ac:dyDescent="0.35">
      <c r="A27">
        <v>116</v>
      </c>
      <c r="B27" t="s">
        <v>450</v>
      </c>
      <c r="C27" t="s">
        <v>66</v>
      </c>
      <c r="D27" t="s">
        <v>451</v>
      </c>
      <c r="E27" t="s">
        <v>452</v>
      </c>
      <c r="F27" t="s">
        <v>110</v>
      </c>
      <c r="G27" t="s">
        <v>452</v>
      </c>
      <c r="H27" s="35" t="s">
        <v>408</v>
      </c>
      <c r="J27" t="s">
        <v>104</v>
      </c>
      <c r="K27" t="s">
        <v>109</v>
      </c>
      <c r="L27" t="s">
        <v>195</v>
      </c>
      <c r="M27" t="s">
        <v>106</v>
      </c>
      <c r="N27" t="s">
        <v>107</v>
      </c>
      <c r="O27" t="s">
        <v>69</v>
      </c>
    </row>
    <row r="28" spans="1:15" hidden="1" x14ac:dyDescent="0.35">
      <c r="A28">
        <v>116</v>
      </c>
      <c r="B28" t="s">
        <v>450</v>
      </c>
      <c r="C28" t="s">
        <v>66</v>
      </c>
      <c r="D28" t="s">
        <v>453</v>
      </c>
      <c r="E28" t="s">
        <v>452</v>
      </c>
      <c r="F28" t="s">
        <v>110</v>
      </c>
      <c r="G28" t="s">
        <v>452</v>
      </c>
      <c r="H28" s="35" t="s">
        <v>408</v>
      </c>
      <c r="I28" t="s">
        <v>454</v>
      </c>
      <c r="J28" t="s">
        <v>104</v>
      </c>
      <c r="K28" t="s">
        <v>109</v>
      </c>
      <c r="L28" t="s">
        <v>195</v>
      </c>
      <c r="M28" t="s">
        <v>106</v>
      </c>
      <c r="N28" t="s">
        <v>107</v>
      </c>
      <c r="O28" t="s">
        <v>69</v>
      </c>
    </row>
    <row r="29" spans="1:15" hidden="1" x14ac:dyDescent="0.35">
      <c r="A29">
        <v>122</v>
      </c>
      <c r="B29" t="s">
        <v>455</v>
      </c>
      <c r="C29" t="s">
        <v>66</v>
      </c>
      <c r="D29" t="s">
        <v>456</v>
      </c>
      <c r="E29" t="s">
        <v>415</v>
      </c>
      <c r="F29" t="s">
        <v>408</v>
      </c>
      <c r="G29" t="s">
        <v>452</v>
      </c>
      <c r="H29" s="35" t="s">
        <v>434</v>
      </c>
      <c r="I29" t="s">
        <v>206</v>
      </c>
      <c r="J29" t="s">
        <v>104</v>
      </c>
      <c r="K29" t="s">
        <v>108</v>
      </c>
      <c r="L29" t="s">
        <v>195</v>
      </c>
      <c r="M29" t="s">
        <v>106</v>
      </c>
      <c r="N29" t="s">
        <v>107</v>
      </c>
      <c r="O29" t="s">
        <v>69</v>
      </c>
    </row>
    <row r="30" spans="1:15" hidden="1" x14ac:dyDescent="0.35">
      <c r="A30">
        <v>122</v>
      </c>
      <c r="B30" t="s">
        <v>455</v>
      </c>
      <c r="C30" t="s">
        <v>66</v>
      </c>
      <c r="D30" t="s">
        <v>457</v>
      </c>
      <c r="E30" t="s">
        <v>415</v>
      </c>
      <c r="F30" t="s">
        <v>408</v>
      </c>
      <c r="G30" t="s">
        <v>452</v>
      </c>
      <c r="H30" s="35" t="s">
        <v>434</v>
      </c>
      <c r="I30" t="s">
        <v>458</v>
      </c>
      <c r="J30" t="s">
        <v>104</v>
      </c>
      <c r="K30" t="s">
        <v>109</v>
      </c>
      <c r="L30" t="s">
        <v>195</v>
      </c>
      <c r="M30" t="s">
        <v>106</v>
      </c>
      <c r="N30" t="s">
        <v>107</v>
      </c>
      <c r="O30" t="s">
        <v>69</v>
      </c>
    </row>
    <row r="31" spans="1:15" hidden="1" x14ac:dyDescent="0.35">
      <c r="A31">
        <v>123</v>
      </c>
      <c r="B31" t="s">
        <v>459</v>
      </c>
      <c r="C31" t="s">
        <v>66</v>
      </c>
      <c r="D31" t="s">
        <v>460</v>
      </c>
      <c r="E31" t="s">
        <v>133</v>
      </c>
      <c r="F31" t="s">
        <v>408</v>
      </c>
      <c r="G31" t="s">
        <v>133</v>
      </c>
      <c r="H31" s="35" t="s">
        <v>461</v>
      </c>
      <c r="I31" t="s">
        <v>462</v>
      </c>
      <c r="J31" t="s">
        <v>104</v>
      </c>
      <c r="K31" t="s">
        <v>109</v>
      </c>
      <c r="L31" t="s">
        <v>463</v>
      </c>
      <c r="M31" t="s">
        <v>106</v>
      </c>
      <c r="N31" t="s">
        <v>107</v>
      </c>
      <c r="O31" t="s">
        <v>69</v>
      </c>
    </row>
    <row r="32" spans="1:15" hidden="1" x14ac:dyDescent="0.35">
      <c r="A32">
        <v>123</v>
      </c>
      <c r="B32" t="s">
        <v>459</v>
      </c>
      <c r="C32" t="s">
        <v>66</v>
      </c>
      <c r="D32" t="s">
        <v>464</v>
      </c>
      <c r="E32" t="s">
        <v>465</v>
      </c>
      <c r="F32" t="s">
        <v>443</v>
      </c>
      <c r="G32" t="s">
        <v>133</v>
      </c>
      <c r="H32" s="35" t="s">
        <v>461</v>
      </c>
      <c r="J32" t="s">
        <v>104</v>
      </c>
      <c r="K32" t="s">
        <v>109</v>
      </c>
      <c r="L32" t="s">
        <v>195</v>
      </c>
      <c r="M32" t="s">
        <v>106</v>
      </c>
      <c r="N32" t="s">
        <v>107</v>
      </c>
      <c r="O32" t="s">
        <v>69</v>
      </c>
    </row>
    <row r="33" spans="1:15" hidden="1" x14ac:dyDescent="0.35">
      <c r="A33">
        <v>124</v>
      </c>
      <c r="B33" t="s">
        <v>466</v>
      </c>
      <c r="C33" t="s">
        <v>66</v>
      </c>
      <c r="D33" t="s">
        <v>467</v>
      </c>
      <c r="E33" t="s">
        <v>421</v>
      </c>
      <c r="F33" t="s">
        <v>133</v>
      </c>
      <c r="G33" t="s">
        <v>421</v>
      </c>
      <c r="H33" s="35" t="s">
        <v>468</v>
      </c>
      <c r="J33" t="s">
        <v>104</v>
      </c>
      <c r="K33" t="s">
        <v>109</v>
      </c>
      <c r="L33" t="s">
        <v>469</v>
      </c>
      <c r="M33" t="s">
        <v>106</v>
      </c>
      <c r="N33" t="s">
        <v>107</v>
      </c>
      <c r="O33" t="s">
        <v>69</v>
      </c>
    </row>
    <row r="34" spans="1:15" hidden="1" x14ac:dyDescent="0.35">
      <c r="A34">
        <v>124</v>
      </c>
      <c r="B34" t="s">
        <v>466</v>
      </c>
      <c r="C34" t="s">
        <v>66</v>
      </c>
      <c r="D34" t="s">
        <v>470</v>
      </c>
      <c r="E34" t="s">
        <v>421</v>
      </c>
      <c r="F34" t="s">
        <v>471</v>
      </c>
      <c r="G34" t="s">
        <v>421</v>
      </c>
      <c r="H34" s="35" t="s">
        <v>468</v>
      </c>
      <c r="J34" t="s">
        <v>472</v>
      </c>
      <c r="K34" t="s">
        <v>112</v>
      </c>
      <c r="M34" t="s">
        <v>106</v>
      </c>
      <c r="N34" t="s">
        <v>107</v>
      </c>
      <c r="O34" t="s">
        <v>69</v>
      </c>
    </row>
    <row r="35" spans="1:15" hidden="1" x14ac:dyDescent="0.35">
      <c r="A35">
        <v>132</v>
      </c>
      <c r="B35" t="s">
        <v>473</v>
      </c>
      <c r="C35" t="s">
        <v>66</v>
      </c>
      <c r="D35" t="s">
        <v>474</v>
      </c>
      <c r="E35" t="s">
        <v>475</v>
      </c>
      <c r="F35" t="s">
        <v>133</v>
      </c>
      <c r="G35" t="s">
        <v>475</v>
      </c>
      <c r="H35" s="35" t="s">
        <v>476</v>
      </c>
      <c r="I35" t="s">
        <v>477</v>
      </c>
      <c r="J35" t="s">
        <v>104</v>
      </c>
      <c r="K35" t="s">
        <v>109</v>
      </c>
      <c r="L35" t="s">
        <v>469</v>
      </c>
      <c r="M35" t="s">
        <v>106</v>
      </c>
      <c r="N35" t="s">
        <v>107</v>
      </c>
      <c r="O35" t="s">
        <v>69</v>
      </c>
    </row>
    <row r="36" spans="1:15" hidden="1" x14ac:dyDescent="0.35">
      <c r="A36">
        <v>132</v>
      </c>
      <c r="B36" t="s">
        <v>473</v>
      </c>
      <c r="C36" t="s">
        <v>66</v>
      </c>
      <c r="D36" t="s">
        <v>478</v>
      </c>
      <c r="E36" t="s">
        <v>479</v>
      </c>
      <c r="F36" t="s">
        <v>133</v>
      </c>
      <c r="G36" t="s">
        <v>475</v>
      </c>
      <c r="H36" s="35" t="s">
        <v>476</v>
      </c>
      <c r="J36" t="s">
        <v>104</v>
      </c>
      <c r="K36" t="s">
        <v>109</v>
      </c>
      <c r="L36" t="s">
        <v>105</v>
      </c>
      <c r="M36" t="s">
        <v>106</v>
      </c>
      <c r="N36" t="s">
        <v>107</v>
      </c>
      <c r="O36" t="s">
        <v>69</v>
      </c>
    </row>
    <row r="37" spans="1:15" hidden="1" x14ac:dyDescent="0.35">
      <c r="A37">
        <v>132</v>
      </c>
      <c r="B37" t="s">
        <v>473</v>
      </c>
      <c r="C37" t="s">
        <v>66</v>
      </c>
      <c r="D37" t="s">
        <v>480</v>
      </c>
      <c r="E37" t="s">
        <v>481</v>
      </c>
      <c r="F37" t="s">
        <v>475</v>
      </c>
      <c r="G37" t="s">
        <v>475</v>
      </c>
      <c r="H37" s="35" t="s">
        <v>476</v>
      </c>
      <c r="J37" t="s">
        <v>104</v>
      </c>
      <c r="K37" t="s">
        <v>109</v>
      </c>
      <c r="L37" t="s">
        <v>482</v>
      </c>
      <c r="M37" t="s">
        <v>106</v>
      </c>
      <c r="N37" t="s">
        <v>107</v>
      </c>
      <c r="O37" t="s">
        <v>69</v>
      </c>
    </row>
    <row r="38" spans="1:15" hidden="1" x14ac:dyDescent="0.35">
      <c r="A38">
        <v>132</v>
      </c>
      <c r="B38" t="s">
        <v>473</v>
      </c>
      <c r="C38" t="s">
        <v>66</v>
      </c>
      <c r="D38" t="s">
        <v>483</v>
      </c>
      <c r="E38" t="s">
        <v>481</v>
      </c>
      <c r="F38" t="s">
        <v>484</v>
      </c>
      <c r="G38" t="s">
        <v>475</v>
      </c>
      <c r="H38" s="35" t="s">
        <v>476</v>
      </c>
      <c r="J38" t="s">
        <v>104</v>
      </c>
      <c r="K38" t="s">
        <v>112</v>
      </c>
      <c r="L38" t="s">
        <v>469</v>
      </c>
      <c r="M38" t="s">
        <v>106</v>
      </c>
      <c r="N38" t="s">
        <v>107</v>
      </c>
      <c r="O38" t="s">
        <v>69</v>
      </c>
    </row>
    <row r="39" spans="1:15" hidden="1" x14ac:dyDescent="0.35">
      <c r="A39">
        <v>146</v>
      </c>
      <c r="B39" t="s">
        <v>485</v>
      </c>
      <c r="C39" t="s">
        <v>66</v>
      </c>
      <c r="D39" t="s">
        <v>486</v>
      </c>
      <c r="E39" t="s">
        <v>487</v>
      </c>
      <c r="F39" t="s">
        <v>421</v>
      </c>
      <c r="G39" t="s">
        <v>421</v>
      </c>
      <c r="H39" s="35" t="s">
        <v>488</v>
      </c>
      <c r="I39" t="s">
        <v>489</v>
      </c>
      <c r="J39" t="s">
        <v>104</v>
      </c>
      <c r="K39" t="s">
        <v>109</v>
      </c>
      <c r="L39" t="s">
        <v>105</v>
      </c>
      <c r="M39" t="s">
        <v>106</v>
      </c>
      <c r="N39" t="s">
        <v>107</v>
      </c>
      <c r="O39" t="s">
        <v>69</v>
      </c>
    </row>
    <row r="40" spans="1:15" x14ac:dyDescent="0.35">
      <c r="A40">
        <v>158</v>
      </c>
      <c r="B40" t="s">
        <v>490</v>
      </c>
      <c r="C40" t="s">
        <v>66</v>
      </c>
      <c r="D40" t="s">
        <v>491</v>
      </c>
      <c r="E40" t="s">
        <v>452</v>
      </c>
      <c r="F40" t="s">
        <v>110</v>
      </c>
      <c r="G40" t="s">
        <v>452</v>
      </c>
      <c r="H40" s="35" t="s">
        <v>408</v>
      </c>
      <c r="J40" t="s">
        <v>104</v>
      </c>
      <c r="K40" t="s">
        <v>108</v>
      </c>
      <c r="L40" t="s">
        <v>195</v>
      </c>
      <c r="M40" t="s">
        <v>106</v>
      </c>
      <c r="N40" t="s">
        <v>107</v>
      </c>
      <c r="O40" t="s">
        <v>69</v>
      </c>
    </row>
    <row r="41" spans="1:15" x14ac:dyDescent="0.35">
      <c r="A41">
        <v>158</v>
      </c>
      <c r="B41" t="s">
        <v>490</v>
      </c>
      <c r="C41" t="s">
        <v>66</v>
      </c>
      <c r="D41" t="s">
        <v>492</v>
      </c>
      <c r="E41" t="s">
        <v>452</v>
      </c>
      <c r="F41" t="s">
        <v>110</v>
      </c>
      <c r="G41" t="s">
        <v>452</v>
      </c>
      <c r="H41" s="35" t="s">
        <v>408</v>
      </c>
      <c r="I41" t="s">
        <v>493</v>
      </c>
      <c r="J41" t="s">
        <v>104</v>
      </c>
      <c r="K41" t="s">
        <v>109</v>
      </c>
      <c r="L41" t="s">
        <v>195</v>
      </c>
      <c r="M41" t="s">
        <v>106</v>
      </c>
      <c r="N41" t="s">
        <v>107</v>
      </c>
      <c r="O41" t="s">
        <v>69</v>
      </c>
    </row>
    <row r="42" spans="1:15" x14ac:dyDescent="0.35">
      <c r="A42">
        <v>158</v>
      </c>
      <c r="B42" t="s">
        <v>490</v>
      </c>
      <c r="C42" t="s">
        <v>66</v>
      </c>
      <c r="D42" t="s">
        <v>494</v>
      </c>
      <c r="E42" t="s">
        <v>452</v>
      </c>
      <c r="F42" t="s">
        <v>110</v>
      </c>
      <c r="G42" t="s">
        <v>452</v>
      </c>
      <c r="H42" s="35" t="s">
        <v>408</v>
      </c>
      <c r="I42" t="s">
        <v>493</v>
      </c>
      <c r="J42" t="s">
        <v>104</v>
      </c>
      <c r="K42" t="s">
        <v>109</v>
      </c>
      <c r="L42" t="s">
        <v>195</v>
      </c>
      <c r="M42" t="s">
        <v>106</v>
      </c>
      <c r="N42" t="s">
        <v>107</v>
      </c>
      <c r="O42" t="s">
        <v>69</v>
      </c>
    </row>
    <row r="43" spans="1:15" hidden="1" x14ac:dyDescent="0.35">
      <c r="A43">
        <v>190</v>
      </c>
      <c r="B43" t="s">
        <v>495</v>
      </c>
      <c r="C43" t="s">
        <v>66</v>
      </c>
      <c r="D43" t="s">
        <v>496</v>
      </c>
      <c r="E43" t="s">
        <v>497</v>
      </c>
      <c r="F43" t="s">
        <v>430</v>
      </c>
      <c r="G43" t="s">
        <v>430</v>
      </c>
      <c r="H43" s="35" t="s">
        <v>408</v>
      </c>
      <c r="I43" t="s">
        <v>498</v>
      </c>
      <c r="J43" t="s">
        <v>104</v>
      </c>
      <c r="L43" t="s">
        <v>195</v>
      </c>
      <c r="M43" t="s">
        <v>106</v>
      </c>
      <c r="N43" t="s">
        <v>107</v>
      </c>
      <c r="O43" t="s">
        <v>69</v>
      </c>
    </row>
    <row r="44" spans="1:15" hidden="1" x14ac:dyDescent="0.35">
      <c r="A44">
        <v>190</v>
      </c>
      <c r="B44" t="s">
        <v>495</v>
      </c>
      <c r="C44" t="s">
        <v>66</v>
      </c>
      <c r="D44" t="s">
        <v>499</v>
      </c>
      <c r="E44" t="s">
        <v>497</v>
      </c>
      <c r="F44" t="s">
        <v>430</v>
      </c>
      <c r="G44" t="s">
        <v>430</v>
      </c>
      <c r="H44" s="35" t="s">
        <v>408</v>
      </c>
      <c r="I44" t="s">
        <v>218</v>
      </c>
      <c r="J44" t="s">
        <v>111</v>
      </c>
      <c r="K44" t="s">
        <v>108</v>
      </c>
      <c r="L44" t="s">
        <v>105</v>
      </c>
      <c r="M44" t="s">
        <v>106</v>
      </c>
      <c r="N44" t="s">
        <v>107</v>
      </c>
      <c r="O44" t="s">
        <v>69</v>
      </c>
    </row>
    <row r="45" spans="1:15" hidden="1" x14ac:dyDescent="0.35">
      <c r="A45">
        <v>190</v>
      </c>
      <c r="B45" t="s">
        <v>495</v>
      </c>
      <c r="C45" t="s">
        <v>66</v>
      </c>
      <c r="D45" t="s">
        <v>500</v>
      </c>
      <c r="E45" t="s">
        <v>497</v>
      </c>
      <c r="F45" t="s">
        <v>430</v>
      </c>
      <c r="G45" t="s">
        <v>430</v>
      </c>
      <c r="H45" s="35" t="s">
        <v>408</v>
      </c>
      <c r="J45" t="s">
        <v>104</v>
      </c>
      <c r="K45" t="s">
        <v>108</v>
      </c>
      <c r="L45" t="s">
        <v>105</v>
      </c>
      <c r="M45" t="s">
        <v>106</v>
      </c>
      <c r="N45" t="s">
        <v>107</v>
      </c>
      <c r="O45" t="s">
        <v>69</v>
      </c>
    </row>
    <row r="46" spans="1:15" hidden="1" x14ac:dyDescent="0.35">
      <c r="A46">
        <v>190</v>
      </c>
      <c r="B46" t="s">
        <v>495</v>
      </c>
      <c r="C46" t="s">
        <v>66</v>
      </c>
      <c r="D46" t="s">
        <v>501</v>
      </c>
      <c r="E46" t="s">
        <v>110</v>
      </c>
      <c r="F46" t="s">
        <v>408</v>
      </c>
      <c r="G46" t="s">
        <v>430</v>
      </c>
      <c r="H46" s="35" t="s">
        <v>408</v>
      </c>
      <c r="I46" t="s">
        <v>502</v>
      </c>
      <c r="J46" t="s">
        <v>104</v>
      </c>
      <c r="K46" t="s">
        <v>109</v>
      </c>
      <c r="L46" t="s">
        <v>503</v>
      </c>
      <c r="M46" t="s">
        <v>106</v>
      </c>
      <c r="N46" t="s">
        <v>107</v>
      </c>
      <c r="O46" t="s">
        <v>69</v>
      </c>
    </row>
    <row r="47" spans="1:15" hidden="1" x14ac:dyDescent="0.35">
      <c r="A47">
        <v>190</v>
      </c>
      <c r="B47" t="s">
        <v>495</v>
      </c>
      <c r="C47" t="s">
        <v>66</v>
      </c>
      <c r="D47" t="s">
        <v>504</v>
      </c>
      <c r="E47" t="s">
        <v>110</v>
      </c>
      <c r="F47" t="s">
        <v>408</v>
      </c>
      <c r="G47" t="s">
        <v>430</v>
      </c>
      <c r="H47" s="35" t="s">
        <v>408</v>
      </c>
      <c r="J47" t="s">
        <v>104</v>
      </c>
      <c r="K47" t="s">
        <v>109</v>
      </c>
      <c r="L47" t="s">
        <v>503</v>
      </c>
      <c r="M47" t="s">
        <v>106</v>
      </c>
      <c r="N47" t="s">
        <v>107</v>
      </c>
      <c r="O47" t="s">
        <v>69</v>
      </c>
    </row>
    <row r="48" spans="1:15" hidden="1" x14ac:dyDescent="0.35">
      <c r="A48">
        <v>190</v>
      </c>
      <c r="B48" t="s">
        <v>495</v>
      </c>
      <c r="C48" t="s">
        <v>66</v>
      </c>
      <c r="D48" t="s">
        <v>505</v>
      </c>
      <c r="E48" t="s">
        <v>430</v>
      </c>
      <c r="F48" t="s">
        <v>110</v>
      </c>
      <c r="G48" t="s">
        <v>430</v>
      </c>
      <c r="H48" s="35" t="s">
        <v>408</v>
      </c>
      <c r="I48" t="s">
        <v>188</v>
      </c>
      <c r="J48" t="s">
        <v>104</v>
      </c>
      <c r="K48" t="s">
        <v>109</v>
      </c>
      <c r="L48" t="s">
        <v>105</v>
      </c>
      <c r="M48" t="s">
        <v>106</v>
      </c>
      <c r="N48" t="s">
        <v>107</v>
      </c>
      <c r="O48" t="s">
        <v>69</v>
      </c>
    </row>
    <row r="49" spans="1:15" x14ac:dyDescent="0.35">
      <c r="A49">
        <v>191</v>
      </c>
      <c r="B49" t="s">
        <v>506</v>
      </c>
      <c r="C49" t="s">
        <v>66</v>
      </c>
      <c r="D49" t="s">
        <v>507</v>
      </c>
      <c r="E49" t="s">
        <v>189</v>
      </c>
      <c r="F49" t="s">
        <v>110</v>
      </c>
      <c r="G49" t="s">
        <v>508</v>
      </c>
      <c r="H49" s="35" t="s">
        <v>400</v>
      </c>
      <c r="J49" t="s">
        <v>104</v>
      </c>
      <c r="K49" t="s">
        <v>112</v>
      </c>
      <c r="L49" t="s">
        <v>105</v>
      </c>
      <c r="M49" t="s">
        <v>106</v>
      </c>
      <c r="N49" t="s">
        <v>107</v>
      </c>
      <c r="O49" t="s">
        <v>69</v>
      </c>
    </row>
    <row r="50" spans="1:15" x14ac:dyDescent="0.35">
      <c r="A50">
        <v>191</v>
      </c>
      <c r="B50" t="s">
        <v>506</v>
      </c>
      <c r="C50" t="s">
        <v>66</v>
      </c>
      <c r="D50" t="s">
        <v>509</v>
      </c>
      <c r="E50" t="s">
        <v>189</v>
      </c>
      <c r="F50" t="s">
        <v>110</v>
      </c>
      <c r="G50" t="s">
        <v>508</v>
      </c>
      <c r="H50" s="35" t="s">
        <v>400</v>
      </c>
      <c r="J50" t="s">
        <v>104</v>
      </c>
      <c r="K50" t="s">
        <v>112</v>
      </c>
      <c r="L50" t="s">
        <v>105</v>
      </c>
      <c r="M50" t="s">
        <v>106</v>
      </c>
      <c r="N50" t="s">
        <v>107</v>
      </c>
      <c r="O50" t="s">
        <v>69</v>
      </c>
    </row>
    <row r="51" spans="1:15" hidden="1" x14ac:dyDescent="0.35">
      <c r="A51">
        <v>214</v>
      </c>
      <c r="B51" t="s">
        <v>510</v>
      </c>
      <c r="C51" t="s">
        <v>66</v>
      </c>
      <c r="D51" t="s">
        <v>511</v>
      </c>
      <c r="E51" t="s">
        <v>512</v>
      </c>
      <c r="F51" t="s">
        <v>513</v>
      </c>
      <c r="G51" t="s">
        <v>514</v>
      </c>
      <c r="H51" s="35" t="s">
        <v>515</v>
      </c>
      <c r="I51" t="s">
        <v>516</v>
      </c>
      <c r="J51" t="s">
        <v>104</v>
      </c>
      <c r="K51" t="s">
        <v>109</v>
      </c>
      <c r="L51" t="s">
        <v>517</v>
      </c>
      <c r="M51" t="s">
        <v>106</v>
      </c>
      <c r="N51" t="s">
        <v>107</v>
      </c>
      <c r="O51" t="s">
        <v>69</v>
      </c>
    </row>
    <row r="52" spans="1:15" hidden="1" x14ac:dyDescent="0.35">
      <c r="A52">
        <v>214</v>
      </c>
      <c r="B52" t="s">
        <v>510</v>
      </c>
      <c r="C52" t="s">
        <v>66</v>
      </c>
      <c r="D52" t="s">
        <v>518</v>
      </c>
      <c r="E52" t="s">
        <v>514</v>
      </c>
      <c r="F52" t="s">
        <v>513</v>
      </c>
      <c r="G52" t="s">
        <v>514</v>
      </c>
      <c r="H52" s="35" t="s">
        <v>515</v>
      </c>
      <c r="I52" t="s">
        <v>516</v>
      </c>
      <c r="J52" t="s">
        <v>104</v>
      </c>
      <c r="K52" t="s">
        <v>109</v>
      </c>
      <c r="L52" t="s">
        <v>517</v>
      </c>
      <c r="M52" t="s">
        <v>106</v>
      </c>
      <c r="N52" t="s">
        <v>107</v>
      </c>
      <c r="O52" t="s">
        <v>69</v>
      </c>
    </row>
    <row r="53" spans="1:15" hidden="1" x14ac:dyDescent="0.35">
      <c r="A53">
        <v>225</v>
      </c>
      <c r="B53" t="s">
        <v>519</v>
      </c>
      <c r="C53" t="s">
        <v>66</v>
      </c>
      <c r="D53" t="s">
        <v>520</v>
      </c>
      <c r="E53" t="s">
        <v>430</v>
      </c>
      <c r="F53" t="s">
        <v>110</v>
      </c>
      <c r="G53" t="s">
        <v>497</v>
      </c>
      <c r="H53" s="35" t="s">
        <v>521</v>
      </c>
      <c r="I53" t="s">
        <v>522</v>
      </c>
      <c r="J53" t="s">
        <v>104</v>
      </c>
      <c r="K53" t="s">
        <v>109</v>
      </c>
      <c r="L53" t="s">
        <v>105</v>
      </c>
      <c r="M53" t="s">
        <v>106</v>
      </c>
      <c r="N53" t="s">
        <v>107</v>
      </c>
      <c r="O53" t="s">
        <v>69</v>
      </c>
    </row>
    <row r="54" spans="1:15" hidden="1" x14ac:dyDescent="0.35">
      <c r="A54">
        <v>225</v>
      </c>
      <c r="B54" t="s">
        <v>519</v>
      </c>
      <c r="C54" t="s">
        <v>66</v>
      </c>
      <c r="D54" t="s">
        <v>523</v>
      </c>
      <c r="E54" t="s">
        <v>430</v>
      </c>
      <c r="F54" t="s">
        <v>110</v>
      </c>
      <c r="G54" t="s">
        <v>497</v>
      </c>
      <c r="H54" s="35" t="s">
        <v>521</v>
      </c>
      <c r="I54" t="s">
        <v>522</v>
      </c>
      <c r="J54" t="s">
        <v>104</v>
      </c>
      <c r="K54" t="s">
        <v>109</v>
      </c>
      <c r="L54" t="s">
        <v>105</v>
      </c>
      <c r="M54" t="s">
        <v>106</v>
      </c>
      <c r="N54" t="s">
        <v>107</v>
      </c>
      <c r="O54" t="s">
        <v>69</v>
      </c>
    </row>
    <row r="55" spans="1:15" hidden="1" x14ac:dyDescent="0.35">
      <c r="A55">
        <v>225</v>
      </c>
      <c r="B55" t="s">
        <v>519</v>
      </c>
      <c r="C55" t="s">
        <v>66</v>
      </c>
      <c r="D55" t="s">
        <v>524</v>
      </c>
      <c r="E55" t="s">
        <v>430</v>
      </c>
      <c r="F55" t="s">
        <v>110</v>
      </c>
      <c r="G55" t="s">
        <v>497</v>
      </c>
      <c r="H55" s="35" t="s">
        <v>521</v>
      </c>
      <c r="I55" t="s">
        <v>522</v>
      </c>
      <c r="J55" t="s">
        <v>104</v>
      </c>
      <c r="K55" t="s">
        <v>109</v>
      </c>
      <c r="L55" t="s">
        <v>105</v>
      </c>
      <c r="M55" t="s">
        <v>106</v>
      </c>
      <c r="N55" t="s">
        <v>107</v>
      </c>
      <c r="O55" t="s">
        <v>69</v>
      </c>
    </row>
    <row r="56" spans="1:15" hidden="1" x14ac:dyDescent="0.35">
      <c r="A56">
        <v>225</v>
      </c>
      <c r="B56" t="s">
        <v>519</v>
      </c>
      <c r="C56" t="s">
        <v>66</v>
      </c>
      <c r="D56" t="s">
        <v>525</v>
      </c>
      <c r="E56" t="s">
        <v>430</v>
      </c>
      <c r="F56" t="s">
        <v>110</v>
      </c>
      <c r="G56" t="s">
        <v>497</v>
      </c>
      <c r="H56" s="35" t="s">
        <v>521</v>
      </c>
      <c r="I56" t="s">
        <v>522</v>
      </c>
      <c r="J56" t="s">
        <v>104</v>
      </c>
      <c r="K56" t="s">
        <v>109</v>
      </c>
      <c r="L56" t="s">
        <v>105</v>
      </c>
      <c r="M56" t="s">
        <v>106</v>
      </c>
      <c r="N56" t="s">
        <v>107</v>
      </c>
      <c r="O56" t="s">
        <v>69</v>
      </c>
    </row>
    <row r="57" spans="1:15" hidden="1" x14ac:dyDescent="0.35">
      <c r="A57">
        <v>229</v>
      </c>
      <c r="B57" t="s">
        <v>526</v>
      </c>
      <c r="C57" t="s">
        <v>66</v>
      </c>
      <c r="D57" t="s">
        <v>527</v>
      </c>
      <c r="E57" t="s">
        <v>189</v>
      </c>
      <c r="F57" t="s">
        <v>110</v>
      </c>
      <c r="G57" t="s">
        <v>497</v>
      </c>
      <c r="H57" s="35" t="s">
        <v>528</v>
      </c>
      <c r="I57" t="s">
        <v>462</v>
      </c>
      <c r="J57" t="s">
        <v>104</v>
      </c>
      <c r="K57" t="s">
        <v>108</v>
      </c>
      <c r="L57" t="s">
        <v>105</v>
      </c>
      <c r="M57" t="s">
        <v>106</v>
      </c>
      <c r="N57" t="s">
        <v>107</v>
      </c>
      <c r="O57" t="s">
        <v>69</v>
      </c>
    </row>
    <row r="58" spans="1:15" hidden="1" x14ac:dyDescent="0.35">
      <c r="A58">
        <v>235</v>
      </c>
      <c r="B58" t="s">
        <v>529</v>
      </c>
      <c r="C58" t="s">
        <v>66</v>
      </c>
      <c r="D58" t="s">
        <v>530</v>
      </c>
      <c r="E58" t="s">
        <v>430</v>
      </c>
      <c r="F58" t="s">
        <v>110</v>
      </c>
      <c r="G58" t="s">
        <v>531</v>
      </c>
      <c r="H58" s="35" t="s">
        <v>532</v>
      </c>
      <c r="I58" t="s">
        <v>533</v>
      </c>
      <c r="J58" t="s">
        <v>104</v>
      </c>
      <c r="K58" t="s">
        <v>108</v>
      </c>
      <c r="L58" t="s">
        <v>195</v>
      </c>
      <c r="M58" t="s">
        <v>106</v>
      </c>
      <c r="N58" t="s">
        <v>107</v>
      </c>
      <c r="O58" t="s">
        <v>69</v>
      </c>
    </row>
    <row r="59" spans="1:15" hidden="1" x14ac:dyDescent="0.35">
      <c r="A59">
        <v>235</v>
      </c>
      <c r="B59" t="s">
        <v>529</v>
      </c>
      <c r="C59" t="s">
        <v>66</v>
      </c>
      <c r="D59" t="s">
        <v>534</v>
      </c>
      <c r="E59" t="s">
        <v>430</v>
      </c>
      <c r="F59" t="s">
        <v>110</v>
      </c>
      <c r="G59" t="s">
        <v>531</v>
      </c>
      <c r="H59" s="35" t="s">
        <v>532</v>
      </c>
      <c r="I59" t="s">
        <v>535</v>
      </c>
      <c r="J59" t="s">
        <v>104</v>
      </c>
      <c r="K59" t="s">
        <v>109</v>
      </c>
      <c r="L59" t="s">
        <v>195</v>
      </c>
      <c r="M59" t="s">
        <v>106</v>
      </c>
      <c r="N59" t="s">
        <v>107</v>
      </c>
      <c r="O59" t="s">
        <v>69</v>
      </c>
    </row>
    <row r="60" spans="1:15" hidden="1" x14ac:dyDescent="0.35">
      <c r="A60">
        <v>235</v>
      </c>
      <c r="B60" t="s">
        <v>529</v>
      </c>
      <c r="C60" t="s">
        <v>66</v>
      </c>
      <c r="D60" t="s">
        <v>536</v>
      </c>
      <c r="E60" t="s">
        <v>430</v>
      </c>
      <c r="F60" t="s">
        <v>110</v>
      </c>
      <c r="G60" t="s">
        <v>531</v>
      </c>
      <c r="H60" s="35" t="s">
        <v>532</v>
      </c>
      <c r="I60" t="s">
        <v>537</v>
      </c>
      <c r="J60" t="s">
        <v>104</v>
      </c>
      <c r="K60" t="s">
        <v>109</v>
      </c>
      <c r="L60" t="s">
        <v>195</v>
      </c>
      <c r="M60" t="s">
        <v>106</v>
      </c>
      <c r="N60" t="s">
        <v>107</v>
      </c>
      <c r="O60" t="s">
        <v>69</v>
      </c>
    </row>
    <row r="61" spans="1:15" hidden="1" x14ac:dyDescent="0.35">
      <c r="A61">
        <v>238</v>
      </c>
      <c r="B61" t="s">
        <v>538</v>
      </c>
      <c r="C61" t="s">
        <v>66</v>
      </c>
      <c r="D61" t="s">
        <v>539</v>
      </c>
      <c r="E61" t="s">
        <v>540</v>
      </c>
      <c r="F61" t="s">
        <v>110</v>
      </c>
      <c r="G61" t="s">
        <v>444</v>
      </c>
      <c r="H61" s="35" t="s">
        <v>186</v>
      </c>
      <c r="I61" t="s">
        <v>541</v>
      </c>
      <c r="J61" t="s">
        <v>104</v>
      </c>
      <c r="K61" t="s">
        <v>108</v>
      </c>
      <c r="L61" t="s">
        <v>195</v>
      </c>
      <c r="M61" t="s">
        <v>106</v>
      </c>
      <c r="N61" t="s">
        <v>107</v>
      </c>
      <c r="O61" t="s">
        <v>69</v>
      </c>
    </row>
    <row r="62" spans="1:15" hidden="1" x14ac:dyDescent="0.35">
      <c r="A62">
        <v>238</v>
      </c>
      <c r="B62" t="s">
        <v>538</v>
      </c>
      <c r="C62" t="s">
        <v>66</v>
      </c>
      <c r="D62" t="s">
        <v>542</v>
      </c>
      <c r="E62" t="s">
        <v>540</v>
      </c>
      <c r="F62" t="s">
        <v>110</v>
      </c>
      <c r="G62" t="s">
        <v>444</v>
      </c>
      <c r="H62" s="35" t="s">
        <v>186</v>
      </c>
      <c r="J62" t="s">
        <v>104</v>
      </c>
      <c r="K62" t="s">
        <v>109</v>
      </c>
      <c r="L62" t="s">
        <v>105</v>
      </c>
      <c r="M62" t="s">
        <v>106</v>
      </c>
      <c r="N62" t="s">
        <v>107</v>
      </c>
      <c r="O62" t="s">
        <v>69</v>
      </c>
    </row>
    <row r="63" spans="1:15" hidden="1" x14ac:dyDescent="0.35">
      <c r="A63">
        <v>238</v>
      </c>
      <c r="B63" t="s">
        <v>538</v>
      </c>
      <c r="C63" t="s">
        <v>66</v>
      </c>
      <c r="D63" t="s">
        <v>543</v>
      </c>
      <c r="E63" t="s">
        <v>187</v>
      </c>
      <c r="F63" t="s">
        <v>110</v>
      </c>
      <c r="G63" t="s">
        <v>444</v>
      </c>
      <c r="H63" s="35" t="s">
        <v>186</v>
      </c>
      <c r="J63" t="s">
        <v>104</v>
      </c>
      <c r="K63" t="s">
        <v>109</v>
      </c>
      <c r="L63" t="s">
        <v>195</v>
      </c>
      <c r="M63" t="s">
        <v>106</v>
      </c>
      <c r="N63" t="s">
        <v>107</v>
      </c>
      <c r="O63" t="s">
        <v>69</v>
      </c>
    </row>
    <row r="64" spans="1:15" hidden="1" x14ac:dyDescent="0.35">
      <c r="A64">
        <v>238</v>
      </c>
      <c r="B64" t="s">
        <v>538</v>
      </c>
      <c r="C64" t="s">
        <v>66</v>
      </c>
      <c r="D64" t="s">
        <v>544</v>
      </c>
      <c r="E64" t="s">
        <v>444</v>
      </c>
      <c r="F64" t="s">
        <v>187</v>
      </c>
      <c r="G64" t="s">
        <v>444</v>
      </c>
      <c r="H64" s="35" t="s">
        <v>186</v>
      </c>
      <c r="I64" t="s">
        <v>545</v>
      </c>
      <c r="J64" t="s">
        <v>104</v>
      </c>
      <c r="K64" t="s">
        <v>109</v>
      </c>
      <c r="L64" t="s">
        <v>105</v>
      </c>
      <c r="M64" t="s">
        <v>106</v>
      </c>
      <c r="N64" t="s">
        <v>107</v>
      </c>
      <c r="O64" t="s">
        <v>69</v>
      </c>
    </row>
    <row r="65" spans="1:15" hidden="1" x14ac:dyDescent="0.35">
      <c r="A65">
        <v>238</v>
      </c>
      <c r="B65" t="s">
        <v>538</v>
      </c>
      <c r="C65" t="s">
        <v>66</v>
      </c>
      <c r="D65" t="s">
        <v>546</v>
      </c>
      <c r="E65" t="s">
        <v>187</v>
      </c>
      <c r="F65" t="s">
        <v>110</v>
      </c>
      <c r="G65" t="s">
        <v>444</v>
      </c>
      <c r="H65" s="35" t="s">
        <v>186</v>
      </c>
      <c r="J65" t="s">
        <v>104</v>
      </c>
      <c r="K65" t="s">
        <v>112</v>
      </c>
      <c r="L65" t="s">
        <v>105</v>
      </c>
      <c r="M65" t="s">
        <v>106</v>
      </c>
      <c r="N65" t="s">
        <v>107</v>
      </c>
      <c r="O65" t="s">
        <v>69</v>
      </c>
    </row>
    <row r="66" spans="1:15" hidden="1" x14ac:dyDescent="0.35">
      <c r="A66">
        <v>243</v>
      </c>
      <c r="B66" t="s">
        <v>547</v>
      </c>
      <c r="C66" t="s">
        <v>66</v>
      </c>
      <c r="D66" t="s">
        <v>548</v>
      </c>
      <c r="E66" t="s">
        <v>110</v>
      </c>
      <c r="F66" t="s">
        <v>125</v>
      </c>
      <c r="G66" t="s">
        <v>110</v>
      </c>
      <c r="H66" s="35" t="s">
        <v>549</v>
      </c>
      <c r="I66" t="s">
        <v>550</v>
      </c>
      <c r="J66" t="s">
        <v>104</v>
      </c>
      <c r="K66" t="s">
        <v>108</v>
      </c>
      <c r="L66" t="s">
        <v>191</v>
      </c>
      <c r="M66" t="s">
        <v>106</v>
      </c>
      <c r="N66" t="s">
        <v>107</v>
      </c>
      <c r="O66" t="s">
        <v>69</v>
      </c>
    </row>
    <row r="67" spans="1:15" hidden="1" x14ac:dyDescent="0.35">
      <c r="A67">
        <v>243</v>
      </c>
      <c r="B67" t="s">
        <v>547</v>
      </c>
      <c r="C67" t="s">
        <v>66</v>
      </c>
      <c r="D67" t="s">
        <v>551</v>
      </c>
      <c r="E67" t="s">
        <v>552</v>
      </c>
      <c r="F67" t="s">
        <v>110</v>
      </c>
      <c r="G67" t="s">
        <v>110</v>
      </c>
      <c r="H67" s="35" t="s">
        <v>549</v>
      </c>
      <c r="I67" t="s">
        <v>553</v>
      </c>
      <c r="J67" t="s">
        <v>104</v>
      </c>
      <c r="K67" t="s">
        <v>108</v>
      </c>
      <c r="L67" t="s">
        <v>517</v>
      </c>
      <c r="M67" t="s">
        <v>106</v>
      </c>
      <c r="N67" t="s">
        <v>107</v>
      </c>
      <c r="O67" t="s">
        <v>69</v>
      </c>
    </row>
    <row r="68" spans="1:15" hidden="1" x14ac:dyDescent="0.35">
      <c r="A68">
        <v>243</v>
      </c>
      <c r="B68" t="s">
        <v>547</v>
      </c>
      <c r="C68" t="s">
        <v>66</v>
      </c>
      <c r="D68" t="s">
        <v>554</v>
      </c>
      <c r="E68" t="s">
        <v>110</v>
      </c>
      <c r="F68" t="s">
        <v>125</v>
      </c>
      <c r="G68" t="s">
        <v>110</v>
      </c>
      <c r="H68" s="35" t="s">
        <v>549</v>
      </c>
      <c r="I68" t="s">
        <v>550</v>
      </c>
      <c r="J68" t="s">
        <v>104</v>
      </c>
      <c r="K68" t="s">
        <v>109</v>
      </c>
      <c r="L68" t="s">
        <v>469</v>
      </c>
      <c r="M68" t="s">
        <v>106</v>
      </c>
      <c r="N68" t="s">
        <v>107</v>
      </c>
      <c r="O68" t="s">
        <v>69</v>
      </c>
    </row>
    <row r="69" spans="1:15" hidden="1" x14ac:dyDescent="0.35">
      <c r="A69">
        <v>243</v>
      </c>
      <c r="B69" t="s">
        <v>547</v>
      </c>
      <c r="C69" t="s">
        <v>66</v>
      </c>
      <c r="D69" t="s">
        <v>555</v>
      </c>
      <c r="E69" t="s">
        <v>187</v>
      </c>
      <c r="F69" t="s">
        <v>110</v>
      </c>
      <c r="G69" t="s">
        <v>110</v>
      </c>
      <c r="H69" s="35" t="s">
        <v>549</v>
      </c>
      <c r="J69" t="s">
        <v>104</v>
      </c>
      <c r="K69" t="s">
        <v>109</v>
      </c>
      <c r="L69" t="s">
        <v>195</v>
      </c>
      <c r="M69" t="s">
        <v>106</v>
      </c>
      <c r="N69" t="s">
        <v>107</v>
      </c>
      <c r="O69" t="s">
        <v>69</v>
      </c>
    </row>
    <row r="70" spans="1:15" hidden="1" x14ac:dyDescent="0.35">
      <c r="A70">
        <v>253</v>
      </c>
      <c r="B70" t="s">
        <v>556</v>
      </c>
      <c r="C70" t="s">
        <v>66</v>
      </c>
      <c r="D70" t="s">
        <v>557</v>
      </c>
      <c r="E70" t="s">
        <v>187</v>
      </c>
      <c r="F70" t="s">
        <v>110</v>
      </c>
      <c r="G70" t="s">
        <v>558</v>
      </c>
      <c r="H70" s="35" t="s">
        <v>559</v>
      </c>
      <c r="J70" t="s">
        <v>104</v>
      </c>
      <c r="K70" t="s">
        <v>108</v>
      </c>
      <c r="L70" t="s">
        <v>105</v>
      </c>
      <c r="M70" t="s">
        <v>106</v>
      </c>
      <c r="N70" t="s">
        <v>107</v>
      </c>
      <c r="O70" t="s">
        <v>69</v>
      </c>
    </row>
    <row r="71" spans="1:15" hidden="1" x14ac:dyDescent="0.35">
      <c r="A71">
        <v>253</v>
      </c>
      <c r="B71" t="s">
        <v>556</v>
      </c>
      <c r="C71" t="s">
        <v>66</v>
      </c>
      <c r="D71" t="s">
        <v>560</v>
      </c>
      <c r="E71" t="s">
        <v>187</v>
      </c>
      <c r="F71" t="s">
        <v>110</v>
      </c>
      <c r="G71" t="s">
        <v>558</v>
      </c>
      <c r="H71" s="35" t="s">
        <v>559</v>
      </c>
      <c r="J71" t="s">
        <v>104</v>
      </c>
      <c r="K71" t="s">
        <v>108</v>
      </c>
      <c r="L71" t="s">
        <v>105</v>
      </c>
      <c r="M71" t="s">
        <v>106</v>
      </c>
      <c r="N71" t="s">
        <v>107</v>
      </c>
      <c r="O71" t="s">
        <v>69</v>
      </c>
    </row>
    <row r="72" spans="1:15" hidden="1" x14ac:dyDescent="0.35">
      <c r="A72">
        <v>253</v>
      </c>
      <c r="B72" t="s">
        <v>556</v>
      </c>
      <c r="C72" t="s">
        <v>66</v>
      </c>
      <c r="D72" t="s">
        <v>561</v>
      </c>
      <c r="E72" t="s">
        <v>408</v>
      </c>
      <c r="F72" t="s">
        <v>562</v>
      </c>
      <c r="G72" t="s">
        <v>558</v>
      </c>
      <c r="H72" s="35" t="s">
        <v>559</v>
      </c>
      <c r="I72" t="s">
        <v>563</v>
      </c>
      <c r="J72" t="s">
        <v>104</v>
      </c>
      <c r="K72" t="s">
        <v>112</v>
      </c>
      <c r="L72" t="s">
        <v>105</v>
      </c>
      <c r="M72" t="s">
        <v>106</v>
      </c>
      <c r="N72" t="s">
        <v>107</v>
      </c>
      <c r="O72" t="s">
        <v>69</v>
      </c>
    </row>
    <row r="73" spans="1:15" hidden="1" x14ac:dyDescent="0.35">
      <c r="A73">
        <v>258</v>
      </c>
      <c r="B73" t="s">
        <v>564</v>
      </c>
      <c r="C73" t="s">
        <v>66</v>
      </c>
      <c r="D73" t="s">
        <v>565</v>
      </c>
      <c r="E73" t="s">
        <v>408</v>
      </c>
      <c r="F73" t="s">
        <v>566</v>
      </c>
      <c r="G73" t="s">
        <v>566</v>
      </c>
      <c r="H73" s="35" t="s">
        <v>567</v>
      </c>
      <c r="I73" t="s">
        <v>568</v>
      </c>
      <c r="J73" t="s">
        <v>104</v>
      </c>
      <c r="K73" t="s">
        <v>108</v>
      </c>
      <c r="L73" t="s">
        <v>105</v>
      </c>
      <c r="M73" t="s">
        <v>106</v>
      </c>
      <c r="N73" t="s">
        <v>107</v>
      </c>
      <c r="O73" t="s">
        <v>69</v>
      </c>
    </row>
    <row r="74" spans="1:15" hidden="1" x14ac:dyDescent="0.35">
      <c r="A74">
        <v>273</v>
      </c>
      <c r="B74" t="s">
        <v>569</v>
      </c>
      <c r="C74" t="s">
        <v>66</v>
      </c>
      <c r="D74" t="s">
        <v>570</v>
      </c>
      <c r="E74" t="s">
        <v>571</v>
      </c>
      <c r="F74" t="s">
        <v>508</v>
      </c>
      <c r="G74" t="s">
        <v>508</v>
      </c>
      <c r="H74" s="35" t="s">
        <v>572</v>
      </c>
      <c r="I74" t="s">
        <v>541</v>
      </c>
      <c r="J74" t="s">
        <v>104</v>
      </c>
      <c r="K74" t="s">
        <v>109</v>
      </c>
      <c r="L74" t="s">
        <v>469</v>
      </c>
      <c r="M74" t="s">
        <v>106</v>
      </c>
      <c r="N74" t="s">
        <v>107</v>
      </c>
      <c r="O74" t="s">
        <v>69</v>
      </c>
    </row>
    <row r="75" spans="1:15" hidden="1" x14ac:dyDescent="0.35">
      <c r="A75">
        <v>273</v>
      </c>
      <c r="B75" t="s">
        <v>569</v>
      </c>
      <c r="C75" t="s">
        <v>66</v>
      </c>
      <c r="D75" t="s">
        <v>573</v>
      </c>
      <c r="E75" t="s">
        <v>571</v>
      </c>
      <c r="F75" t="s">
        <v>508</v>
      </c>
      <c r="G75" t="s">
        <v>508</v>
      </c>
      <c r="H75" s="35" t="s">
        <v>572</v>
      </c>
      <c r="I75" t="s">
        <v>541</v>
      </c>
      <c r="J75" t="s">
        <v>104</v>
      </c>
      <c r="K75" t="s">
        <v>112</v>
      </c>
      <c r="L75" t="s">
        <v>105</v>
      </c>
      <c r="M75" t="s">
        <v>106</v>
      </c>
      <c r="N75" t="s">
        <v>107</v>
      </c>
      <c r="O75" t="s">
        <v>69</v>
      </c>
    </row>
    <row r="76" spans="1:15" hidden="1" x14ac:dyDescent="0.35">
      <c r="A76">
        <v>274</v>
      </c>
      <c r="B76" t="s">
        <v>574</v>
      </c>
      <c r="C76" t="s">
        <v>66</v>
      </c>
      <c r="D76" t="s">
        <v>575</v>
      </c>
      <c r="E76" t="s">
        <v>576</v>
      </c>
      <c r="F76" t="s">
        <v>145</v>
      </c>
      <c r="G76" t="s">
        <v>577</v>
      </c>
      <c r="H76" s="35" t="s">
        <v>578</v>
      </c>
      <c r="I76" t="s">
        <v>579</v>
      </c>
      <c r="J76" t="s">
        <v>111</v>
      </c>
      <c r="N76" t="s">
        <v>69</v>
      </c>
      <c r="O76" t="s">
        <v>69</v>
      </c>
    </row>
    <row r="77" spans="1:15" hidden="1" x14ac:dyDescent="0.35">
      <c r="A77">
        <v>274</v>
      </c>
      <c r="B77" t="s">
        <v>574</v>
      </c>
      <c r="C77" t="s">
        <v>66</v>
      </c>
      <c r="D77" t="s">
        <v>580</v>
      </c>
      <c r="G77" t="s">
        <v>577</v>
      </c>
      <c r="H77" s="35" t="s">
        <v>578</v>
      </c>
      <c r="J77" t="s">
        <v>111</v>
      </c>
      <c r="N77" t="s">
        <v>69</v>
      </c>
      <c r="O77" t="s">
        <v>69</v>
      </c>
    </row>
    <row r="78" spans="1:15" hidden="1" x14ac:dyDescent="0.35">
      <c r="A78">
        <v>278</v>
      </c>
      <c r="B78" t="s">
        <v>581</v>
      </c>
      <c r="C78" t="s">
        <v>66</v>
      </c>
      <c r="D78" t="s">
        <v>582</v>
      </c>
      <c r="E78" t="s">
        <v>583</v>
      </c>
      <c r="F78" t="s">
        <v>558</v>
      </c>
      <c r="G78" t="s">
        <v>558</v>
      </c>
      <c r="H78" s="35" t="s">
        <v>584</v>
      </c>
      <c r="I78" t="s">
        <v>585</v>
      </c>
      <c r="J78" t="s">
        <v>104</v>
      </c>
      <c r="K78" t="s">
        <v>108</v>
      </c>
      <c r="L78" t="s">
        <v>105</v>
      </c>
      <c r="M78" t="s">
        <v>106</v>
      </c>
      <c r="N78" t="s">
        <v>107</v>
      </c>
      <c r="O78" t="s">
        <v>69</v>
      </c>
    </row>
    <row r="79" spans="1:15" hidden="1" x14ac:dyDescent="0.35">
      <c r="A79">
        <v>278</v>
      </c>
      <c r="B79" t="s">
        <v>581</v>
      </c>
      <c r="C79" t="s">
        <v>66</v>
      </c>
      <c r="D79" t="s">
        <v>586</v>
      </c>
      <c r="E79" t="s">
        <v>583</v>
      </c>
      <c r="F79" t="s">
        <v>558</v>
      </c>
      <c r="G79" t="s">
        <v>558</v>
      </c>
      <c r="H79" s="35" t="s">
        <v>584</v>
      </c>
      <c r="J79" t="s">
        <v>104</v>
      </c>
      <c r="K79" t="s">
        <v>108</v>
      </c>
      <c r="M79" t="s">
        <v>106</v>
      </c>
      <c r="N79" t="s">
        <v>107</v>
      </c>
      <c r="O79" t="s">
        <v>69</v>
      </c>
    </row>
    <row r="80" spans="1:15" hidden="1" x14ac:dyDescent="0.35">
      <c r="A80">
        <v>282</v>
      </c>
      <c r="B80" t="s">
        <v>587</v>
      </c>
      <c r="C80" t="s">
        <v>66</v>
      </c>
      <c r="D80" t="s">
        <v>588</v>
      </c>
      <c r="E80" t="s">
        <v>571</v>
      </c>
      <c r="F80" t="s">
        <v>415</v>
      </c>
      <c r="G80" t="s">
        <v>571</v>
      </c>
      <c r="H80" s="35" t="s">
        <v>578</v>
      </c>
      <c r="I80" t="s">
        <v>589</v>
      </c>
      <c r="J80" t="s">
        <v>111</v>
      </c>
      <c r="N80" t="s">
        <v>69</v>
      </c>
      <c r="O80" t="s">
        <v>69</v>
      </c>
    </row>
    <row r="81" spans="1:15" hidden="1" x14ac:dyDescent="0.35">
      <c r="A81">
        <v>282</v>
      </c>
      <c r="B81" t="s">
        <v>587</v>
      </c>
      <c r="C81" t="s">
        <v>66</v>
      </c>
      <c r="D81" t="s">
        <v>590</v>
      </c>
      <c r="E81" t="s">
        <v>571</v>
      </c>
      <c r="F81" t="s">
        <v>415</v>
      </c>
      <c r="G81" t="s">
        <v>571</v>
      </c>
      <c r="H81" s="35" t="s">
        <v>578</v>
      </c>
      <c r="I81" t="s">
        <v>591</v>
      </c>
      <c r="J81" t="s">
        <v>111</v>
      </c>
      <c r="N81" t="s">
        <v>69</v>
      </c>
      <c r="O81" t="s">
        <v>69</v>
      </c>
    </row>
    <row r="82" spans="1:15" x14ac:dyDescent="0.35">
      <c r="A82">
        <v>324</v>
      </c>
      <c r="B82" t="s">
        <v>592</v>
      </c>
      <c r="C82" t="s">
        <v>199</v>
      </c>
      <c r="D82" t="s">
        <v>593</v>
      </c>
      <c r="E82" t="s">
        <v>594</v>
      </c>
      <c r="F82" t="s">
        <v>595</v>
      </c>
      <c r="G82" t="s">
        <v>596</v>
      </c>
      <c r="H82" s="35" t="s">
        <v>133</v>
      </c>
      <c r="J82" t="s">
        <v>111</v>
      </c>
      <c r="N82" t="s">
        <v>69</v>
      </c>
      <c r="O82" t="s">
        <v>69</v>
      </c>
    </row>
    <row r="83" spans="1:15" hidden="1" x14ac:dyDescent="0.35">
      <c r="A83">
        <v>326</v>
      </c>
      <c r="B83" t="s">
        <v>597</v>
      </c>
      <c r="C83" t="s">
        <v>199</v>
      </c>
      <c r="D83" t="s">
        <v>598</v>
      </c>
      <c r="E83" t="s">
        <v>599</v>
      </c>
      <c r="F83" t="s">
        <v>110</v>
      </c>
      <c r="G83" t="s">
        <v>187</v>
      </c>
      <c r="H83" s="35" t="s">
        <v>600</v>
      </c>
      <c r="I83" t="s">
        <v>601</v>
      </c>
      <c r="J83" t="s">
        <v>111</v>
      </c>
      <c r="N83" t="s">
        <v>69</v>
      </c>
      <c r="O83" t="s">
        <v>69</v>
      </c>
    </row>
    <row r="84" spans="1:15" hidden="1" x14ac:dyDescent="0.35">
      <c r="A84">
        <v>326</v>
      </c>
      <c r="B84" t="s">
        <v>597</v>
      </c>
      <c r="C84" t="s">
        <v>199</v>
      </c>
      <c r="D84" t="s">
        <v>602</v>
      </c>
      <c r="E84" t="s">
        <v>603</v>
      </c>
      <c r="F84" t="s">
        <v>187</v>
      </c>
      <c r="G84" t="s">
        <v>187</v>
      </c>
      <c r="H84" s="35" t="s">
        <v>600</v>
      </c>
      <c r="J84" t="s">
        <v>111</v>
      </c>
      <c r="K84" t="s">
        <v>108</v>
      </c>
      <c r="N84" t="s">
        <v>69</v>
      </c>
      <c r="O84" t="s">
        <v>69</v>
      </c>
    </row>
    <row r="85" spans="1:15" hidden="1" x14ac:dyDescent="0.35">
      <c r="A85">
        <v>327</v>
      </c>
      <c r="B85" t="s">
        <v>604</v>
      </c>
      <c r="C85" t="s">
        <v>199</v>
      </c>
      <c r="D85" t="s">
        <v>605</v>
      </c>
      <c r="E85" t="s">
        <v>606</v>
      </c>
      <c r="F85" t="s">
        <v>110</v>
      </c>
      <c r="G85" t="s">
        <v>430</v>
      </c>
      <c r="H85" s="35" t="s">
        <v>192</v>
      </c>
      <c r="J85" t="s">
        <v>113</v>
      </c>
      <c r="K85" t="s">
        <v>109</v>
      </c>
      <c r="M85" t="s">
        <v>106</v>
      </c>
      <c r="N85" t="s">
        <v>107</v>
      </c>
      <c r="O85" t="s">
        <v>69</v>
      </c>
    </row>
    <row r="86" spans="1:15" x14ac:dyDescent="0.35">
      <c r="A86">
        <v>329</v>
      </c>
      <c r="B86" t="s">
        <v>607</v>
      </c>
      <c r="C86" t="s">
        <v>126</v>
      </c>
      <c r="D86" t="s">
        <v>608</v>
      </c>
      <c r="E86" t="s">
        <v>609</v>
      </c>
      <c r="F86" t="s">
        <v>452</v>
      </c>
      <c r="G86" t="s">
        <v>452</v>
      </c>
      <c r="H86" s="35" t="s">
        <v>610</v>
      </c>
      <c r="I86" t="s">
        <v>611</v>
      </c>
      <c r="J86" t="s">
        <v>111</v>
      </c>
      <c r="K86" t="s">
        <v>108</v>
      </c>
      <c r="N86" t="s">
        <v>69</v>
      </c>
      <c r="O86" t="s">
        <v>69</v>
      </c>
    </row>
    <row r="87" spans="1:15" hidden="1" x14ac:dyDescent="0.35">
      <c r="A87">
        <v>331</v>
      </c>
      <c r="B87" t="s">
        <v>612</v>
      </c>
      <c r="C87" t="s">
        <v>66</v>
      </c>
      <c r="D87" t="s">
        <v>613</v>
      </c>
      <c r="E87" t="s">
        <v>606</v>
      </c>
      <c r="F87" t="s">
        <v>614</v>
      </c>
      <c r="G87" t="s">
        <v>110</v>
      </c>
      <c r="H87" s="35" t="s">
        <v>521</v>
      </c>
      <c r="J87" t="s">
        <v>113</v>
      </c>
      <c r="K87" t="s">
        <v>108</v>
      </c>
      <c r="N87" t="s">
        <v>69</v>
      </c>
      <c r="O87" t="s">
        <v>69</v>
      </c>
    </row>
    <row r="88" spans="1:15" hidden="1" x14ac:dyDescent="0.35">
      <c r="A88">
        <v>331</v>
      </c>
      <c r="B88" t="s">
        <v>612</v>
      </c>
      <c r="C88" t="s">
        <v>66</v>
      </c>
      <c r="D88" t="s">
        <v>615</v>
      </c>
      <c r="E88" t="s">
        <v>606</v>
      </c>
      <c r="F88" t="s">
        <v>614</v>
      </c>
      <c r="G88" t="s">
        <v>110</v>
      </c>
      <c r="H88" s="35" t="s">
        <v>521</v>
      </c>
      <c r="J88" t="s">
        <v>104</v>
      </c>
      <c r="K88" t="s">
        <v>108</v>
      </c>
      <c r="L88" t="s">
        <v>616</v>
      </c>
      <c r="N88" t="s">
        <v>69</v>
      </c>
      <c r="O88" t="s">
        <v>69</v>
      </c>
    </row>
    <row r="89" spans="1:15" hidden="1" x14ac:dyDescent="0.35">
      <c r="A89">
        <v>331</v>
      </c>
      <c r="B89" t="s">
        <v>612</v>
      </c>
      <c r="C89" t="s">
        <v>66</v>
      </c>
      <c r="D89" t="s">
        <v>617</v>
      </c>
      <c r="E89" t="s">
        <v>430</v>
      </c>
      <c r="F89" t="s">
        <v>110</v>
      </c>
      <c r="G89" t="s">
        <v>110</v>
      </c>
      <c r="H89" s="35" t="s">
        <v>521</v>
      </c>
      <c r="J89" t="s">
        <v>104</v>
      </c>
      <c r="K89" t="s">
        <v>112</v>
      </c>
      <c r="L89" t="s">
        <v>195</v>
      </c>
      <c r="N89" t="s">
        <v>69</v>
      </c>
      <c r="O89" t="s">
        <v>69</v>
      </c>
    </row>
    <row r="90" spans="1:15" x14ac:dyDescent="0.35">
      <c r="A90">
        <v>332</v>
      </c>
      <c r="B90" t="s">
        <v>618</v>
      </c>
      <c r="C90" t="s">
        <v>199</v>
      </c>
      <c r="D90" t="s">
        <v>619</v>
      </c>
      <c r="F90" t="s">
        <v>110</v>
      </c>
      <c r="G90" t="s">
        <v>452</v>
      </c>
      <c r="H90" s="35" t="s">
        <v>190</v>
      </c>
      <c r="J90" t="s">
        <v>111</v>
      </c>
      <c r="N90" t="s">
        <v>69</v>
      </c>
      <c r="O90" t="s">
        <v>69</v>
      </c>
    </row>
    <row r="91" spans="1:15" hidden="1" x14ac:dyDescent="0.35">
      <c r="A91">
        <v>346</v>
      </c>
      <c r="B91" t="s">
        <v>620</v>
      </c>
      <c r="C91" t="s">
        <v>126</v>
      </c>
      <c r="D91" t="s">
        <v>621</v>
      </c>
      <c r="G91" t="s">
        <v>622</v>
      </c>
      <c r="H91" s="35" t="s">
        <v>133</v>
      </c>
      <c r="J91" t="s">
        <v>111</v>
      </c>
      <c r="N91" t="s">
        <v>69</v>
      </c>
      <c r="O91" t="s">
        <v>69</v>
      </c>
    </row>
    <row r="92" spans="1:15" hidden="1" x14ac:dyDescent="0.35">
      <c r="A92">
        <v>346</v>
      </c>
      <c r="B92" t="s">
        <v>620</v>
      </c>
      <c r="C92" t="s">
        <v>126</v>
      </c>
      <c r="D92" t="s">
        <v>623</v>
      </c>
      <c r="G92" t="s">
        <v>622</v>
      </c>
      <c r="H92" s="35" t="s">
        <v>133</v>
      </c>
      <c r="J92" t="s">
        <v>111</v>
      </c>
      <c r="N92" t="s">
        <v>69</v>
      </c>
      <c r="O92" t="s">
        <v>69</v>
      </c>
    </row>
    <row r="93" spans="1:15" hidden="1" x14ac:dyDescent="0.35">
      <c r="A93">
        <v>346</v>
      </c>
      <c r="B93" t="s">
        <v>620</v>
      </c>
      <c r="C93" t="s">
        <v>126</v>
      </c>
      <c r="D93" t="s">
        <v>624</v>
      </c>
      <c r="G93" t="s">
        <v>622</v>
      </c>
      <c r="H93" s="35" t="s">
        <v>133</v>
      </c>
      <c r="J93" t="s">
        <v>111</v>
      </c>
      <c r="N93" t="s">
        <v>69</v>
      </c>
      <c r="O93" t="s">
        <v>69</v>
      </c>
    </row>
    <row r="94" spans="1:15" hidden="1" x14ac:dyDescent="0.35">
      <c r="A94">
        <v>347</v>
      </c>
      <c r="B94" t="s">
        <v>625</v>
      </c>
      <c r="C94" t="s">
        <v>66</v>
      </c>
      <c r="D94" t="s">
        <v>626</v>
      </c>
      <c r="E94" t="s">
        <v>627</v>
      </c>
      <c r="F94" t="s">
        <v>110</v>
      </c>
      <c r="G94" t="s">
        <v>110</v>
      </c>
      <c r="H94" s="35" t="s">
        <v>197</v>
      </c>
      <c r="J94" t="s">
        <v>104</v>
      </c>
      <c r="K94" t="s">
        <v>108</v>
      </c>
      <c r="L94" t="s">
        <v>195</v>
      </c>
      <c r="M94" t="s">
        <v>106</v>
      </c>
      <c r="N94" t="s">
        <v>107</v>
      </c>
      <c r="O94" t="s">
        <v>69</v>
      </c>
    </row>
    <row r="95" spans="1:15" hidden="1" x14ac:dyDescent="0.35">
      <c r="A95">
        <v>347</v>
      </c>
      <c r="B95" t="s">
        <v>625</v>
      </c>
      <c r="C95" t="s">
        <v>66</v>
      </c>
      <c r="D95" t="s">
        <v>628</v>
      </c>
      <c r="E95" t="s">
        <v>187</v>
      </c>
      <c r="F95" t="s">
        <v>110</v>
      </c>
      <c r="G95" t="s">
        <v>110</v>
      </c>
      <c r="H95" s="35" t="s">
        <v>197</v>
      </c>
      <c r="I95" t="s">
        <v>545</v>
      </c>
      <c r="J95" t="s">
        <v>104</v>
      </c>
      <c r="K95" t="s">
        <v>108</v>
      </c>
      <c r="L95" t="s">
        <v>195</v>
      </c>
      <c r="M95" t="s">
        <v>106</v>
      </c>
      <c r="N95" t="s">
        <v>107</v>
      </c>
      <c r="O95" t="s">
        <v>69</v>
      </c>
    </row>
    <row r="96" spans="1:15" hidden="1" x14ac:dyDescent="0.35">
      <c r="A96">
        <v>347</v>
      </c>
      <c r="B96" t="s">
        <v>625</v>
      </c>
      <c r="C96" t="s">
        <v>66</v>
      </c>
      <c r="D96" t="s">
        <v>629</v>
      </c>
      <c r="E96" t="s">
        <v>110</v>
      </c>
      <c r="F96" t="s">
        <v>606</v>
      </c>
      <c r="G96" t="s">
        <v>110</v>
      </c>
      <c r="H96" s="35" t="s">
        <v>197</v>
      </c>
      <c r="J96" t="s">
        <v>104</v>
      </c>
      <c r="K96" t="s">
        <v>108</v>
      </c>
      <c r="L96" t="s">
        <v>195</v>
      </c>
      <c r="M96" t="s">
        <v>106</v>
      </c>
      <c r="N96" t="s">
        <v>107</v>
      </c>
      <c r="O96" t="s">
        <v>69</v>
      </c>
    </row>
    <row r="97" spans="1:15" hidden="1" x14ac:dyDescent="0.35">
      <c r="A97">
        <v>347</v>
      </c>
      <c r="B97" t="s">
        <v>625</v>
      </c>
      <c r="C97" t="s">
        <v>66</v>
      </c>
      <c r="D97" t="s">
        <v>630</v>
      </c>
      <c r="E97" t="s">
        <v>627</v>
      </c>
      <c r="F97" t="s">
        <v>110</v>
      </c>
      <c r="G97" t="s">
        <v>110</v>
      </c>
      <c r="H97" s="35" t="s">
        <v>197</v>
      </c>
      <c r="I97" t="s">
        <v>545</v>
      </c>
      <c r="J97" t="s">
        <v>104</v>
      </c>
      <c r="K97" t="s">
        <v>109</v>
      </c>
      <c r="L97" t="s">
        <v>195</v>
      </c>
      <c r="M97" t="s">
        <v>106</v>
      </c>
      <c r="N97" t="s">
        <v>107</v>
      </c>
      <c r="O97" t="s">
        <v>69</v>
      </c>
    </row>
    <row r="98" spans="1:15" hidden="1" x14ac:dyDescent="0.35">
      <c r="A98">
        <v>347</v>
      </c>
      <c r="B98" t="s">
        <v>625</v>
      </c>
      <c r="C98" t="s">
        <v>66</v>
      </c>
      <c r="D98" t="s">
        <v>631</v>
      </c>
      <c r="E98" t="s">
        <v>627</v>
      </c>
      <c r="F98" t="s">
        <v>110</v>
      </c>
      <c r="G98" t="s">
        <v>110</v>
      </c>
      <c r="H98" s="35" t="s">
        <v>197</v>
      </c>
      <c r="I98" t="s">
        <v>545</v>
      </c>
      <c r="J98" t="s">
        <v>104</v>
      </c>
      <c r="K98" t="s">
        <v>109</v>
      </c>
      <c r="L98" t="s">
        <v>195</v>
      </c>
      <c r="M98" t="s">
        <v>106</v>
      </c>
      <c r="N98" t="s">
        <v>107</v>
      </c>
      <c r="O98" t="s">
        <v>69</v>
      </c>
    </row>
    <row r="99" spans="1:15" hidden="1" x14ac:dyDescent="0.35">
      <c r="A99">
        <v>347</v>
      </c>
      <c r="B99" t="s">
        <v>625</v>
      </c>
      <c r="C99" t="s">
        <v>66</v>
      </c>
      <c r="D99" t="s">
        <v>632</v>
      </c>
      <c r="E99" t="s">
        <v>110</v>
      </c>
      <c r="F99" t="s">
        <v>187</v>
      </c>
      <c r="G99" t="s">
        <v>110</v>
      </c>
      <c r="H99" s="35" t="s">
        <v>197</v>
      </c>
      <c r="I99" t="s">
        <v>545</v>
      </c>
      <c r="J99" t="s">
        <v>104</v>
      </c>
      <c r="K99" t="s">
        <v>109</v>
      </c>
      <c r="L99" t="s">
        <v>195</v>
      </c>
      <c r="M99" t="s">
        <v>106</v>
      </c>
      <c r="N99" t="s">
        <v>107</v>
      </c>
      <c r="O99" t="s">
        <v>69</v>
      </c>
    </row>
    <row r="100" spans="1:15" hidden="1" x14ac:dyDescent="0.35">
      <c r="A100">
        <v>347</v>
      </c>
      <c r="B100" t="s">
        <v>625</v>
      </c>
      <c r="C100" t="s">
        <v>66</v>
      </c>
      <c r="D100" t="s">
        <v>633</v>
      </c>
      <c r="E100" t="s">
        <v>187</v>
      </c>
      <c r="F100" t="s">
        <v>552</v>
      </c>
      <c r="G100" t="s">
        <v>110</v>
      </c>
      <c r="H100" s="35" t="s">
        <v>197</v>
      </c>
      <c r="I100" t="s">
        <v>545</v>
      </c>
      <c r="J100" t="s">
        <v>111</v>
      </c>
      <c r="K100" t="s">
        <v>109</v>
      </c>
      <c r="N100" t="s">
        <v>69</v>
      </c>
      <c r="O100" t="s">
        <v>69</v>
      </c>
    </row>
    <row r="101" spans="1:15" hidden="1" x14ac:dyDescent="0.35">
      <c r="A101">
        <v>354</v>
      </c>
      <c r="B101" t="s">
        <v>634</v>
      </c>
      <c r="C101" t="s">
        <v>66</v>
      </c>
      <c r="D101" t="s">
        <v>635</v>
      </c>
      <c r="E101" t="s">
        <v>603</v>
      </c>
      <c r="F101" t="s">
        <v>187</v>
      </c>
      <c r="G101" t="s">
        <v>187</v>
      </c>
      <c r="H101" s="35" t="s">
        <v>197</v>
      </c>
      <c r="J101" t="s">
        <v>111</v>
      </c>
      <c r="K101" t="s">
        <v>108</v>
      </c>
      <c r="N101" t="s">
        <v>69</v>
      </c>
      <c r="O101" t="s">
        <v>69</v>
      </c>
    </row>
    <row r="102" spans="1:15" hidden="1" x14ac:dyDescent="0.35">
      <c r="A102">
        <v>354</v>
      </c>
      <c r="B102" t="s">
        <v>634</v>
      </c>
      <c r="C102" t="s">
        <v>66</v>
      </c>
      <c r="D102" t="s">
        <v>636</v>
      </c>
      <c r="E102" t="s">
        <v>187</v>
      </c>
      <c r="F102" t="s">
        <v>110</v>
      </c>
      <c r="G102" t="s">
        <v>187</v>
      </c>
      <c r="H102" s="35" t="s">
        <v>197</v>
      </c>
      <c r="I102" t="s">
        <v>637</v>
      </c>
      <c r="J102" t="s">
        <v>104</v>
      </c>
      <c r="K102" t="s">
        <v>109</v>
      </c>
      <c r="L102" t="s">
        <v>195</v>
      </c>
      <c r="M102" t="s">
        <v>106</v>
      </c>
      <c r="N102" t="s">
        <v>107</v>
      </c>
      <c r="O102" t="s">
        <v>69</v>
      </c>
    </row>
    <row r="103" spans="1:15" hidden="1" x14ac:dyDescent="0.35">
      <c r="A103">
        <v>354</v>
      </c>
      <c r="B103" t="s">
        <v>634</v>
      </c>
      <c r="C103" t="s">
        <v>66</v>
      </c>
      <c r="D103" t="s">
        <v>638</v>
      </c>
      <c r="E103" t="s">
        <v>187</v>
      </c>
      <c r="F103" t="s">
        <v>110</v>
      </c>
      <c r="G103" t="s">
        <v>187</v>
      </c>
      <c r="H103" s="35" t="s">
        <v>197</v>
      </c>
      <c r="I103" t="s">
        <v>639</v>
      </c>
      <c r="J103" t="s">
        <v>104</v>
      </c>
      <c r="K103" t="s">
        <v>109</v>
      </c>
      <c r="L103" t="s">
        <v>105</v>
      </c>
      <c r="M103" t="s">
        <v>106</v>
      </c>
      <c r="N103" t="s">
        <v>107</v>
      </c>
      <c r="O103" t="s">
        <v>69</v>
      </c>
    </row>
    <row r="104" spans="1:15" hidden="1" x14ac:dyDescent="0.35">
      <c r="A104">
        <v>354</v>
      </c>
      <c r="B104" t="s">
        <v>634</v>
      </c>
      <c r="C104" t="s">
        <v>66</v>
      </c>
      <c r="D104" t="s">
        <v>640</v>
      </c>
      <c r="E104" t="s">
        <v>110</v>
      </c>
      <c r="F104" t="s">
        <v>415</v>
      </c>
      <c r="G104" t="s">
        <v>187</v>
      </c>
      <c r="H104" s="35" t="s">
        <v>197</v>
      </c>
      <c r="I104" t="s">
        <v>641</v>
      </c>
      <c r="J104" t="s">
        <v>104</v>
      </c>
      <c r="K104" t="s">
        <v>109</v>
      </c>
      <c r="L104" t="s">
        <v>195</v>
      </c>
      <c r="N104" t="s">
        <v>69</v>
      </c>
      <c r="O104" t="s">
        <v>69</v>
      </c>
    </row>
    <row r="105" spans="1:15" hidden="1" x14ac:dyDescent="0.35">
      <c r="A105">
        <v>354</v>
      </c>
      <c r="B105" t="s">
        <v>634</v>
      </c>
      <c r="C105" t="s">
        <v>66</v>
      </c>
      <c r="D105" t="s">
        <v>642</v>
      </c>
      <c r="E105" t="s">
        <v>110</v>
      </c>
      <c r="F105" t="s">
        <v>606</v>
      </c>
      <c r="G105" t="s">
        <v>187</v>
      </c>
      <c r="H105" s="35" t="s">
        <v>197</v>
      </c>
      <c r="I105" t="s">
        <v>196</v>
      </c>
      <c r="J105" t="s">
        <v>104</v>
      </c>
      <c r="K105" t="s">
        <v>109</v>
      </c>
      <c r="L105" t="s">
        <v>105</v>
      </c>
      <c r="M105" t="s">
        <v>106</v>
      </c>
      <c r="N105" t="s">
        <v>107</v>
      </c>
      <c r="O105" t="s">
        <v>69</v>
      </c>
    </row>
    <row r="106" spans="1:15" hidden="1" x14ac:dyDescent="0.35">
      <c r="A106">
        <v>355</v>
      </c>
      <c r="B106" t="s">
        <v>643</v>
      </c>
      <c r="C106" t="s">
        <v>66</v>
      </c>
      <c r="D106" t="s">
        <v>644</v>
      </c>
      <c r="E106" t="s">
        <v>110</v>
      </c>
      <c r="F106" t="s">
        <v>606</v>
      </c>
      <c r="G106" t="s">
        <v>187</v>
      </c>
      <c r="H106" s="35" t="s">
        <v>197</v>
      </c>
      <c r="I106" t="s">
        <v>196</v>
      </c>
      <c r="J106" t="s">
        <v>104</v>
      </c>
      <c r="K106" t="s">
        <v>108</v>
      </c>
      <c r="L106" t="s">
        <v>105</v>
      </c>
      <c r="M106" t="s">
        <v>106</v>
      </c>
      <c r="N106" t="s">
        <v>107</v>
      </c>
      <c r="O106" t="s">
        <v>69</v>
      </c>
    </row>
    <row r="107" spans="1:15" hidden="1" x14ac:dyDescent="0.35">
      <c r="A107">
        <v>355</v>
      </c>
      <c r="B107" t="s">
        <v>643</v>
      </c>
      <c r="C107" t="s">
        <v>66</v>
      </c>
      <c r="D107" t="s">
        <v>645</v>
      </c>
      <c r="E107" t="s">
        <v>187</v>
      </c>
      <c r="F107" t="s">
        <v>110</v>
      </c>
      <c r="G107" t="s">
        <v>187</v>
      </c>
      <c r="H107" s="35" t="s">
        <v>197</v>
      </c>
      <c r="I107" t="s">
        <v>646</v>
      </c>
      <c r="J107" t="s">
        <v>104</v>
      </c>
      <c r="K107" t="s">
        <v>109</v>
      </c>
      <c r="L107" t="s">
        <v>105</v>
      </c>
      <c r="M107" t="s">
        <v>106</v>
      </c>
      <c r="N107" t="s">
        <v>107</v>
      </c>
      <c r="O107" t="s">
        <v>69</v>
      </c>
    </row>
    <row r="108" spans="1:15" hidden="1" x14ac:dyDescent="0.35">
      <c r="A108">
        <v>355</v>
      </c>
      <c r="B108" t="s">
        <v>643</v>
      </c>
      <c r="C108" t="s">
        <v>66</v>
      </c>
      <c r="D108" t="s">
        <v>647</v>
      </c>
      <c r="E108" t="s">
        <v>187</v>
      </c>
      <c r="F108" t="s">
        <v>110</v>
      </c>
      <c r="G108" t="s">
        <v>187</v>
      </c>
      <c r="H108" s="35" t="s">
        <v>197</v>
      </c>
      <c r="I108" t="s">
        <v>646</v>
      </c>
      <c r="J108" t="s">
        <v>104</v>
      </c>
      <c r="K108" t="s">
        <v>109</v>
      </c>
      <c r="L108" t="s">
        <v>195</v>
      </c>
      <c r="M108" t="s">
        <v>106</v>
      </c>
      <c r="N108" t="s">
        <v>107</v>
      </c>
      <c r="O108" t="s">
        <v>69</v>
      </c>
    </row>
    <row r="109" spans="1:15" hidden="1" x14ac:dyDescent="0.35">
      <c r="A109">
        <v>355</v>
      </c>
      <c r="B109" t="s">
        <v>643</v>
      </c>
      <c r="C109" t="s">
        <v>66</v>
      </c>
      <c r="D109" t="s">
        <v>648</v>
      </c>
      <c r="E109" t="s">
        <v>187</v>
      </c>
      <c r="F109" t="s">
        <v>110</v>
      </c>
      <c r="G109" t="s">
        <v>187</v>
      </c>
      <c r="H109" s="35" t="s">
        <v>197</v>
      </c>
      <c r="I109" t="s">
        <v>646</v>
      </c>
      <c r="J109" t="s">
        <v>104</v>
      </c>
      <c r="K109" t="s">
        <v>109</v>
      </c>
      <c r="L109" t="s">
        <v>195</v>
      </c>
      <c r="M109" t="s">
        <v>106</v>
      </c>
      <c r="N109" t="s">
        <v>107</v>
      </c>
      <c r="O109" t="s">
        <v>69</v>
      </c>
    </row>
    <row r="110" spans="1:15" hidden="1" x14ac:dyDescent="0.35">
      <c r="A110">
        <v>355</v>
      </c>
      <c r="B110" t="s">
        <v>643</v>
      </c>
      <c r="C110" t="s">
        <v>66</v>
      </c>
      <c r="D110" t="s">
        <v>649</v>
      </c>
      <c r="E110" t="s">
        <v>110</v>
      </c>
      <c r="F110" t="s">
        <v>415</v>
      </c>
      <c r="G110" t="s">
        <v>187</v>
      </c>
      <c r="H110" s="35" t="s">
        <v>197</v>
      </c>
      <c r="I110" t="s">
        <v>641</v>
      </c>
      <c r="J110" t="s">
        <v>104</v>
      </c>
      <c r="K110" t="s">
        <v>109</v>
      </c>
      <c r="L110" t="s">
        <v>195</v>
      </c>
      <c r="N110" t="s">
        <v>69</v>
      </c>
      <c r="O110" t="s">
        <v>69</v>
      </c>
    </row>
    <row r="111" spans="1:15" hidden="1" x14ac:dyDescent="0.35">
      <c r="A111">
        <v>361</v>
      </c>
      <c r="B111" t="s">
        <v>650</v>
      </c>
      <c r="C111" t="s">
        <v>199</v>
      </c>
      <c r="D111" t="s">
        <v>651</v>
      </c>
      <c r="E111" t="s">
        <v>652</v>
      </c>
      <c r="F111" t="s">
        <v>583</v>
      </c>
      <c r="G111" t="s">
        <v>430</v>
      </c>
      <c r="H111" s="35" t="s">
        <v>528</v>
      </c>
      <c r="I111" t="s">
        <v>653</v>
      </c>
      <c r="J111" t="s">
        <v>111</v>
      </c>
      <c r="N111" t="s">
        <v>69</v>
      </c>
      <c r="O111" t="s">
        <v>69</v>
      </c>
    </row>
    <row r="112" spans="1:15" hidden="1" x14ac:dyDescent="0.35">
      <c r="A112">
        <v>361</v>
      </c>
      <c r="B112" t="s">
        <v>650</v>
      </c>
      <c r="C112" t="s">
        <v>199</v>
      </c>
      <c r="D112" t="s">
        <v>654</v>
      </c>
      <c r="E112" t="s">
        <v>655</v>
      </c>
      <c r="F112" t="s">
        <v>430</v>
      </c>
      <c r="G112" t="s">
        <v>430</v>
      </c>
      <c r="H112" s="35" t="s">
        <v>528</v>
      </c>
      <c r="I112" t="s">
        <v>641</v>
      </c>
      <c r="J112" t="s">
        <v>111</v>
      </c>
      <c r="N112" t="s">
        <v>69</v>
      </c>
      <c r="O112" t="s">
        <v>69</v>
      </c>
    </row>
    <row r="113" spans="1:15" hidden="1" x14ac:dyDescent="0.35">
      <c r="A113">
        <v>361</v>
      </c>
      <c r="B113" t="s">
        <v>650</v>
      </c>
      <c r="C113" t="s">
        <v>199</v>
      </c>
      <c r="D113" t="s">
        <v>656</v>
      </c>
      <c r="E113" t="s">
        <v>655</v>
      </c>
      <c r="F113" t="s">
        <v>430</v>
      </c>
      <c r="G113" t="s">
        <v>430</v>
      </c>
      <c r="H113" s="35" t="s">
        <v>528</v>
      </c>
      <c r="I113" t="s">
        <v>657</v>
      </c>
      <c r="J113" t="s">
        <v>111</v>
      </c>
      <c r="N113" t="s">
        <v>69</v>
      </c>
      <c r="O113" t="s">
        <v>69</v>
      </c>
    </row>
    <row r="114" spans="1:15" hidden="1" x14ac:dyDescent="0.35">
      <c r="A114">
        <v>361</v>
      </c>
      <c r="B114" t="s">
        <v>650</v>
      </c>
      <c r="C114" t="s">
        <v>199</v>
      </c>
      <c r="D114" t="s">
        <v>658</v>
      </c>
      <c r="E114" t="s">
        <v>655</v>
      </c>
      <c r="F114" t="s">
        <v>430</v>
      </c>
      <c r="G114" t="s">
        <v>430</v>
      </c>
      <c r="H114" s="35" t="s">
        <v>528</v>
      </c>
      <c r="I114" t="s">
        <v>657</v>
      </c>
      <c r="J114" t="s">
        <v>111</v>
      </c>
      <c r="N114" t="s">
        <v>69</v>
      </c>
      <c r="O114" t="s">
        <v>69</v>
      </c>
    </row>
    <row r="115" spans="1:15" hidden="1" x14ac:dyDescent="0.35">
      <c r="A115">
        <v>361</v>
      </c>
      <c r="B115" t="s">
        <v>650</v>
      </c>
      <c r="C115" t="s">
        <v>199</v>
      </c>
      <c r="D115" t="s">
        <v>659</v>
      </c>
      <c r="E115" t="s">
        <v>652</v>
      </c>
      <c r="F115" t="s">
        <v>430</v>
      </c>
      <c r="G115" t="s">
        <v>430</v>
      </c>
      <c r="H115" s="35" t="s">
        <v>528</v>
      </c>
      <c r="I115" t="s">
        <v>653</v>
      </c>
      <c r="J115" t="s">
        <v>111</v>
      </c>
      <c r="N115" t="s">
        <v>69</v>
      </c>
      <c r="O115" t="s">
        <v>69</v>
      </c>
    </row>
    <row r="116" spans="1:15" hidden="1" x14ac:dyDescent="0.35">
      <c r="A116">
        <v>365</v>
      </c>
      <c r="B116" t="s">
        <v>660</v>
      </c>
      <c r="C116" t="s">
        <v>82</v>
      </c>
      <c r="D116" t="s">
        <v>661</v>
      </c>
      <c r="E116" t="s">
        <v>194</v>
      </c>
      <c r="F116" t="s">
        <v>606</v>
      </c>
      <c r="G116" t="s">
        <v>552</v>
      </c>
      <c r="H116" s="35" t="s">
        <v>662</v>
      </c>
      <c r="I116" t="s">
        <v>663</v>
      </c>
      <c r="J116" t="s">
        <v>111</v>
      </c>
      <c r="N116" t="s">
        <v>69</v>
      </c>
      <c r="O116" t="s">
        <v>69</v>
      </c>
    </row>
    <row r="117" spans="1:15" hidden="1" x14ac:dyDescent="0.35">
      <c r="A117">
        <v>365</v>
      </c>
      <c r="B117" t="s">
        <v>660</v>
      </c>
      <c r="C117" t="s">
        <v>82</v>
      </c>
      <c r="D117" t="s">
        <v>664</v>
      </c>
      <c r="E117" t="s">
        <v>512</v>
      </c>
      <c r="F117" t="s">
        <v>145</v>
      </c>
      <c r="G117" t="s">
        <v>552</v>
      </c>
      <c r="H117" s="35" t="s">
        <v>662</v>
      </c>
      <c r="I117" t="s">
        <v>663</v>
      </c>
      <c r="J117" t="s">
        <v>111</v>
      </c>
      <c r="N117" t="s">
        <v>69</v>
      </c>
      <c r="O117" t="s">
        <v>69</v>
      </c>
    </row>
    <row r="118" spans="1:15" hidden="1" x14ac:dyDescent="0.35">
      <c r="A118">
        <v>365</v>
      </c>
      <c r="B118" t="s">
        <v>660</v>
      </c>
      <c r="C118" t="s">
        <v>82</v>
      </c>
      <c r="D118" t="s">
        <v>665</v>
      </c>
      <c r="E118" t="s">
        <v>514</v>
      </c>
      <c r="F118" t="s">
        <v>599</v>
      </c>
      <c r="G118" t="s">
        <v>552</v>
      </c>
      <c r="H118" s="35" t="s">
        <v>662</v>
      </c>
      <c r="J118" t="s">
        <v>111</v>
      </c>
      <c r="N118" t="s">
        <v>69</v>
      </c>
      <c r="O118" t="s">
        <v>69</v>
      </c>
    </row>
    <row r="119" spans="1:15" hidden="1" x14ac:dyDescent="0.35">
      <c r="A119">
        <v>368</v>
      </c>
      <c r="B119" t="s">
        <v>666</v>
      </c>
      <c r="C119" t="s">
        <v>82</v>
      </c>
      <c r="D119" t="s">
        <v>667</v>
      </c>
      <c r="E119" t="s">
        <v>668</v>
      </c>
      <c r="F119" t="s">
        <v>430</v>
      </c>
      <c r="G119" t="s">
        <v>552</v>
      </c>
      <c r="H119" s="35" t="s">
        <v>669</v>
      </c>
      <c r="I119" t="s">
        <v>670</v>
      </c>
      <c r="J119" t="s">
        <v>111</v>
      </c>
      <c r="K119" t="s">
        <v>108</v>
      </c>
      <c r="N119" t="s">
        <v>69</v>
      </c>
      <c r="O119" t="s">
        <v>69</v>
      </c>
    </row>
    <row r="120" spans="1:15" hidden="1" x14ac:dyDescent="0.35">
      <c r="A120">
        <v>376</v>
      </c>
      <c r="B120" t="s">
        <v>671</v>
      </c>
      <c r="C120" t="s">
        <v>126</v>
      </c>
      <c r="D120" t="s">
        <v>672</v>
      </c>
      <c r="E120" t="s">
        <v>673</v>
      </c>
      <c r="F120" t="s">
        <v>110</v>
      </c>
      <c r="G120" t="s">
        <v>110</v>
      </c>
      <c r="H120" s="35" t="s">
        <v>669</v>
      </c>
      <c r="I120" t="s">
        <v>674</v>
      </c>
      <c r="J120" t="s">
        <v>111</v>
      </c>
      <c r="K120" t="s">
        <v>109</v>
      </c>
      <c r="N120" t="s">
        <v>69</v>
      </c>
      <c r="O120" t="s">
        <v>69</v>
      </c>
    </row>
    <row r="121" spans="1:15" hidden="1" x14ac:dyDescent="0.35">
      <c r="A121">
        <v>376</v>
      </c>
      <c r="B121" t="s">
        <v>671</v>
      </c>
      <c r="C121" t="s">
        <v>126</v>
      </c>
      <c r="D121" t="s">
        <v>675</v>
      </c>
      <c r="E121" t="s">
        <v>673</v>
      </c>
      <c r="F121" t="s">
        <v>110</v>
      </c>
      <c r="G121" t="s">
        <v>110</v>
      </c>
      <c r="H121" s="35" t="s">
        <v>669</v>
      </c>
      <c r="I121" t="s">
        <v>674</v>
      </c>
      <c r="J121" t="s">
        <v>111</v>
      </c>
      <c r="K121" t="s">
        <v>109</v>
      </c>
      <c r="N121" t="s">
        <v>69</v>
      </c>
      <c r="O121" t="s">
        <v>69</v>
      </c>
    </row>
    <row r="122" spans="1:15" x14ac:dyDescent="0.35">
      <c r="A122">
        <v>384</v>
      </c>
      <c r="B122" t="s">
        <v>676</v>
      </c>
      <c r="C122" t="s">
        <v>66</v>
      </c>
      <c r="D122" t="s">
        <v>677</v>
      </c>
      <c r="E122" t="s">
        <v>678</v>
      </c>
      <c r="F122" t="s">
        <v>679</v>
      </c>
      <c r="G122" t="s">
        <v>679</v>
      </c>
      <c r="H122" s="35" t="s">
        <v>680</v>
      </c>
      <c r="I122" t="s">
        <v>681</v>
      </c>
      <c r="J122" t="s">
        <v>111</v>
      </c>
      <c r="N122" t="s">
        <v>69</v>
      </c>
      <c r="O122" t="s">
        <v>69</v>
      </c>
    </row>
    <row r="123" spans="1:15" x14ac:dyDescent="0.35">
      <c r="A123">
        <v>384</v>
      </c>
      <c r="B123" t="s">
        <v>676</v>
      </c>
      <c r="C123" t="s">
        <v>66</v>
      </c>
      <c r="D123" t="s">
        <v>682</v>
      </c>
      <c r="E123" t="s">
        <v>678</v>
      </c>
      <c r="F123" t="s">
        <v>679</v>
      </c>
      <c r="G123" t="s">
        <v>679</v>
      </c>
      <c r="H123" s="35" t="s">
        <v>680</v>
      </c>
      <c r="I123" t="s">
        <v>681</v>
      </c>
      <c r="J123" t="s">
        <v>111</v>
      </c>
      <c r="N123" t="s">
        <v>69</v>
      </c>
      <c r="O123" t="s">
        <v>69</v>
      </c>
    </row>
    <row r="124" spans="1:15" x14ac:dyDescent="0.35">
      <c r="A124">
        <v>384</v>
      </c>
      <c r="B124" t="s">
        <v>676</v>
      </c>
      <c r="C124" t="s">
        <v>66</v>
      </c>
      <c r="D124" t="s">
        <v>683</v>
      </c>
      <c r="E124" t="s">
        <v>679</v>
      </c>
      <c r="F124" t="s">
        <v>684</v>
      </c>
      <c r="G124" t="s">
        <v>679</v>
      </c>
      <c r="H124" s="35" t="s">
        <v>680</v>
      </c>
      <c r="I124" t="s">
        <v>681</v>
      </c>
      <c r="J124" t="s">
        <v>111</v>
      </c>
      <c r="N124" t="s">
        <v>69</v>
      </c>
      <c r="O124" t="s">
        <v>69</v>
      </c>
    </row>
    <row r="125" spans="1:15" x14ac:dyDescent="0.35">
      <c r="A125">
        <v>391</v>
      </c>
      <c r="B125" t="s">
        <v>685</v>
      </c>
      <c r="C125" t="s">
        <v>82</v>
      </c>
      <c r="D125" t="s">
        <v>686</v>
      </c>
      <c r="G125" t="s">
        <v>552</v>
      </c>
      <c r="H125" s="35" t="s">
        <v>687</v>
      </c>
      <c r="J125" t="s">
        <v>111</v>
      </c>
      <c r="N125" t="s">
        <v>69</v>
      </c>
      <c r="O125" t="s">
        <v>69</v>
      </c>
    </row>
    <row r="126" spans="1:15" hidden="1" x14ac:dyDescent="0.35">
      <c r="A126">
        <v>398</v>
      </c>
      <c r="B126" t="s">
        <v>688</v>
      </c>
      <c r="C126" t="s">
        <v>82</v>
      </c>
      <c r="D126" t="s">
        <v>689</v>
      </c>
      <c r="G126" t="s">
        <v>430</v>
      </c>
      <c r="H126" s="35" t="s">
        <v>690</v>
      </c>
      <c r="I126" t="s">
        <v>691</v>
      </c>
      <c r="J126" t="s">
        <v>111</v>
      </c>
      <c r="N126" t="s">
        <v>69</v>
      </c>
      <c r="O126" t="s">
        <v>69</v>
      </c>
    </row>
    <row r="127" spans="1:15" hidden="1" x14ac:dyDescent="0.35">
      <c r="A127">
        <v>398</v>
      </c>
      <c r="B127" t="s">
        <v>688</v>
      </c>
      <c r="C127" t="s">
        <v>82</v>
      </c>
      <c r="D127" t="s">
        <v>692</v>
      </c>
      <c r="G127" t="s">
        <v>430</v>
      </c>
      <c r="H127" s="35" t="s">
        <v>690</v>
      </c>
      <c r="I127" t="s">
        <v>691</v>
      </c>
      <c r="J127" t="s">
        <v>111</v>
      </c>
      <c r="N127" t="s">
        <v>69</v>
      </c>
      <c r="O127" t="s">
        <v>69</v>
      </c>
    </row>
    <row r="128" spans="1:15" x14ac:dyDescent="0.35">
      <c r="H128" s="35"/>
    </row>
    <row r="129" spans="8:8" x14ac:dyDescent="0.35">
      <c r="H129" s="35"/>
    </row>
    <row r="130" spans="8:8" x14ac:dyDescent="0.35">
      <c r="H130" s="35"/>
    </row>
    <row r="131" spans="8:8" x14ac:dyDescent="0.35">
      <c r="H131" s="35"/>
    </row>
    <row r="132" spans="8:8" x14ac:dyDescent="0.35">
      <c r="H132" s="35"/>
    </row>
    <row r="133" spans="8:8" x14ac:dyDescent="0.35">
      <c r="H133" s="35"/>
    </row>
    <row r="134" spans="8:8" x14ac:dyDescent="0.35">
      <c r="H134" s="35"/>
    </row>
    <row r="135" spans="8:8" x14ac:dyDescent="0.35">
      <c r="H135" s="35"/>
    </row>
    <row r="136" spans="8:8" x14ac:dyDescent="0.35">
      <c r="H136" s="35"/>
    </row>
    <row r="137" spans="8:8" x14ac:dyDescent="0.35">
      <c r="H137" s="35"/>
    </row>
    <row r="138" spans="8:8" x14ac:dyDescent="0.35">
      <c r="H138" s="35"/>
    </row>
    <row r="139" spans="8:8" x14ac:dyDescent="0.35">
      <c r="H139" s="35"/>
    </row>
    <row r="140" spans="8:8" x14ac:dyDescent="0.35">
      <c r="H140" s="35"/>
    </row>
    <row r="141" spans="8:8" x14ac:dyDescent="0.35">
      <c r="H141" s="35"/>
    </row>
    <row r="142" spans="8:8" x14ac:dyDescent="0.35">
      <c r="H142" s="35"/>
    </row>
    <row r="143" spans="8:8" x14ac:dyDescent="0.35">
      <c r="H143" s="35"/>
    </row>
    <row r="144" spans="8:8" x14ac:dyDescent="0.35">
      <c r="H144" s="35"/>
    </row>
    <row r="145" spans="8:8" x14ac:dyDescent="0.35">
      <c r="H145" s="35"/>
    </row>
    <row r="146" spans="8:8" x14ac:dyDescent="0.35">
      <c r="H146" s="35"/>
    </row>
    <row r="147" spans="8:8" x14ac:dyDescent="0.35">
      <c r="H147" s="35"/>
    </row>
    <row r="148" spans="8:8" x14ac:dyDescent="0.35">
      <c r="H148" s="35"/>
    </row>
    <row r="149" spans="8:8" x14ac:dyDescent="0.35">
      <c r="H149" s="35"/>
    </row>
    <row r="150" spans="8:8" x14ac:dyDescent="0.35">
      <c r="H150" s="35"/>
    </row>
    <row r="151" spans="8:8" x14ac:dyDescent="0.35">
      <c r="H151" s="35"/>
    </row>
    <row r="152" spans="8:8" x14ac:dyDescent="0.35">
      <c r="H152" s="35"/>
    </row>
    <row r="153" spans="8:8" x14ac:dyDescent="0.35">
      <c r="H153" s="35"/>
    </row>
    <row r="154" spans="8:8" x14ac:dyDescent="0.35">
      <c r="H154" s="35"/>
    </row>
    <row r="155" spans="8:8" x14ac:dyDescent="0.35">
      <c r="H155" s="35"/>
    </row>
    <row r="156" spans="8:8" x14ac:dyDescent="0.35">
      <c r="H156" s="35"/>
    </row>
    <row r="157" spans="8:8" x14ac:dyDescent="0.35">
      <c r="H157" s="35"/>
    </row>
    <row r="158" spans="8:8" x14ac:dyDescent="0.35">
      <c r="H158" s="35"/>
    </row>
    <row r="159" spans="8:8" x14ac:dyDescent="0.35">
      <c r="H159" s="35"/>
    </row>
    <row r="160" spans="8:8" x14ac:dyDescent="0.35">
      <c r="H160" s="35"/>
    </row>
    <row r="161" spans="8:8" x14ac:dyDescent="0.35">
      <c r="H161" s="35"/>
    </row>
    <row r="162" spans="8:8" x14ac:dyDescent="0.35">
      <c r="H162" s="35"/>
    </row>
    <row r="163" spans="8:8" x14ac:dyDescent="0.35">
      <c r="H163" s="35"/>
    </row>
    <row r="164" spans="8:8" x14ac:dyDescent="0.35">
      <c r="H164" s="35"/>
    </row>
    <row r="165" spans="8:8" x14ac:dyDescent="0.35">
      <c r="H165" s="35"/>
    </row>
    <row r="166" spans="8:8" x14ac:dyDescent="0.35">
      <c r="H166" s="35"/>
    </row>
    <row r="167" spans="8:8" x14ac:dyDescent="0.35">
      <c r="H167" s="35"/>
    </row>
    <row r="168" spans="8:8" x14ac:dyDescent="0.35">
      <c r="H168" s="35"/>
    </row>
    <row r="169" spans="8:8" x14ac:dyDescent="0.35">
      <c r="H169" s="35"/>
    </row>
    <row r="170" spans="8:8" x14ac:dyDescent="0.35">
      <c r="H170" s="35"/>
    </row>
    <row r="171" spans="8:8" x14ac:dyDescent="0.35">
      <c r="H171" s="35"/>
    </row>
    <row r="172" spans="8:8" x14ac:dyDescent="0.35">
      <c r="H172" s="35"/>
    </row>
    <row r="173" spans="8:8" x14ac:dyDescent="0.35">
      <c r="H173" s="35"/>
    </row>
    <row r="174" spans="8:8" x14ac:dyDescent="0.35">
      <c r="H174" s="35"/>
    </row>
    <row r="175" spans="8:8" x14ac:dyDescent="0.35">
      <c r="H175" s="35"/>
    </row>
    <row r="176" spans="8:8" x14ac:dyDescent="0.35">
      <c r="H176" s="35"/>
    </row>
    <row r="177" spans="8:8" x14ac:dyDescent="0.35">
      <c r="H177" s="35"/>
    </row>
    <row r="178" spans="8:8" x14ac:dyDescent="0.35">
      <c r="H178" s="35"/>
    </row>
    <row r="179" spans="8:8" x14ac:dyDescent="0.35">
      <c r="H179" s="35"/>
    </row>
    <row r="180" spans="8:8" x14ac:dyDescent="0.35">
      <c r="H180" s="35"/>
    </row>
    <row r="181" spans="8:8" x14ac:dyDescent="0.35">
      <c r="H181" s="35"/>
    </row>
    <row r="182" spans="8:8" x14ac:dyDescent="0.35">
      <c r="H182" s="35"/>
    </row>
    <row r="183" spans="8:8" x14ac:dyDescent="0.35">
      <c r="H183" s="35"/>
    </row>
    <row r="184" spans="8:8" x14ac:dyDescent="0.35">
      <c r="H184" s="35"/>
    </row>
    <row r="185" spans="8:8" x14ac:dyDescent="0.35">
      <c r="H185" s="35"/>
    </row>
    <row r="186" spans="8:8" x14ac:dyDescent="0.35">
      <c r="H186" s="35"/>
    </row>
    <row r="187" spans="8:8" x14ac:dyDescent="0.35">
      <c r="H187" s="35"/>
    </row>
    <row r="188" spans="8:8" x14ac:dyDescent="0.35">
      <c r="H188" s="35"/>
    </row>
    <row r="189" spans="8:8" x14ac:dyDescent="0.35">
      <c r="H189" s="35"/>
    </row>
    <row r="190" spans="8:8" x14ac:dyDescent="0.35">
      <c r="H190" s="35"/>
    </row>
    <row r="191" spans="8:8" x14ac:dyDescent="0.35">
      <c r="H191" s="35"/>
    </row>
    <row r="192" spans="8:8" x14ac:dyDescent="0.35">
      <c r="H192" s="35"/>
    </row>
    <row r="193" spans="8:8" x14ac:dyDescent="0.35">
      <c r="H193" s="35"/>
    </row>
    <row r="194" spans="8:8" x14ac:dyDescent="0.35">
      <c r="H194" s="35"/>
    </row>
    <row r="195" spans="8:8" x14ac:dyDescent="0.35">
      <c r="H195" s="35"/>
    </row>
    <row r="196" spans="8:8" x14ac:dyDescent="0.35">
      <c r="H196" s="35"/>
    </row>
    <row r="197" spans="8:8" x14ac:dyDescent="0.35">
      <c r="H197" s="35"/>
    </row>
    <row r="198" spans="8:8" x14ac:dyDescent="0.35">
      <c r="H198" s="35"/>
    </row>
    <row r="199" spans="8:8" x14ac:dyDescent="0.35">
      <c r="H199" s="35"/>
    </row>
    <row r="200" spans="8:8" x14ac:dyDescent="0.35">
      <c r="H200" s="35"/>
    </row>
    <row r="201" spans="8:8" x14ac:dyDescent="0.35">
      <c r="H201" s="35"/>
    </row>
    <row r="202" spans="8:8" x14ac:dyDescent="0.35">
      <c r="H202" s="35"/>
    </row>
    <row r="203" spans="8:8" x14ac:dyDescent="0.35">
      <c r="H203" s="35"/>
    </row>
    <row r="204" spans="8:8" x14ac:dyDescent="0.35">
      <c r="H204" s="35"/>
    </row>
    <row r="205" spans="8:8" x14ac:dyDescent="0.35">
      <c r="H205" s="35"/>
    </row>
    <row r="206" spans="8:8" x14ac:dyDescent="0.35">
      <c r="H206" s="35"/>
    </row>
    <row r="207" spans="8:8" x14ac:dyDescent="0.35">
      <c r="H207" s="35"/>
    </row>
    <row r="208" spans="8:8" x14ac:dyDescent="0.35">
      <c r="H208" s="35"/>
    </row>
    <row r="209" spans="8:8" x14ac:dyDescent="0.35">
      <c r="H209" s="35"/>
    </row>
    <row r="210" spans="8:8" x14ac:dyDescent="0.35">
      <c r="H210" s="35"/>
    </row>
    <row r="211" spans="8:8" x14ac:dyDescent="0.35">
      <c r="H211" s="35"/>
    </row>
    <row r="212" spans="8:8" x14ac:dyDescent="0.35">
      <c r="H212" s="35"/>
    </row>
    <row r="213" spans="8:8" x14ac:dyDescent="0.35">
      <c r="H213" s="35"/>
    </row>
    <row r="214" spans="8:8" x14ac:dyDescent="0.35">
      <c r="H214" s="35"/>
    </row>
    <row r="215" spans="8:8" x14ac:dyDescent="0.35">
      <c r="H215" s="35"/>
    </row>
    <row r="216" spans="8:8" x14ac:dyDescent="0.35">
      <c r="H216" s="35"/>
    </row>
    <row r="217" spans="8:8" x14ac:dyDescent="0.35">
      <c r="H217" s="35"/>
    </row>
    <row r="218" spans="8:8" x14ac:dyDescent="0.35">
      <c r="H218" s="35"/>
    </row>
    <row r="219" spans="8:8" x14ac:dyDescent="0.35">
      <c r="H219" s="35"/>
    </row>
    <row r="220" spans="8:8" x14ac:dyDescent="0.35">
      <c r="H220" s="35"/>
    </row>
    <row r="221" spans="8:8" x14ac:dyDescent="0.35">
      <c r="H221" s="35"/>
    </row>
    <row r="222" spans="8:8" x14ac:dyDescent="0.35">
      <c r="H222" s="35"/>
    </row>
    <row r="223" spans="8:8" x14ac:dyDescent="0.35">
      <c r="H223" s="35"/>
    </row>
    <row r="224" spans="8:8" x14ac:dyDescent="0.35">
      <c r="H224" s="35"/>
    </row>
    <row r="225" spans="8:8" x14ac:dyDescent="0.35">
      <c r="H225" s="35"/>
    </row>
    <row r="226" spans="8:8" x14ac:dyDescent="0.35">
      <c r="H226" s="35"/>
    </row>
    <row r="227" spans="8:8" x14ac:dyDescent="0.35">
      <c r="H227" s="35"/>
    </row>
    <row r="228" spans="8:8" x14ac:dyDescent="0.35">
      <c r="H228" s="35"/>
    </row>
    <row r="229" spans="8:8" x14ac:dyDescent="0.35">
      <c r="H229" s="35"/>
    </row>
    <row r="230" spans="8:8" x14ac:dyDescent="0.35">
      <c r="H230" s="35"/>
    </row>
    <row r="231" spans="8:8" x14ac:dyDescent="0.35">
      <c r="H231" s="35"/>
    </row>
    <row r="232" spans="8:8" x14ac:dyDescent="0.35">
      <c r="H232" s="35"/>
    </row>
    <row r="233" spans="8:8" x14ac:dyDescent="0.35">
      <c r="H233" s="35"/>
    </row>
    <row r="234" spans="8:8" x14ac:dyDescent="0.35">
      <c r="H234" s="35"/>
    </row>
    <row r="235" spans="8:8" x14ac:dyDescent="0.35">
      <c r="H235" s="35"/>
    </row>
    <row r="236" spans="8:8" x14ac:dyDescent="0.35">
      <c r="H236" s="35"/>
    </row>
    <row r="237" spans="8:8" x14ac:dyDescent="0.35">
      <c r="H237" s="35"/>
    </row>
    <row r="238" spans="8:8" x14ac:dyDescent="0.35">
      <c r="H238" s="35"/>
    </row>
    <row r="239" spans="8:8" x14ac:dyDescent="0.35">
      <c r="H239" s="35"/>
    </row>
    <row r="240" spans="8:8" x14ac:dyDescent="0.35">
      <c r="H240" s="35"/>
    </row>
    <row r="241" spans="8:8" x14ac:dyDescent="0.35">
      <c r="H241" s="35"/>
    </row>
    <row r="242" spans="8:8" x14ac:dyDescent="0.35">
      <c r="H242" s="35"/>
    </row>
    <row r="243" spans="8:8" x14ac:dyDescent="0.35">
      <c r="H243" s="35"/>
    </row>
    <row r="244" spans="8:8" x14ac:dyDescent="0.35">
      <c r="H244" s="35"/>
    </row>
    <row r="245" spans="8:8" x14ac:dyDescent="0.35">
      <c r="H245" s="35"/>
    </row>
    <row r="246" spans="8:8" x14ac:dyDescent="0.35">
      <c r="H246" s="35"/>
    </row>
    <row r="247" spans="8:8" x14ac:dyDescent="0.35">
      <c r="H247" s="35"/>
    </row>
    <row r="248" spans="8:8" x14ac:dyDescent="0.35">
      <c r="H248" s="35"/>
    </row>
    <row r="249" spans="8:8" x14ac:dyDescent="0.35">
      <c r="H249" s="35"/>
    </row>
    <row r="250" spans="8:8" x14ac:dyDescent="0.35">
      <c r="H250" s="35"/>
    </row>
    <row r="251" spans="8:8" x14ac:dyDescent="0.35">
      <c r="H251" s="35"/>
    </row>
    <row r="252" spans="8:8" x14ac:dyDescent="0.35">
      <c r="H252" s="35"/>
    </row>
    <row r="253" spans="8:8" x14ac:dyDescent="0.35">
      <c r="H253" s="35"/>
    </row>
    <row r="254" spans="8:8" x14ac:dyDescent="0.35">
      <c r="H254" s="35"/>
    </row>
    <row r="255" spans="8:8" x14ac:dyDescent="0.35">
      <c r="H255" s="35"/>
    </row>
    <row r="256" spans="8:8" x14ac:dyDescent="0.35">
      <c r="H256" s="35"/>
    </row>
    <row r="257" spans="8:8" x14ac:dyDescent="0.35">
      <c r="H257" s="35"/>
    </row>
    <row r="258" spans="8:8" x14ac:dyDescent="0.35">
      <c r="H258" s="35"/>
    </row>
    <row r="259" spans="8:8" x14ac:dyDescent="0.35">
      <c r="H259" s="35"/>
    </row>
    <row r="260" spans="8:8" x14ac:dyDescent="0.35">
      <c r="H260" s="35"/>
    </row>
    <row r="261" spans="8:8" x14ac:dyDescent="0.35">
      <c r="H261" s="35"/>
    </row>
    <row r="262" spans="8:8" x14ac:dyDescent="0.35">
      <c r="H262" s="35"/>
    </row>
    <row r="263" spans="8:8" x14ac:dyDescent="0.35">
      <c r="H263" s="35"/>
    </row>
    <row r="264" spans="8:8" x14ac:dyDescent="0.35">
      <c r="H264" s="35"/>
    </row>
    <row r="265" spans="8:8" x14ac:dyDescent="0.35">
      <c r="H265" s="35"/>
    </row>
    <row r="266" spans="8:8" x14ac:dyDescent="0.35">
      <c r="H266" s="35"/>
    </row>
    <row r="267" spans="8:8" x14ac:dyDescent="0.35">
      <c r="H267" s="35"/>
    </row>
    <row r="268" spans="8:8" x14ac:dyDescent="0.35">
      <c r="H268" s="35"/>
    </row>
    <row r="269" spans="8:8" x14ac:dyDescent="0.35">
      <c r="H269" s="35"/>
    </row>
    <row r="270" spans="8:8" x14ac:dyDescent="0.35">
      <c r="H270" s="35"/>
    </row>
    <row r="271" spans="8:8" x14ac:dyDescent="0.35">
      <c r="H271" s="35"/>
    </row>
    <row r="272" spans="8:8" x14ac:dyDescent="0.35">
      <c r="H272" s="35"/>
    </row>
    <row r="273" spans="8:8" x14ac:dyDescent="0.35">
      <c r="H273" s="35"/>
    </row>
    <row r="274" spans="8:8" x14ac:dyDescent="0.35">
      <c r="H274" s="35"/>
    </row>
    <row r="275" spans="8:8" x14ac:dyDescent="0.35">
      <c r="H275" s="35"/>
    </row>
    <row r="276" spans="8:8" x14ac:dyDescent="0.35">
      <c r="H276" s="35"/>
    </row>
    <row r="277" spans="8:8" x14ac:dyDescent="0.35">
      <c r="H277" s="35"/>
    </row>
    <row r="278" spans="8:8" x14ac:dyDescent="0.35">
      <c r="H278" s="35"/>
    </row>
    <row r="279" spans="8:8" x14ac:dyDescent="0.35">
      <c r="H279" s="35"/>
    </row>
    <row r="280" spans="8:8" x14ac:dyDescent="0.35">
      <c r="H280" s="35"/>
    </row>
    <row r="281" spans="8:8" x14ac:dyDescent="0.35">
      <c r="H281" s="35"/>
    </row>
    <row r="282" spans="8:8" x14ac:dyDescent="0.35">
      <c r="H282" s="35"/>
    </row>
    <row r="283" spans="8:8" x14ac:dyDescent="0.35">
      <c r="H283" s="35"/>
    </row>
    <row r="284" spans="8:8" x14ac:dyDescent="0.35">
      <c r="H284" s="35"/>
    </row>
    <row r="285" spans="8:8" x14ac:dyDescent="0.35">
      <c r="H285" s="35"/>
    </row>
    <row r="286" spans="8:8" x14ac:dyDescent="0.35">
      <c r="H286" s="35"/>
    </row>
    <row r="287" spans="8:8" x14ac:dyDescent="0.35">
      <c r="H287" s="35"/>
    </row>
    <row r="288" spans="8:8" x14ac:dyDescent="0.35">
      <c r="H288" s="35"/>
    </row>
    <row r="289" spans="8:8" x14ac:dyDescent="0.35">
      <c r="H289" s="35"/>
    </row>
    <row r="290" spans="8:8" x14ac:dyDescent="0.35">
      <c r="H290" s="35"/>
    </row>
    <row r="291" spans="8:8" x14ac:dyDescent="0.35">
      <c r="H291" s="35"/>
    </row>
    <row r="292" spans="8:8" x14ac:dyDescent="0.35">
      <c r="H292" s="35"/>
    </row>
    <row r="293" spans="8:8" x14ac:dyDescent="0.35">
      <c r="H293" s="35"/>
    </row>
    <row r="294" spans="8:8" x14ac:dyDescent="0.35">
      <c r="H294" s="35"/>
    </row>
    <row r="295" spans="8:8" x14ac:dyDescent="0.35">
      <c r="H295" s="35"/>
    </row>
    <row r="296" spans="8:8" x14ac:dyDescent="0.35">
      <c r="H296" s="35"/>
    </row>
    <row r="297" spans="8:8" x14ac:dyDescent="0.35">
      <c r="H297" s="35"/>
    </row>
    <row r="298" spans="8:8" x14ac:dyDescent="0.35">
      <c r="H298" s="35"/>
    </row>
    <row r="299" spans="8:8" x14ac:dyDescent="0.35">
      <c r="H299" s="35"/>
    </row>
    <row r="300" spans="8:8" x14ac:dyDescent="0.35">
      <c r="H300" s="35"/>
    </row>
    <row r="301" spans="8:8" x14ac:dyDescent="0.35">
      <c r="H301" s="35"/>
    </row>
    <row r="302" spans="8:8" x14ac:dyDescent="0.35">
      <c r="H302" s="35"/>
    </row>
    <row r="303" spans="8:8" x14ac:dyDescent="0.35">
      <c r="H303" s="35"/>
    </row>
    <row r="304" spans="8:8" x14ac:dyDescent="0.35">
      <c r="H304" s="35"/>
    </row>
    <row r="305" spans="8:8" x14ac:dyDescent="0.35">
      <c r="H305" s="35"/>
    </row>
    <row r="306" spans="8:8" x14ac:dyDescent="0.35">
      <c r="H306" s="35"/>
    </row>
    <row r="307" spans="8:8" x14ac:dyDescent="0.35">
      <c r="H307" s="35"/>
    </row>
    <row r="308" spans="8:8" x14ac:dyDescent="0.35">
      <c r="H308" s="35"/>
    </row>
    <row r="309" spans="8:8" x14ac:dyDescent="0.35">
      <c r="H309" s="35"/>
    </row>
    <row r="310" spans="8:8" x14ac:dyDescent="0.35">
      <c r="H310" s="35"/>
    </row>
    <row r="311" spans="8:8" x14ac:dyDescent="0.35">
      <c r="H311" s="35"/>
    </row>
    <row r="312" spans="8:8" x14ac:dyDescent="0.35">
      <c r="H312" s="35"/>
    </row>
    <row r="313" spans="8:8" x14ac:dyDescent="0.35">
      <c r="H313" s="35"/>
    </row>
    <row r="314" spans="8:8" x14ac:dyDescent="0.35">
      <c r="H314" s="35"/>
    </row>
    <row r="315" spans="8:8" x14ac:dyDescent="0.35">
      <c r="H315" s="35"/>
    </row>
    <row r="316" spans="8:8" x14ac:dyDescent="0.35">
      <c r="H316" s="35"/>
    </row>
    <row r="317" spans="8:8" x14ac:dyDescent="0.35">
      <c r="H317" s="35"/>
    </row>
    <row r="318" spans="8:8" x14ac:dyDescent="0.35">
      <c r="H318" s="35"/>
    </row>
    <row r="319" spans="8:8" x14ac:dyDescent="0.35">
      <c r="H319" s="35"/>
    </row>
    <row r="320" spans="8:8" x14ac:dyDescent="0.35">
      <c r="H320" s="35"/>
    </row>
    <row r="321" spans="8:8" x14ac:dyDescent="0.35">
      <c r="H321" s="35"/>
    </row>
    <row r="322" spans="8:8" x14ac:dyDescent="0.35">
      <c r="H322" s="35"/>
    </row>
    <row r="323" spans="8:8" x14ac:dyDescent="0.35">
      <c r="H323" s="35"/>
    </row>
    <row r="324" spans="8:8" x14ac:dyDescent="0.35">
      <c r="H324" s="35"/>
    </row>
    <row r="325" spans="8:8" x14ac:dyDescent="0.35">
      <c r="H325" s="35"/>
    </row>
    <row r="326" spans="8:8" x14ac:dyDescent="0.35">
      <c r="H326" s="35"/>
    </row>
    <row r="327" spans="8:8" x14ac:dyDescent="0.35">
      <c r="H327" s="35"/>
    </row>
    <row r="328" spans="8:8" x14ac:dyDescent="0.35">
      <c r="H328" s="35"/>
    </row>
    <row r="329" spans="8:8" x14ac:dyDescent="0.35">
      <c r="H329" s="35"/>
    </row>
    <row r="330" spans="8:8" x14ac:dyDescent="0.35">
      <c r="H330" s="35"/>
    </row>
    <row r="331" spans="8:8" x14ac:dyDescent="0.35">
      <c r="H331" s="35"/>
    </row>
    <row r="332" spans="8:8" x14ac:dyDescent="0.35">
      <c r="H332" s="35"/>
    </row>
    <row r="333" spans="8:8" x14ac:dyDescent="0.35">
      <c r="H333" s="35"/>
    </row>
    <row r="334" spans="8:8" x14ac:dyDescent="0.35">
      <c r="H334" s="35"/>
    </row>
    <row r="335" spans="8:8" x14ac:dyDescent="0.35">
      <c r="H335" s="35"/>
    </row>
    <row r="336" spans="8:8" x14ac:dyDescent="0.35">
      <c r="H336" s="35"/>
    </row>
    <row r="337" spans="8:8" x14ac:dyDescent="0.35">
      <c r="H337" s="35"/>
    </row>
    <row r="338" spans="8:8" x14ac:dyDescent="0.35">
      <c r="H338" s="35"/>
    </row>
    <row r="339" spans="8:8" x14ac:dyDescent="0.35">
      <c r="H339" s="35"/>
    </row>
    <row r="340" spans="8:8" x14ac:dyDescent="0.35">
      <c r="H340" s="35"/>
    </row>
    <row r="341" spans="8:8" x14ac:dyDescent="0.35">
      <c r="H341" s="35"/>
    </row>
    <row r="342" spans="8:8" x14ac:dyDescent="0.35">
      <c r="H342" s="35"/>
    </row>
    <row r="343" spans="8:8" x14ac:dyDescent="0.35">
      <c r="H343" s="35"/>
    </row>
    <row r="344" spans="8:8" x14ac:dyDescent="0.35">
      <c r="H344" s="35"/>
    </row>
    <row r="345" spans="8:8" x14ac:dyDescent="0.35">
      <c r="H345" s="35"/>
    </row>
    <row r="346" spans="8:8" x14ac:dyDescent="0.35">
      <c r="H346" s="35"/>
    </row>
    <row r="347" spans="8:8" x14ac:dyDescent="0.35">
      <c r="H347" s="35"/>
    </row>
    <row r="348" spans="8:8" x14ac:dyDescent="0.35">
      <c r="H348" s="35"/>
    </row>
    <row r="349" spans="8:8" x14ac:dyDescent="0.35">
      <c r="H349" s="35"/>
    </row>
    <row r="350" spans="8:8" x14ac:dyDescent="0.35">
      <c r="H350" s="35"/>
    </row>
    <row r="351" spans="8:8" x14ac:dyDescent="0.35">
      <c r="H351" s="35"/>
    </row>
    <row r="352" spans="8:8" x14ac:dyDescent="0.35">
      <c r="H352" s="35"/>
    </row>
    <row r="353" spans="8:8" x14ac:dyDescent="0.35">
      <c r="H353" s="35"/>
    </row>
    <row r="354" spans="8:8" x14ac:dyDescent="0.35">
      <c r="H354" s="35"/>
    </row>
    <row r="355" spans="8:8" x14ac:dyDescent="0.35">
      <c r="H355" s="35"/>
    </row>
    <row r="356" spans="8:8" x14ac:dyDescent="0.35">
      <c r="H356" s="35"/>
    </row>
    <row r="357" spans="8:8" x14ac:dyDescent="0.35">
      <c r="H357" s="35"/>
    </row>
    <row r="358" spans="8:8" x14ac:dyDescent="0.35">
      <c r="H358" s="35"/>
    </row>
    <row r="359" spans="8:8" x14ac:dyDescent="0.35">
      <c r="H359" s="35"/>
    </row>
    <row r="360" spans="8:8" x14ac:dyDescent="0.35">
      <c r="H360" s="35"/>
    </row>
    <row r="361" spans="8:8" x14ac:dyDescent="0.35">
      <c r="H361" s="35"/>
    </row>
    <row r="362" spans="8:8" x14ac:dyDescent="0.35">
      <c r="H362" s="35"/>
    </row>
    <row r="363" spans="8:8" x14ac:dyDescent="0.35">
      <c r="H363" s="35"/>
    </row>
    <row r="364" spans="8:8" x14ac:dyDescent="0.35">
      <c r="H364" s="35"/>
    </row>
    <row r="365" spans="8:8" x14ac:dyDescent="0.35">
      <c r="H365" s="35"/>
    </row>
    <row r="366" spans="8:8" x14ac:dyDescent="0.35">
      <c r="H366" s="35"/>
    </row>
    <row r="367" spans="8:8" x14ac:dyDescent="0.35">
      <c r="H367" s="35"/>
    </row>
    <row r="368" spans="8:8" x14ac:dyDescent="0.35">
      <c r="H368" s="35"/>
    </row>
    <row r="369" spans="8:8" x14ac:dyDescent="0.35">
      <c r="H369" s="35"/>
    </row>
    <row r="370" spans="8:8" x14ac:dyDescent="0.35">
      <c r="H370" s="35"/>
    </row>
    <row r="371" spans="8:8" x14ac:dyDescent="0.35">
      <c r="H371" s="35"/>
    </row>
    <row r="372" spans="8:8" x14ac:dyDescent="0.35">
      <c r="H372" s="35"/>
    </row>
    <row r="373" spans="8:8" x14ac:dyDescent="0.35">
      <c r="H373" s="35"/>
    </row>
    <row r="374" spans="8:8" x14ac:dyDescent="0.35">
      <c r="H374" s="35"/>
    </row>
    <row r="375" spans="8:8" x14ac:dyDescent="0.35">
      <c r="H375" s="35"/>
    </row>
    <row r="376" spans="8:8" x14ac:dyDescent="0.35">
      <c r="H376" s="35"/>
    </row>
    <row r="377" spans="8:8" x14ac:dyDescent="0.35">
      <c r="H377" s="35"/>
    </row>
    <row r="378" spans="8:8" x14ac:dyDescent="0.35">
      <c r="H378" s="35"/>
    </row>
    <row r="379" spans="8:8" x14ac:dyDescent="0.35">
      <c r="H379" s="35"/>
    </row>
    <row r="380" spans="8:8" x14ac:dyDescent="0.35">
      <c r="H380" s="35"/>
    </row>
    <row r="381" spans="8:8" x14ac:dyDescent="0.35">
      <c r="H381" s="35"/>
    </row>
    <row r="382" spans="8:8" x14ac:dyDescent="0.35">
      <c r="H382" s="35"/>
    </row>
    <row r="383" spans="8:8" x14ac:dyDescent="0.35">
      <c r="H383" s="35"/>
    </row>
    <row r="384" spans="8:8" x14ac:dyDescent="0.35">
      <c r="H384" s="35"/>
    </row>
    <row r="385" spans="8:8" x14ac:dyDescent="0.35">
      <c r="H385" s="35"/>
    </row>
    <row r="386" spans="8:8" x14ac:dyDescent="0.35">
      <c r="H386" s="35"/>
    </row>
    <row r="387" spans="8:8" x14ac:dyDescent="0.35">
      <c r="H387" s="35"/>
    </row>
    <row r="388" spans="8:8" x14ac:dyDescent="0.35">
      <c r="H388" s="35"/>
    </row>
    <row r="389" spans="8:8" x14ac:dyDescent="0.35">
      <c r="H389" s="35"/>
    </row>
    <row r="390" spans="8:8" x14ac:dyDescent="0.35">
      <c r="H390" s="35"/>
    </row>
    <row r="391" spans="8:8" x14ac:dyDescent="0.35">
      <c r="H391" s="35"/>
    </row>
    <row r="392" spans="8:8" x14ac:dyDescent="0.35">
      <c r="H392" s="35"/>
    </row>
    <row r="393" spans="8:8" x14ac:dyDescent="0.35">
      <c r="H393" s="35"/>
    </row>
    <row r="394" spans="8:8" x14ac:dyDescent="0.35">
      <c r="H394" s="35"/>
    </row>
    <row r="395" spans="8:8" x14ac:dyDescent="0.35">
      <c r="H395" s="35"/>
    </row>
    <row r="396" spans="8:8" x14ac:dyDescent="0.35">
      <c r="H396" s="35"/>
    </row>
    <row r="397" spans="8:8" x14ac:dyDescent="0.35">
      <c r="H397" s="35"/>
    </row>
    <row r="398" spans="8:8" x14ac:dyDescent="0.35">
      <c r="H398" s="35"/>
    </row>
    <row r="399" spans="8:8" x14ac:dyDescent="0.35">
      <c r="H399" s="35"/>
    </row>
    <row r="400" spans="8:8" x14ac:dyDescent="0.35">
      <c r="H400" s="35"/>
    </row>
    <row r="401" spans="8:8" x14ac:dyDescent="0.35">
      <c r="H401" s="35"/>
    </row>
    <row r="402" spans="8:8" x14ac:dyDescent="0.35">
      <c r="H402" s="35"/>
    </row>
    <row r="403" spans="8:8" x14ac:dyDescent="0.35">
      <c r="H403" s="35"/>
    </row>
    <row r="404" spans="8:8" x14ac:dyDescent="0.35">
      <c r="H404" s="35"/>
    </row>
    <row r="405" spans="8:8" x14ac:dyDescent="0.35">
      <c r="H405" s="35"/>
    </row>
    <row r="406" spans="8:8" x14ac:dyDescent="0.35">
      <c r="H406" s="35"/>
    </row>
    <row r="407" spans="8:8" x14ac:dyDescent="0.35">
      <c r="H407" s="35"/>
    </row>
    <row r="408" spans="8:8" x14ac:dyDescent="0.35">
      <c r="H408" s="35"/>
    </row>
    <row r="409" spans="8:8" x14ac:dyDescent="0.35">
      <c r="H409" s="35"/>
    </row>
    <row r="410" spans="8:8" x14ac:dyDescent="0.35">
      <c r="H410" s="35"/>
    </row>
    <row r="411" spans="8:8" x14ac:dyDescent="0.35">
      <c r="H411" s="35"/>
    </row>
    <row r="412" spans="8:8" x14ac:dyDescent="0.35">
      <c r="H412" s="35"/>
    </row>
    <row r="413" spans="8:8" x14ac:dyDescent="0.35">
      <c r="H413" s="35"/>
    </row>
    <row r="414" spans="8:8" x14ac:dyDescent="0.35">
      <c r="H414" s="35"/>
    </row>
    <row r="415" spans="8:8" x14ac:dyDescent="0.35">
      <c r="H415" s="35"/>
    </row>
    <row r="416" spans="8:8" x14ac:dyDescent="0.35">
      <c r="H416" s="35"/>
    </row>
    <row r="417" spans="8:8" x14ac:dyDescent="0.35">
      <c r="H417" s="35"/>
    </row>
    <row r="418" spans="8:8" x14ac:dyDescent="0.35">
      <c r="H418" s="35"/>
    </row>
    <row r="419" spans="8:8" x14ac:dyDescent="0.35">
      <c r="H419" s="35"/>
    </row>
    <row r="420" spans="8:8" x14ac:dyDescent="0.35">
      <c r="H420" s="35"/>
    </row>
    <row r="421" spans="8:8" x14ac:dyDescent="0.35">
      <c r="H421" s="35"/>
    </row>
    <row r="422" spans="8:8" x14ac:dyDescent="0.35">
      <c r="H422" s="35"/>
    </row>
    <row r="423" spans="8:8" x14ac:dyDescent="0.35">
      <c r="H423" s="35"/>
    </row>
    <row r="424" spans="8:8" x14ac:dyDescent="0.35">
      <c r="H424" s="35"/>
    </row>
    <row r="425" spans="8:8" x14ac:dyDescent="0.35">
      <c r="H425" s="35"/>
    </row>
    <row r="426" spans="8:8" x14ac:dyDescent="0.35">
      <c r="H426" s="35"/>
    </row>
    <row r="427" spans="8:8" x14ac:dyDescent="0.35">
      <c r="H427" s="35"/>
    </row>
    <row r="428" spans="8:8" x14ac:dyDescent="0.35">
      <c r="H428" s="35"/>
    </row>
    <row r="429" spans="8:8" x14ac:dyDescent="0.35">
      <c r="H429" s="35"/>
    </row>
    <row r="430" spans="8:8" x14ac:dyDescent="0.35">
      <c r="H430" s="35"/>
    </row>
    <row r="431" spans="8:8" x14ac:dyDescent="0.35">
      <c r="H431" s="35"/>
    </row>
    <row r="432" spans="8:8" x14ac:dyDescent="0.35">
      <c r="H432" s="35"/>
    </row>
    <row r="433" spans="8:8" x14ac:dyDescent="0.35">
      <c r="H433" s="35"/>
    </row>
    <row r="434" spans="8:8" x14ac:dyDescent="0.35">
      <c r="H434" s="35"/>
    </row>
    <row r="435" spans="8:8" x14ac:dyDescent="0.35">
      <c r="H435" s="35"/>
    </row>
    <row r="436" spans="8:8" x14ac:dyDescent="0.35">
      <c r="H436" s="35"/>
    </row>
    <row r="437" spans="8:8" x14ac:dyDescent="0.35">
      <c r="H437" s="35"/>
    </row>
    <row r="438" spans="8:8" x14ac:dyDescent="0.35">
      <c r="H438" s="35"/>
    </row>
    <row r="439" spans="8:8" x14ac:dyDescent="0.35">
      <c r="H439" s="35"/>
    </row>
    <row r="440" spans="8:8" x14ac:dyDescent="0.35">
      <c r="H440" s="35"/>
    </row>
    <row r="441" spans="8:8" x14ac:dyDescent="0.35">
      <c r="H441" s="35"/>
    </row>
    <row r="442" spans="8:8" x14ac:dyDescent="0.35">
      <c r="H442" s="35"/>
    </row>
    <row r="443" spans="8:8" x14ac:dyDescent="0.35">
      <c r="H443" s="35"/>
    </row>
    <row r="444" spans="8:8" x14ac:dyDescent="0.35">
      <c r="H444" s="35"/>
    </row>
    <row r="445" spans="8:8" x14ac:dyDescent="0.35">
      <c r="H445" s="35"/>
    </row>
    <row r="446" spans="8:8" x14ac:dyDescent="0.35">
      <c r="H446" s="35"/>
    </row>
    <row r="447" spans="8:8" x14ac:dyDescent="0.35">
      <c r="H447" s="35"/>
    </row>
    <row r="448" spans="8:8" x14ac:dyDescent="0.35">
      <c r="H448" s="35"/>
    </row>
    <row r="449" spans="8:8" x14ac:dyDescent="0.35">
      <c r="H449" s="35"/>
    </row>
    <row r="450" spans="8:8" x14ac:dyDescent="0.35">
      <c r="H450" s="35"/>
    </row>
    <row r="451" spans="8:8" x14ac:dyDescent="0.35">
      <c r="H451" s="35"/>
    </row>
    <row r="452" spans="8:8" x14ac:dyDescent="0.35">
      <c r="H452" s="35"/>
    </row>
    <row r="453" spans="8:8" x14ac:dyDescent="0.35">
      <c r="H453" s="35"/>
    </row>
    <row r="454" spans="8:8" x14ac:dyDescent="0.35">
      <c r="H454" s="35"/>
    </row>
    <row r="455" spans="8:8" x14ac:dyDescent="0.35">
      <c r="H455" s="35"/>
    </row>
    <row r="456" spans="8:8" x14ac:dyDescent="0.35">
      <c r="H456" s="35"/>
    </row>
    <row r="457" spans="8:8" x14ac:dyDescent="0.35">
      <c r="H457" s="35"/>
    </row>
    <row r="458" spans="8:8" x14ac:dyDescent="0.35">
      <c r="H458" s="35"/>
    </row>
    <row r="459" spans="8:8" x14ac:dyDescent="0.35">
      <c r="H459" s="35"/>
    </row>
    <row r="460" spans="8:8" x14ac:dyDescent="0.35">
      <c r="H460" s="35"/>
    </row>
    <row r="461" spans="8:8" x14ac:dyDescent="0.35">
      <c r="H461" s="35"/>
    </row>
    <row r="462" spans="8:8" x14ac:dyDescent="0.35">
      <c r="H462" s="35"/>
    </row>
    <row r="463" spans="8:8" x14ac:dyDescent="0.35">
      <c r="H463" s="35"/>
    </row>
    <row r="464" spans="8:8" x14ac:dyDescent="0.35">
      <c r="H464" s="35"/>
    </row>
    <row r="465" spans="8:8" x14ac:dyDescent="0.35">
      <c r="H465" s="35"/>
    </row>
    <row r="466" spans="8:8" x14ac:dyDescent="0.35">
      <c r="H466" s="35"/>
    </row>
    <row r="467" spans="8:8" x14ac:dyDescent="0.35">
      <c r="H467" s="35"/>
    </row>
    <row r="468" spans="8:8" x14ac:dyDescent="0.35">
      <c r="H468" s="35"/>
    </row>
    <row r="469" spans="8:8" x14ac:dyDescent="0.35">
      <c r="H469" s="35"/>
    </row>
    <row r="470" spans="8:8" x14ac:dyDescent="0.35">
      <c r="H470" s="35"/>
    </row>
    <row r="471" spans="8:8" x14ac:dyDescent="0.35">
      <c r="H471" s="35"/>
    </row>
    <row r="472" spans="8:8" x14ac:dyDescent="0.35">
      <c r="H472" s="35"/>
    </row>
    <row r="473" spans="8:8" x14ac:dyDescent="0.35">
      <c r="H473" s="35"/>
    </row>
    <row r="474" spans="8:8" x14ac:dyDescent="0.35">
      <c r="H474" s="35"/>
    </row>
    <row r="475" spans="8:8" x14ac:dyDescent="0.35">
      <c r="H475" s="35"/>
    </row>
    <row r="476" spans="8:8" x14ac:dyDescent="0.35">
      <c r="H476" s="35"/>
    </row>
    <row r="477" spans="8:8" x14ac:dyDescent="0.35">
      <c r="H477" s="35"/>
    </row>
    <row r="478" spans="8:8" x14ac:dyDescent="0.35">
      <c r="H478" s="35"/>
    </row>
    <row r="479" spans="8:8" x14ac:dyDescent="0.35">
      <c r="H479" s="35"/>
    </row>
    <row r="480" spans="8:8" x14ac:dyDescent="0.35">
      <c r="H480" s="35"/>
    </row>
    <row r="481" spans="8:8" x14ac:dyDescent="0.35">
      <c r="H481" s="35"/>
    </row>
    <row r="482" spans="8:8" x14ac:dyDescent="0.35">
      <c r="H482" s="35"/>
    </row>
    <row r="483" spans="8:8" x14ac:dyDescent="0.35">
      <c r="H483" s="35"/>
    </row>
    <row r="484" spans="8:8" x14ac:dyDescent="0.35">
      <c r="H484" s="35"/>
    </row>
    <row r="485" spans="8:8" x14ac:dyDescent="0.35">
      <c r="H485" s="35"/>
    </row>
    <row r="486" spans="8:8" x14ac:dyDescent="0.35">
      <c r="H486" s="35"/>
    </row>
    <row r="487" spans="8:8" x14ac:dyDescent="0.35">
      <c r="H487" s="35"/>
    </row>
    <row r="488" spans="8:8" x14ac:dyDescent="0.35">
      <c r="H488" s="35"/>
    </row>
    <row r="489" spans="8:8" x14ac:dyDescent="0.35">
      <c r="H489" s="35"/>
    </row>
    <row r="490" spans="8:8" x14ac:dyDescent="0.35">
      <c r="H490" s="35"/>
    </row>
    <row r="491" spans="8:8" x14ac:dyDescent="0.35">
      <c r="H491" s="35"/>
    </row>
    <row r="492" spans="8:8" x14ac:dyDescent="0.35">
      <c r="H492" s="35"/>
    </row>
    <row r="493" spans="8:8" x14ac:dyDescent="0.35">
      <c r="H493" s="35"/>
    </row>
    <row r="494" spans="8:8" x14ac:dyDescent="0.35">
      <c r="H494" s="35"/>
    </row>
    <row r="495" spans="8:8" x14ac:dyDescent="0.35">
      <c r="H495" s="35"/>
    </row>
    <row r="496" spans="8:8" x14ac:dyDescent="0.35">
      <c r="H496" s="35"/>
    </row>
    <row r="497" spans="8:8" x14ac:dyDescent="0.35">
      <c r="H497" s="35"/>
    </row>
    <row r="498" spans="8:8" x14ac:dyDescent="0.35">
      <c r="H498" s="35"/>
    </row>
    <row r="499" spans="8:8" x14ac:dyDescent="0.35">
      <c r="H499" s="35"/>
    </row>
    <row r="500" spans="8:8" x14ac:dyDescent="0.35">
      <c r="H500" s="35"/>
    </row>
    <row r="501" spans="8:8" x14ac:dyDescent="0.35">
      <c r="H501" s="35"/>
    </row>
    <row r="502" spans="8:8" x14ac:dyDescent="0.35">
      <c r="H502" s="35"/>
    </row>
    <row r="503" spans="8:8" x14ac:dyDescent="0.35">
      <c r="H503" s="35"/>
    </row>
    <row r="504" spans="8:8" x14ac:dyDescent="0.35">
      <c r="H504" s="35"/>
    </row>
    <row r="505" spans="8:8" x14ac:dyDescent="0.35">
      <c r="H505" s="35"/>
    </row>
    <row r="506" spans="8:8" x14ac:dyDescent="0.35">
      <c r="H506" s="35"/>
    </row>
    <row r="507" spans="8:8" x14ac:dyDescent="0.35">
      <c r="H507" s="35"/>
    </row>
    <row r="508" spans="8:8" x14ac:dyDescent="0.35">
      <c r="H508" s="35"/>
    </row>
    <row r="509" spans="8:8" x14ac:dyDescent="0.35">
      <c r="H509" s="35"/>
    </row>
    <row r="510" spans="8:8" x14ac:dyDescent="0.35">
      <c r="H510" s="35"/>
    </row>
    <row r="511" spans="8:8" x14ac:dyDescent="0.35">
      <c r="H511" s="35"/>
    </row>
    <row r="512" spans="8:8" x14ac:dyDescent="0.35">
      <c r="H512" s="35"/>
    </row>
    <row r="513" spans="8:8" x14ac:dyDescent="0.35">
      <c r="H513" s="35"/>
    </row>
    <row r="514" spans="8:8" x14ac:dyDescent="0.35">
      <c r="H514" s="35"/>
    </row>
    <row r="515" spans="8:8" x14ac:dyDescent="0.35">
      <c r="H515" s="35"/>
    </row>
    <row r="516" spans="8:8" x14ac:dyDescent="0.35">
      <c r="H516" s="35"/>
    </row>
    <row r="517" spans="8:8" x14ac:dyDescent="0.35">
      <c r="H517" s="35"/>
    </row>
    <row r="518" spans="8:8" x14ac:dyDescent="0.35">
      <c r="H518" s="35"/>
    </row>
    <row r="519" spans="8:8" x14ac:dyDescent="0.35">
      <c r="H519" s="35"/>
    </row>
    <row r="520" spans="8:8" x14ac:dyDescent="0.35">
      <c r="H520" s="35"/>
    </row>
    <row r="521" spans="8:8" x14ac:dyDescent="0.35">
      <c r="H521" s="35"/>
    </row>
    <row r="522" spans="8:8" x14ac:dyDescent="0.35">
      <c r="H522" s="35"/>
    </row>
    <row r="523" spans="8:8" x14ac:dyDescent="0.35">
      <c r="H523" s="35"/>
    </row>
    <row r="524" spans="8:8" x14ac:dyDescent="0.35">
      <c r="H524" s="35"/>
    </row>
    <row r="525" spans="8:8" x14ac:dyDescent="0.35">
      <c r="H525" s="35"/>
    </row>
    <row r="526" spans="8:8" x14ac:dyDescent="0.35">
      <c r="H526" s="35"/>
    </row>
    <row r="527" spans="8:8" x14ac:dyDescent="0.35">
      <c r="H527" s="35"/>
    </row>
    <row r="528" spans="8:8" x14ac:dyDescent="0.35">
      <c r="H528" s="35"/>
    </row>
    <row r="529" spans="8:8" x14ac:dyDescent="0.35">
      <c r="H529" s="35"/>
    </row>
    <row r="530" spans="8:8" x14ac:dyDescent="0.35">
      <c r="H530" s="35"/>
    </row>
    <row r="531" spans="8:8" x14ac:dyDescent="0.35">
      <c r="H531" s="35"/>
    </row>
    <row r="532" spans="8:8" x14ac:dyDescent="0.35">
      <c r="H532" s="35"/>
    </row>
    <row r="533" spans="8:8" x14ac:dyDescent="0.35">
      <c r="H533" s="35"/>
    </row>
    <row r="534" spans="8:8" x14ac:dyDescent="0.35">
      <c r="H534" s="35"/>
    </row>
    <row r="535" spans="8:8" x14ac:dyDescent="0.35">
      <c r="H535" s="35"/>
    </row>
    <row r="536" spans="8:8" x14ac:dyDescent="0.35">
      <c r="H536" s="35"/>
    </row>
    <row r="537" spans="8:8" x14ac:dyDescent="0.35">
      <c r="H537" s="35"/>
    </row>
    <row r="538" spans="8:8" x14ac:dyDescent="0.35">
      <c r="H538" s="35"/>
    </row>
    <row r="539" spans="8:8" x14ac:dyDescent="0.35">
      <c r="H539" s="35"/>
    </row>
    <row r="540" spans="8:8" x14ac:dyDescent="0.35">
      <c r="H540" s="35"/>
    </row>
    <row r="541" spans="8:8" x14ac:dyDescent="0.35">
      <c r="H541" s="35"/>
    </row>
    <row r="542" spans="8:8" x14ac:dyDescent="0.35">
      <c r="H542" s="35"/>
    </row>
    <row r="543" spans="8:8" x14ac:dyDescent="0.35">
      <c r="H543" s="35"/>
    </row>
    <row r="544" spans="8:8" x14ac:dyDescent="0.35">
      <c r="H544" s="35"/>
    </row>
    <row r="545" spans="8:8" x14ac:dyDescent="0.35">
      <c r="H545" s="35"/>
    </row>
    <row r="546" spans="8:8" x14ac:dyDescent="0.35">
      <c r="H546" s="35"/>
    </row>
    <row r="547" spans="8:8" x14ac:dyDescent="0.35">
      <c r="H547" s="35"/>
    </row>
    <row r="548" spans="8:8" x14ac:dyDescent="0.35">
      <c r="H548" s="35"/>
    </row>
    <row r="549" spans="8:8" x14ac:dyDescent="0.35">
      <c r="H549" s="35"/>
    </row>
    <row r="550" spans="8:8" x14ac:dyDescent="0.35">
      <c r="H550" s="35"/>
    </row>
    <row r="551" spans="8:8" x14ac:dyDescent="0.35">
      <c r="H551" s="35"/>
    </row>
    <row r="552" spans="8:8" x14ac:dyDescent="0.35">
      <c r="H552" s="35"/>
    </row>
    <row r="553" spans="8:8" x14ac:dyDescent="0.35">
      <c r="H553" s="35"/>
    </row>
    <row r="554" spans="8:8" x14ac:dyDescent="0.35">
      <c r="H554" s="35"/>
    </row>
    <row r="555" spans="8:8" x14ac:dyDescent="0.35">
      <c r="H555" s="35"/>
    </row>
    <row r="556" spans="8:8" x14ac:dyDescent="0.35">
      <c r="H556" s="35"/>
    </row>
    <row r="557" spans="8:8" x14ac:dyDescent="0.35">
      <c r="H557" s="35"/>
    </row>
    <row r="558" spans="8:8" x14ac:dyDescent="0.35">
      <c r="H558" s="35"/>
    </row>
    <row r="559" spans="8:8" x14ac:dyDescent="0.35">
      <c r="H559" s="35"/>
    </row>
    <row r="560" spans="8:8" x14ac:dyDescent="0.35">
      <c r="H560" s="35"/>
    </row>
    <row r="561" spans="8:8" x14ac:dyDescent="0.35">
      <c r="H561" s="35"/>
    </row>
    <row r="562" spans="8:8" x14ac:dyDescent="0.35">
      <c r="H562" s="35"/>
    </row>
    <row r="563" spans="8:8" x14ac:dyDescent="0.35">
      <c r="H563" s="35"/>
    </row>
    <row r="564" spans="8:8" x14ac:dyDescent="0.35">
      <c r="H564" s="35"/>
    </row>
    <row r="565" spans="8:8" x14ac:dyDescent="0.35">
      <c r="H565" s="35"/>
    </row>
    <row r="566" spans="8:8" x14ac:dyDescent="0.35">
      <c r="H566" s="35"/>
    </row>
    <row r="567" spans="8:8" x14ac:dyDescent="0.35">
      <c r="H567" s="35"/>
    </row>
    <row r="568" spans="8:8" x14ac:dyDescent="0.35">
      <c r="H568" s="35"/>
    </row>
    <row r="569" spans="8:8" x14ac:dyDescent="0.35">
      <c r="H569" s="35"/>
    </row>
    <row r="570" spans="8:8" x14ac:dyDescent="0.35">
      <c r="H570" s="35"/>
    </row>
    <row r="571" spans="8:8" x14ac:dyDescent="0.35">
      <c r="H571" s="35"/>
    </row>
    <row r="572" spans="8:8" x14ac:dyDescent="0.35">
      <c r="H572" s="35"/>
    </row>
    <row r="573" spans="8:8" x14ac:dyDescent="0.35">
      <c r="H573" s="35"/>
    </row>
    <row r="574" spans="8:8" x14ac:dyDescent="0.35">
      <c r="H574" s="35"/>
    </row>
    <row r="575" spans="8:8" x14ac:dyDescent="0.35">
      <c r="H575" s="35"/>
    </row>
    <row r="576" spans="8:8" x14ac:dyDescent="0.35">
      <c r="H576" s="35"/>
    </row>
    <row r="577" spans="8:8" x14ac:dyDescent="0.35">
      <c r="H577" s="35"/>
    </row>
    <row r="578" spans="8:8" x14ac:dyDescent="0.35">
      <c r="H578" s="35"/>
    </row>
    <row r="579" spans="8:8" x14ac:dyDescent="0.35">
      <c r="H579" s="35"/>
    </row>
    <row r="580" spans="8:8" x14ac:dyDescent="0.35">
      <c r="H580" s="35"/>
    </row>
    <row r="581" spans="8:8" x14ac:dyDescent="0.35">
      <c r="H581" s="35"/>
    </row>
    <row r="582" spans="8:8" x14ac:dyDescent="0.35">
      <c r="H582" s="35"/>
    </row>
    <row r="583" spans="8:8" x14ac:dyDescent="0.35">
      <c r="H583" s="35"/>
    </row>
    <row r="584" spans="8:8" x14ac:dyDescent="0.35">
      <c r="H584" s="35"/>
    </row>
    <row r="585" spans="8:8" x14ac:dyDescent="0.35">
      <c r="H585" s="35"/>
    </row>
    <row r="586" spans="8:8" x14ac:dyDescent="0.35">
      <c r="H586" s="35"/>
    </row>
    <row r="587" spans="8:8" x14ac:dyDescent="0.35">
      <c r="H587" s="35"/>
    </row>
    <row r="588" spans="8:8" x14ac:dyDescent="0.35">
      <c r="H588" s="35"/>
    </row>
    <row r="589" spans="8:8" x14ac:dyDescent="0.35">
      <c r="H589" s="35"/>
    </row>
    <row r="590" spans="8:8" x14ac:dyDescent="0.35">
      <c r="H590" s="35"/>
    </row>
    <row r="591" spans="8:8" x14ac:dyDescent="0.35">
      <c r="H591" s="35"/>
    </row>
    <row r="592" spans="8:8" x14ac:dyDescent="0.35">
      <c r="H592" s="35"/>
    </row>
    <row r="593" spans="8:8" x14ac:dyDescent="0.35">
      <c r="H593" s="35"/>
    </row>
    <row r="594" spans="8:8" x14ac:dyDescent="0.35">
      <c r="H594" s="35"/>
    </row>
    <row r="595" spans="8:8" x14ac:dyDescent="0.35">
      <c r="H595" s="35"/>
    </row>
    <row r="596" spans="8:8" x14ac:dyDescent="0.35">
      <c r="H596" s="35"/>
    </row>
    <row r="597" spans="8:8" x14ac:dyDescent="0.35">
      <c r="H597" s="35"/>
    </row>
    <row r="598" spans="8:8" x14ac:dyDescent="0.35">
      <c r="H598" s="35"/>
    </row>
    <row r="599" spans="8:8" x14ac:dyDescent="0.35">
      <c r="H599" s="35"/>
    </row>
    <row r="600" spans="8:8" x14ac:dyDescent="0.35">
      <c r="H600" s="35"/>
    </row>
    <row r="601" spans="8:8" x14ac:dyDescent="0.35">
      <c r="H601" s="35"/>
    </row>
    <row r="602" spans="8:8" x14ac:dyDescent="0.35">
      <c r="H602" s="35"/>
    </row>
    <row r="603" spans="8:8" x14ac:dyDescent="0.35">
      <c r="H603" s="35"/>
    </row>
    <row r="604" spans="8:8" x14ac:dyDescent="0.35">
      <c r="H604" s="35"/>
    </row>
    <row r="605" spans="8:8" x14ac:dyDescent="0.35">
      <c r="H605" s="35"/>
    </row>
    <row r="606" spans="8:8" x14ac:dyDescent="0.35">
      <c r="H606" s="35"/>
    </row>
    <row r="607" spans="8:8" x14ac:dyDescent="0.35">
      <c r="H607" s="35"/>
    </row>
    <row r="608" spans="8:8" x14ac:dyDescent="0.35">
      <c r="H608" s="35"/>
    </row>
    <row r="609" spans="8:8" x14ac:dyDescent="0.35">
      <c r="H609" s="35"/>
    </row>
    <row r="610" spans="8:8" x14ac:dyDescent="0.35">
      <c r="H610" s="35"/>
    </row>
    <row r="611" spans="8:8" x14ac:dyDescent="0.35">
      <c r="H611" s="35"/>
    </row>
    <row r="612" spans="8:8" x14ac:dyDescent="0.35">
      <c r="H612" s="35"/>
    </row>
    <row r="613" spans="8:8" x14ac:dyDescent="0.35">
      <c r="H613" s="35"/>
    </row>
    <row r="614" spans="8:8" x14ac:dyDescent="0.35">
      <c r="H614" s="35"/>
    </row>
    <row r="615" spans="8:8" x14ac:dyDescent="0.35">
      <c r="H615" s="35"/>
    </row>
    <row r="616" spans="8:8" x14ac:dyDescent="0.35">
      <c r="H616" s="35"/>
    </row>
    <row r="617" spans="8:8" x14ac:dyDescent="0.35">
      <c r="H617" s="35"/>
    </row>
    <row r="618" spans="8:8" x14ac:dyDescent="0.35">
      <c r="H618" s="35"/>
    </row>
    <row r="619" spans="8:8" x14ac:dyDescent="0.35">
      <c r="H619" s="35"/>
    </row>
    <row r="620" spans="8:8" x14ac:dyDescent="0.35">
      <c r="H620" s="35"/>
    </row>
    <row r="621" spans="8:8" x14ac:dyDescent="0.35">
      <c r="H621" s="35"/>
    </row>
    <row r="622" spans="8:8" x14ac:dyDescent="0.35">
      <c r="H622" s="35"/>
    </row>
    <row r="623" spans="8:8" x14ac:dyDescent="0.35">
      <c r="H623" s="35"/>
    </row>
    <row r="624" spans="8:8" x14ac:dyDescent="0.35">
      <c r="H624" s="35"/>
    </row>
    <row r="625" spans="8:8" x14ac:dyDescent="0.35">
      <c r="H625" s="35"/>
    </row>
    <row r="626" spans="8:8" x14ac:dyDescent="0.35">
      <c r="H626" s="35"/>
    </row>
    <row r="627" spans="8:8" x14ac:dyDescent="0.35">
      <c r="H627" s="35"/>
    </row>
    <row r="628" spans="8:8" x14ac:dyDescent="0.35">
      <c r="H628" s="35"/>
    </row>
    <row r="629" spans="8:8" x14ac:dyDescent="0.35">
      <c r="H629" s="35"/>
    </row>
    <row r="630" spans="8:8" x14ac:dyDescent="0.35">
      <c r="H630" s="35"/>
    </row>
    <row r="631" spans="8:8" x14ac:dyDescent="0.35">
      <c r="H631" s="35"/>
    </row>
    <row r="632" spans="8:8" x14ac:dyDescent="0.35">
      <c r="H632" s="35"/>
    </row>
    <row r="633" spans="8:8" x14ac:dyDescent="0.35">
      <c r="H633" s="35"/>
    </row>
    <row r="634" spans="8:8" x14ac:dyDescent="0.35">
      <c r="H634" s="35"/>
    </row>
    <row r="635" spans="8:8" x14ac:dyDescent="0.35">
      <c r="H635" s="35"/>
    </row>
    <row r="636" spans="8:8" x14ac:dyDescent="0.35">
      <c r="H636" s="35"/>
    </row>
    <row r="637" spans="8:8" x14ac:dyDescent="0.35">
      <c r="H637" s="35"/>
    </row>
    <row r="638" spans="8:8" x14ac:dyDescent="0.35">
      <c r="H638" s="35"/>
    </row>
    <row r="639" spans="8:8" x14ac:dyDescent="0.35">
      <c r="H639" s="35"/>
    </row>
    <row r="640" spans="8:8" x14ac:dyDescent="0.35">
      <c r="H640" s="35"/>
    </row>
    <row r="641" spans="8:8" x14ac:dyDescent="0.35">
      <c r="H641" s="35"/>
    </row>
    <row r="642" spans="8:8" x14ac:dyDescent="0.35">
      <c r="H642" s="35"/>
    </row>
    <row r="643" spans="8:8" x14ac:dyDescent="0.35">
      <c r="H643" s="35"/>
    </row>
    <row r="644" spans="8:8" x14ac:dyDescent="0.35">
      <c r="H644" s="35"/>
    </row>
    <row r="645" spans="8:8" x14ac:dyDescent="0.35">
      <c r="H645" s="35"/>
    </row>
    <row r="646" spans="8:8" x14ac:dyDescent="0.35">
      <c r="H646" s="35"/>
    </row>
    <row r="647" spans="8:8" x14ac:dyDescent="0.35">
      <c r="H647" s="35"/>
    </row>
    <row r="648" spans="8:8" x14ac:dyDescent="0.35">
      <c r="H648" s="35"/>
    </row>
    <row r="649" spans="8:8" x14ac:dyDescent="0.35">
      <c r="H649" s="35"/>
    </row>
    <row r="650" spans="8:8" x14ac:dyDescent="0.35">
      <c r="H650" s="35"/>
    </row>
    <row r="651" spans="8:8" x14ac:dyDescent="0.35">
      <c r="H651" s="35"/>
    </row>
    <row r="652" spans="8:8" x14ac:dyDescent="0.35">
      <c r="H652" s="35"/>
    </row>
    <row r="653" spans="8:8" x14ac:dyDescent="0.35">
      <c r="H653" s="35"/>
    </row>
    <row r="654" spans="8:8" x14ac:dyDescent="0.35">
      <c r="H654" s="35"/>
    </row>
    <row r="655" spans="8:8" x14ac:dyDescent="0.35">
      <c r="H655" s="35"/>
    </row>
    <row r="656" spans="8:8" x14ac:dyDescent="0.35">
      <c r="H656" s="35"/>
    </row>
    <row r="657" spans="8:8" x14ac:dyDescent="0.35">
      <c r="H657" s="35"/>
    </row>
    <row r="658" spans="8:8" x14ac:dyDescent="0.35">
      <c r="H658" s="35"/>
    </row>
    <row r="659" spans="8:8" x14ac:dyDescent="0.35">
      <c r="H659" s="35"/>
    </row>
    <row r="660" spans="8:8" x14ac:dyDescent="0.35">
      <c r="H660" s="35"/>
    </row>
    <row r="661" spans="8:8" x14ac:dyDescent="0.35">
      <c r="H661" s="35"/>
    </row>
    <row r="662" spans="8:8" x14ac:dyDescent="0.35">
      <c r="H662" s="35"/>
    </row>
    <row r="663" spans="8:8" x14ac:dyDescent="0.35">
      <c r="H663" s="35"/>
    </row>
    <row r="664" spans="8:8" x14ac:dyDescent="0.35">
      <c r="H664" s="35"/>
    </row>
    <row r="665" spans="8:8" x14ac:dyDescent="0.35">
      <c r="H665" s="35"/>
    </row>
    <row r="666" spans="8:8" x14ac:dyDescent="0.35">
      <c r="H666" s="35"/>
    </row>
    <row r="667" spans="8:8" x14ac:dyDescent="0.35">
      <c r="H667" s="35"/>
    </row>
    <row r="668" spans="8:8" x14ac:dyDescent="0.35">
      <c r="H668" s="35"/>
    </row>
    <row r="669" spans="8:8" x14ac:dyDescent="0.35">
      <c r="H669" s="35"/>
    </row>
    <row r="670" spans="8:8" x14ac:dyDescent="0.35">
      <c r="H670" s="35"/>
    </row>
    <row r="671" spans="8:8" x14ac:dyDescent="0.35">
      <c r="H671" s="35"/>
    </row>
    <row r="672" spans="8:8" x14ac:dyDescent="0.35">
      <c r="H672" s="35"/>
    </row>
    <row r="673" spans="8:8" x14ac:dyDescent="0.35">
      <c r="H673" s="35"/>
    </row>
    <row r="674" spans="8:8" x14ac:dyDescent="0.35">
      <c r="H674" s="35"/>
    </row>
    <row r="675" spans="8:8" x14ac:dyDescent="0.35">
      <c r="H675" s="35"/>
    </row>
    <row r="676" spans="8:8" x14ac:dyDescent="0.35">
      <c r="H676" s="35"/>
    </row>
    <row r="677" spans="8:8" x14ac:dyDescent="0.35">
      <c r="H677" s="35"/>
    </row>
    <row r="678" spans="8:8" x14ac:dyDescent="0.35">
      <c r="H678" s="35"/>
    </row>
    <row r="679" spans="8:8" x14ac:dyDescent="0.35">
      <c r="H679" s="35"/>
    </row>
    <row r="680" spans="8:8" x14ac:dyDescent="0.35">
      <c r="H680" s="35"/>
    </row>
    <row r="681" spans="8:8" x14ac:dyDescent="0.35">
      <c r="H681" s="35"/>
    </row>
    <row r="682" spans="8:8" x14ac:dyDescent="0.35">
      <c r="H682" s="35"/>
    </row>
    <row r="683" spans="8:8" x14ac:dyDescent="0.35">
      <c r="H683" s="35"/>
    </row>
    <row r="684" spans="8:8" x14ac:dyDescent="0.35">
      <c r="H684" s="35"/>
    </row>
    <row r="685" spans="8:8" x14ac:dyDescent="0.35">
      <c r="H685" s="35"/>
    </row>
    <row r="686" spans="8:8" x14ac:dyDescent="0.35">
      <c r="H686" s="35"/>
    </row>
    <row r="687" spans="8:8" x14ac:dyDescent="0.35">
      <c r="H687" s="35"/>
    </row>
    <row r="688" spans="8:8" x14ac:dyDescent="0.35">
      <c r="H688" s="35"/>
    </row>
    <row r="689" spans="8:8" x14ac:dyDescent="0.35">
      <c r="H689" s="35"/>
    </row>
    <row r="690" spans="8:8" x14ac:dyDescent="0.35">
      <c r="H690" s="35"/>
    </row>
    <row r="691" spans="8:8" x14ac:dyDescent="0.35">
      <c r="H691" s="35"/>
    </row>
    <row r="692" spans="8:8" x14ac:dyDescent="0.35">
      <c r="H692" s="35"/>
    </row>
    <row r="693" spans="8:8" x14ac:dyDescent="0.35">
      <c r="H693" s="35"/>
    </row>
    <row r="694" spans="8:8" x14ac:dyDescent="0.35">
      <c r="H694" s="35"/>
    </row>
    <row r="695" spans="8:8" x14ac:dyDescent="0.35">
      <c r="H695" s="35"/>
    </row>
    <row r="696" spans="8:8" x14ac:dyDescent="0.35">
      <c r="H696" s="35"/>
    </row>
    <row r="697" spans="8:8" x14ac:dyDescent="0.35">
      <c r="H697" s="35"/>
    </row>
    <row r="698" spans="8:8" x14ac:dyDescent="0.35">
      <c r="H698" s="35"/>
    </row>
    <row r="699" spans="8:8" x14ac:dyDescent="0.35">
      <c r="H699" s="35"/>
    </row>
    <row r="700" spans="8:8" x14ac:dyDescent="0.35">
      <c r="H700" s="35"/>
    </row>
    <row r="701" spans="8:8" x14ac:dyDescent="0.35">
      <c r="H701" s="35"/>
    </row>
    <row r="702" spans="8:8" x14ac:dyDescent="0.35">
      <c r="H702" s="35"/>
    </row>
    <row r="703" spans="8:8" x14ac:dyDescent="0.35">
      <c r="H703" s="35"/>
    </row>
    <row r="704" spans="8:8" x14ac:dyDescent="0.35">
      <c r="H704" s="35"/>
    </row>
    <row r="705" spans="8:8" x14ac:dyDescent="0.35">
      <c r="H705" s="35"/>
    </row>
    <row r="706" spans="8:8" x14ac:dyDescent="0.35">
      <c r="H706" s="35"/>
    </row>
    <row r="707" spans="8:8" x14ac:dyDescent="0.35">
      <c r="H707" s="35"/>
    </row>
    <row r="708" spans="8:8" x14ac:dyDescent="0.35">
      <c r="H708" s="35"/>
    </row>
    <row r="709" spans="8:8" x14ac:dyDescent="0.35">
      <c r="H709" s="35"/>
    </row>
    <row r="710" spans="8:8" x14ac:dyDescent="0.35">
      <c r="H710" s="35"/>
    </row>
    <row r="711" spans="8:8" x14ac:dyDescent="0.35">
      <c r="H711" s="35"/>
    </row>
    <row r="712" spans="8:8" x14ac:dyDescent="0.35">
      <c r="H712" s="35"/>
    </row>
    <row r="713" spans="8:8" x14ac:dyDescent="0.35">
      <c r="H713" s="35"/>
    </row>
    <row r="714" spans="8:8" x14ac:dyDescent="0.35">
      <c r="H714" s="35"/>
    </row>
    <row r="715" spans="8:8" x14ac:dyDescent="0.35">
      <c r="H715" s="35"/>
    </row>
    <row r="716" spans="8:8" x14ac:dyDescent="0.35">
      <c r="H716" s="35"/>
    </row>
    <row r="717" spans="8:8" x14ac:dyDescent="0.35">
      <c r="H717" s="35"/>
    </row>
    <row r="718" spans="8:8" x14ac:dyDescent="0.35">
      <c r="H718" s="35"/>
    </row>
    <row r="719" spans="8:8" x14ac:dyDescent="0.35">
      <c r="H719" s="35"/>
    </row>
    <row r="720" spans="8:8" x14ac:dyDescent="0.35">
      <c r="H720" s="35"/>
    </row>
    <row r="721" spans="8:8" x14ac:dyDescent="0.35">
      <c r="H721" s="35"/>
    </row>
    <row r="722" spans="8:8" x14ac:dyDescent="0.35">
      <c r="H722" s="35"/>
    </row>
    <row r="723" spans="8:8" x14ac:dyDescent="0.35">
      <c r="H723" s="35"/>
    </row>
    <row r="724" spans="8:8" x14ac:dyDescent="0.35">
      <c r="H724" s="35"/>
    </row>
    <row r="725" spans="8:8" x14ac:dyDescent="0.35">
      <c r="H725" s="35"/>
    </row>
    <row r="726" spans="8:8" x14ac:dyDescent="0.35">
      <c r="H726" s="35"/>
    </row>
    <row r="727" spans="8:8" x14ac:dyDescent="0.35">
      <c r="H727" s="35"/>
    </row>
    <row r="728" spans="8:8" x14ac:dyDescent="0.35">
      <c r="H728" s="35"/>
    </row>
    <row r="729" spans="8:8" x14ac:dyDescent="0.35">
      <c r="H729" s="35"/>
    </row>
    <row r="730" spans="8:8" x14ac:dyDescent="0.35">
      <c r="H730" s="35"/>
    </row>
    <row r="731" spans="8:8" x14ac:dyDescent="0.35">
      <c r="H731" s="35"/>
    </row>
    <row r="732" spans="8:8" x14ac:dyDescent="0.35">
      <c r="H732" s="35"/>
    </row>
    <row r="733" spans="8:8" x14ac:dyDescent="0.35">
      <c r="H733" s="35"/>
    </row>
    <row r="734" spans="8:8" x14ac:dyDescent="0.35">
      <c r="H734" s="35"/>
    </row>
    <row r="735" spans="8:8" x14ac:dyDescent="0.35">
      <c r="H735" s="35"/>
    </row>
    <row r="736" spans="8:8" x14ac:dyDescent="0.35">
      <c r="H736" s="35"/>
    </row>
    <row r="737" spans="8:8" x14ac:dyDescent="0.35">
      <c r="H737" s="35"/>
    </row>
    <row r="738" spans="8:8" x14ac:dyDescent="0.35">
      <c r="H738" s="35"/>
    </row>
    <row r="739" spans="8:8" x14ac:dyDescent="0.35">
      <c r="H739" s="35"/>
    </row>
    <row r="740" spans="8:8" x14ac:dyDescent="0.35">
      <c r="H740" s="35"/>
    </row>
    <row r="741" spans="8:8" x14ac:dyDescent="0.35">
      <c r="H741" s="35"/>
    </row>
    <row r="742" spans="8:8" x14ac:dyDescent="0.35">
      <c r="H742" s="35"/>
    </row>
    <row r="743" spans="8:8" x14ac:dyDescent="0.35">
      <c r="H743" s="35"/>
    </row>
    <row r="744" spans="8:8" x14ac:dyDescent="0.35">
      <c r="H744" s="35"/>
    </row>
    <row r="745" spans="8:8" x14ac:dyDescent="0.35">
      <c r="H745" s="35"/>
    </row>
    <row r="746" spans="8:8" x14ac:dyDescent="0.35">
      <c r="H746" s="35"/>
    </row>
    <row r="747" spans="8:8" x14ac:dyDescent="0.35">
      <c r="H747" s="35"/>
    </row>
    <row r="748" spans="8:8" x14ac:dyDescent="0.35">
      <c r="H748" s="35"/>
    </row>
    <row r="749" spans="8:8" x14ac:dyDescent="0.35">
      <c r="H749" s="35"/>
    </row>
    <row r="750" spans="8:8" x14ac:dyDescent="0.35">
      <c r="H750" s="35"/>
    </row>
    <row r="751" spans="8:8" x14ac:dyDescent="0.35">
      <c r="H751" s="35"/>
    </row>
    <row r="752" spans="8:8" x14ac:dyDescent="0.35">
      <c r="H752" s="35"/>
    </row>
    <row r="753" spans="8:8" x14ac:dyDescent="0.35">
      <c r="H753" s="35"/>
    </row>
    <row r="754" spans="8:8" x14ac:dyDescent="0.35">
      <c r="H754" s="35"/>
    </row>
    <row r="755" spans="8:8" x14ac:dyDescent="0.35">
      <c r="H755" s="35"/>
    </row>
    <row r="756" spans="8:8" x14ac:dyDescent="0.35">
      <c r="H756" s="35"/>
    </row>
    <row r="757" spans="8:8" x14ac:dyDescent="0.35">
      <c r="H757" s="35"/>
    </row>
    <row r="758" spans="8:8" x14ac:dyDescent="0.35">
      <c r="H758" s="35"/>
    </row>
    <row r="759" spans="8:8" x14ac:dyDescent="0.35">
      <c r="H759" s="35"/>
    </row>
    <row r="760" spans="8:8" x14ac:dyDescent="0.35">
      <c r="H760" s="35"/>
    </row>
    <row r="761" spans="8:8" x14ac:dyDescent="0.35">
      <c r="H761" s="35"/>
    </row>
    <row r="762" spans="8:8" x14ac:dyDescent="0.35">
      <c r="H762" s="35"/>
    </row>
    <row r="763" spans="8:8" x14ac:dyDescent="0.35">
      <c r="H763" s="35"/>
    </row>
    <row r="764" spans="8:8" x14ac:dyDescent="0.35">
      <c r="H764" s="35"/>
    </row>
    <row r="765" spans="8:8" x14ac:dyDescent="0.35">
      <c r="H765" s="35"/>
    </row>
    <row r="766" spans="8:8" x14ac:dyDescent="0.35">
      <c r="H766" s="35"/>
    </row>
    <row r="767" spans="8:8" x14ac:dyDescent="0.35">
      <c r="H767" s="35"/>
    </row>
    <row r="768" spans="8:8" x14ac:dyDescent="0.35">
      <c r="H768" s="35"/>
    </row>
    <row r="769" spans="8:8" x14ac:dyDescent="0.35">
      <c r="H769" s="35"/>
    </row>
    <row r="770" spans="8:8" x14ac:dyDescent="0.35">
      <c r="H770" s="35"/>
    </row>
    <row r="771" spans="8:8" x14ac:dyDescent="0.35">
      <c r="H771" s="35"/>
    </row>
    <row r="772" spans="8:8" x14ac:dyDescent="0.35">
      <c r="H772" s="35"/>
    </row>
    <row r="773" spans="8:8" x14ac:dyDescent="0.35">
      <c r="H773" s="35"/>
    </row>
    <row r="774" spans="8:8" x14ac:dyDescent="0.35">
      <c r="H774" s="35"/>
    </row>
    <row r="775" spans="8:8" x14ac:dyDescent="0.35">
      <c r="H775" s="35"/>
    </row>
    <row r="776" spans="8:8" x14ac:dyDescent="0.35">
      <c r="H776" s="35"/>
    </row>
    <row r="777" spans="8:8" x14ac:dyDescent="0.35">
      <c r="H777" s="35"/>
    </row>
    <row r="778" spans="8:8" x14ac:dyDescent="0.35">
      <c r="H778" s="35"/>
    </row>
    <row r="779" spans="8:8" x14ac:dyDescent="0.35">
      <c r="H779" s="35"/>
    </row>
    <row r="780" spans="8:8" x14ac:dyDescent="0.35">
      <c r="H780" s="35"/>
    </row>
    <row r="781" spans="8:8" x14ac:dyDescent="0.35">
      <c r="H781" s="35"/>
    </row>
    <row r="782" spans="8:8" x14ac:dyDescent="0.35">
      <c r="H782" s="35"/>
    </row>
    <row r="783" spans="8:8" x14ac:dyDescent="0.35">
      <c r="H783" s="35"/>
    </row>
    <row r="784" spans="8:8" x14ac:dyDescent="0.35">
      <c r="H784" s="35"/>
    </row>
    <row r="785" spans="8:8" x14ac:dyDescent="0.35">
      <c r="H785" s="35"/>
    </row>
    <row r="786" spans="8:8" x14ac:dyDescent="0.35">
      <c r="H786" s="35"/>
    </row>
    <row r="787" spans="8:8" x14ac:dyDescent="0.35">
      <c r="H787" s="35"/>
    </row>
    <row r="788" spans="8:8" x14ac:dyDescent="0.35">
      <c r="H788" s="35"/>
    </row>
    <row r="789" spans="8:8" x14ac:dyDescent="0.35">
      <c r="H789" s="35"/>
    </row>
    <row r="790" spans="8:8" x14ac:dyDescent="0.35">
      <c r="H790" s="35"/>
    </row>
    <row r="791" spans="8:8" x14ac:dyDescent="0.35">
      <c r="H791" s="35"/>
    </row>
    <row r="792" spans="8:8" x14ac:dyDescent="0.35">
      <c r="H792" s="35"/>
    </row>
    <row r="793" spans="8:8" x14ac:dyDescent="0.35">
      <c r="H793" s="35"/>
    </row>
    <row r="794" spans="8:8" x14ac:dyDescent="0.35">
      <c r="H794" s="35"/>
    </row>
    <row r="795" spans="8:8" x14ac:dyDescent="0.35">
      <c r="H795" s="35"/>
    </row>
    <row r="796" spans="8:8" x14ac:dyDescent="0.35">
      <c r="H796" s="35"/>
    </row>
    <row r="797" spans="8:8" x14ac:dyDescent="0.35">
      <c r="H797" s="35"/>
    </row>
    <row r="798" spans="8:8" x14ac:dyDescent="0.35">
      <c r="H798" s="35"/>
    </row>
    <row r="799" spans="8:8" x14ac:dyDescent="0.35">
      <c r="H799" s="35"/>
    </row>
    <row r="800" spans="8:8" x14ac:dyDescent="0.35">
      <c r="H800" s="35"/>
    </row>
    <row r="801" spans="8:8" x14ac:dyDescent="0.35">
      <c r="H801" s="35"/>
    </row>
    <row r="802" spans="8:8" x14ac:dyDescent="0.35">
      <c r="H802" s="35"/>
    </row>
    <row r="803" spans="8:8" x14ac:dyDescent="0.35">
      <c r="H803" s="35"/>
    </row>
    <row r="804" spans="8:8" x14ac:dyDescent="0.35">
      <c r="H804" s="35"/>
    </row>
    <row r="805" spans="8:8" x14ac:dyDescent="0.35">
      <c r="H805" s="35"/>
    </row>
    <row r="806" spans="8:8" x14ac:dyDescent="0.35">
      <c r="H806" s="35"/>
    </row>
    <row r="807" spans="8:8" x14ac:dyDescent="0.35">
      <c r="H807" s="35"/>
    </row>
    <row r="808" spans="8:8" x14ac:dyDescent="0.35">
      <c r="H808" s="35"/>
    </row>
    <row r="809" spans="8:8" x14ac:dyDescent="0.35">
      <c r="H809" s="35"/>
    </row>
    <row r="810" spans="8:8" x14ac:dyDescent="0.35">
      <c r="H810" s="35"/>
    </row>
    <row r="811" spans="8:8" x14ac:dyDescent="0.35">
      <c r="H811" s="35"/>
    </row>
    <row r="812" spans="8:8" x14ac:dyDescent="0.35">
      <c r="H812" s="35"/>
    </row>
    <row r="813" spans="8:8" x14ac:dyDescent="0.35">
      <c r="H813" s="35"/>
    </row>
    <row r="814" spans="8:8" x14ac:dyDescent="0.35">
      <c r="H814" s="35"/>
    </row>
    <row r="815" spans="8:8" x14ac:dyDescent="0.35">
      <c r="H815" s="35"/>
    </row>
    <row r="816" spans="8:8" x14ac:dyDescent="0.35">
      <c r="H816" s="35"/>
    </row>
    <row r="817" spans="8:8" x14ac:dyDescent="0.35">
      <c r="H817" s="35"/>
    </row>
    <row r="818" spans="8:8" x14ac:dyDescent="0.35">
      <c r="H818" s="35"/>
    </row>
    <row r="819" spans="8:8" x14ac:dyDescent="0.35">
      <c r="H819" s="35"/>
    </row>
    <row r="820" spans="8:8" x14ac:dyDescent="0.35">
      <c r="H820" s="35"/>
    </row>
    <row r="821" spans="8:8" x14ac:dyDescent="0.35">
      <c r="H821" s="35"/>
    </row>
    <row r="822" spans="8:8" x14ac:dyDescent="0.35">
      <c r="H822" s="35"/>
    </row>
    <row r="823" spans="8:8" x14ac:dyDescent="0.35">
      <c r="H823" s="35"/>
    </row>
    <row r="824" spans="8:8" x14ac:dyDescent="0.35">
      <c r="H824" s="35"/>
    </row>
    <row r="825" spans="8:8" x14ac:dyDescent="0.35">
      <c r="H825" s="35"/>
    </row>
    <row r="826" spans="8:8" x14ac:dyDescent="0.35">
      <c r="H826" s="35"/>
    </row>
    <row r="827" spans="8:8" x14ac:dyDescent="0.35">
      <c r="H827" s="35"/>
    </row>
    <row r="828" spans="8:8" x14ac:dyDescent="0.35">
      <c r="H828" s="35"/>
    </row>
    <row r="829" spans="8:8" x14ac:dyDescent="0.35">
      <c r="H829" s="35"/>
    </row>
    <row r="830" spans="8:8" x14ac:dyDescent="0.35">
      <c r="H830" s="35"/>
    </row>
    <row r="831" spans="8:8" x14ac:dyDescent="0.35">
      <c r="H831" s="35"/>
    </row>
    <row r="832" spans="8:8" x14ac:dyDescent="0.35">
      <c r="H832" s="35"/>
    </row>
    <row r="833" spans="8:8" x14ac:dyDescent="0.35">
      <c r="H833" s="35"/>
    </row>
    <row r="834" spans="8:8" x14ac:dyDescent="0.35">
      <c r="H834" s="35"/>
    </row>
    <row r="835" spans="8:8" x14ac:dyDescent="0.35">
      <c r="H835" s="35"/>
    </row>
    <row r="836" spans="8:8" x14ac:dyDescent="0.35">
      <c r="H836" s="35"/>
    </row>
    <row r="837" spans="8:8" x14ac:dyDescent="0.35">
      <c r="H837" s="35"/>
    </row>
    <row r="838" spans="8:8" x14ac:dyDescent="0.35">
      <c r="H838" s="35"/>
    </row>
    <row r="839" spans="8:8" x14ac:dyDescent="0.35">
      <c r="H839" s="35"/>
    </row>
    <row r="840" spans="8:8" x14ac:dyDescent="0.35">
      <c r="H840" s="35"/>
    </row>
    <row r="841" spans="8:8" x14ac:dyDescent="0.35">
      <c r="H841" s="35"/>
    </row>
    <row r="842" spans="8:8" x14ac:dyDescent="0.35">
      <c r="H842" s="35"/>
    </row>
    <row r="843" spans="8:8" x14ac:dyDescent="0.35">
      <c r="H843" s="35"/>
    </row>
    <row r="844" spans="8:8" x14ac:dyDescent="0.35">
      <c r="H844" s="35"/>
    </row>
    <row r="845" spans="8:8" x14ac:dyDescent="0.35">
      <c r="H845" s="35"/>
    </row>
    <row r="846" spans="8:8" x14ac:dyDescent="0.35">
      <c r="H846" s="35"/>
    </row>
    <row r="847" spans="8:8" x14ac:dyDescent="0.35">
      <c r="H847" s="35"/>
    </row>
    <row r="848" spans="8:8" x14ac:dyDescent="0.35">
      <c r="H848" s="35"/>
    </row>
    <row r="849" spans="8:8" x14ac:dyDescent="0.35">
      <c r="H849" s="35"/>
    </row>
    <row r="850" spans="8:8" x14ac:dyDescent="0.35">
      <c r="H850" s="35"/>
    </row>
    <row r="851" spans="8:8" x14ac:dyDescent="0.35">
      <c r="H851" s="35"/>
    </row>
    <row r="852" spans="8:8" x14ac:dyDescent="0.35">
      <c r="H852" s="35"/>
    </row>
    <row r="853" spans="8:8" x14ac:dyDescent="0.35">
      <c r="H853" s="35"/>
    </row>
    <row r="854" spans="8:8" x14ac:dyDescent="0.35">
      <c r="H854" s="35"/>
    </row>
    <row r="855" spans="8:8" x14ac:dyDescent="0.35">
      <c r="H855" s="35"/>
    </row>
    <row r="856" spans="8:8" x14ac:dyDescent="0.35">
      <c r="H856" s="35"/>
    </row>
    <row r="857" spans="8:8" x14ac:dyDescent="0.35">
      <c r="H857" s="35"/>
    </row>
    <row r="858" spans="8:8" x14ac:dyDescent="0.35">
      <c r="H858" s="35"/>
    </row>
    <row r="859" spans="8:8" x14ac:dyDescent="0.35">
      <c r="H859" s="35"/>
    </row>
    <row r="860" spans="8:8" x14ac:dyDescent="0.35">
      <c r="H860" s="35"/>
    </row>
    <row r="861" spans="8:8" x14ac:dyDescent="0.35">
      <c r="H861" s="35"/>
    </row>
    <row r="862" spans="8:8" x14ac:dyDescent="0.35">
      <c r="H862" s="35"/>
    </row>
    <row r="863" spans="8:8" x14ac:dyDescent="0.35">
      <c r="H863" s="35"/>
    </row>
    <row r="864" spans="8:8" x14ac:dyDescent="0.35">
      <c r="H864" s="35"/>
    </row>
    <row r="865" spans="8:8" x14ac:dyDescent="0.35">
      <c r="H865" s="35"/>
    </row>
    <row r="866" spans="8:8" x14ac:dyDescent="0.35">
      <c r="H866" s="35"/>
    </row>
    <row r="867" spans="8:8" x14ac:dyDescent="0.35">
      <c r="H867" s="35"/>
    </row>
    <row r="868" spans="8:8" x14ac:dyDescent="0.35">
      <c r="H868" s="35"/>
    </row>
    <row r="869" spans="8:8" x14ac:dyDescent="0.35">
      <c r="H869" s="35"/>
    </row>
    <row r="870" spans="8:8" x14ac:dyDescent="0.35">
      <c r="H870" s="35"/>
    </row>
    <row r="871" spans="8:8" x14ac:dyDescent="0.35">
      <c r="H871" s="35"/>
    </row>
    <row r="872" spans="8:8" x14ac:dyDescent="0.35">
      <c r="H872" s="35"/>
    </row>
    <row r="873" spans="8:8" x14ac:dyDescent="0.35">
      <c r="H873" s="35"/>
    </row>
    <row r="874" spans="8:8" x14ac:dyDescent="0.35">
      <c r="H874" s="35"/>
    </row>
    <row r="875" spans="8:8" x14ac:dyDescent="0.35">
      <c r="H875" s="35"/>
    </row>
    <row r="876" spans="8:8" x14ac:dyDescent="0.35">
      <c r="H876" s="35"/>
    </row>
    <row r="877" spans="8:8" x14ac:dyDescent="0.35">
      <c r="H877" s="35"/>
    </row>
    <row r="878" spans="8:8" x14ac:dyDescent="0.35">
      <c r="H878" s="35"/>
    </row>
    <row r="879" spans="8:8" x14ac:dyDescent="0.35">
      <c r="H879" s="35"/>
    </row>
    <row r="880" spans="8:8" x14ac:dyDescent="0.35">
      <c r="H880" s="35"/>
    </row>
    <row r="881" spans="8:8" x14ac:dyDescent="0.35">
      <c r="H881" s="35"/>
    </row>
    <row r="882" spans="8:8" x14ac:dyDescent="0.35">
      <c r="H882" s="35"/>
    </row>
    <row r="883" spans="8:8" x14ac:dyDescent="0.35">
      <c r="H883" s="35"/>
    </row>
    <row r="884" spans="8:8" x14ac:dyDescent="0.35">
      <c r="H884" s="35"/>
    </row>
    <row r="885" spans="8:8" x14ac:dyDescent="0.35">
      <c r="H885" s="35"/>
    </row>
    <row r="886" spans="8:8" x14ac:dyDescent="0.35">
      <c r="H886" s="35"/>
    </row>
    <row r="887" spans="8:8" x14ac:dyDescent="0.35">
      <c r="H887" s="35"/>
    </row>
    <row r="888" spans="8:8" x14ac:dyDescent="0.35">
      <c r="H888" s="35"/>
    </row>
    <row r="889" spans="8:8" x14ac:dyDescent="0.35">
      <c r="H889" s="35"/>
    </row>
    <row r="890" spans="8:8" x14ac:dyDescent="0.35">
      <c r="H890" s="35"/>
    </row>
    <row r="891" spans="8:8" x14ac:dyDescent="0.35">
      <c r="H891" s="35"/>
    </row>
    <row r="892" spans="8:8" x14ac:dyDescent="0.35">
      <c r="H892" s="35"/>
    </row>
    <row r="893" spans="8:8" x14ac:dyDescent="0.35">
      <c r="H893" s="35"/>
    </row>
    <row r="894" spans="8:8" x14ac:dyDescent="0.35">
      <c r="H894" s="35"/>
    </row>
    <row r="895" spans="8:8" x14ac:dyDescent="0.35">
      <c r="H895" s="35"/>
    </row>
    <row r="896" spans="8:8" x14ac:dyDescent="0.35">
      <c r="H896" s="35"/>
    </row>
    <row r="897" spans="8:8" x14ac:dyDescent="0.35">
      <c r="H897" s="35"/>
    </row>
    <row r="898" spans="8:8" x14ac:dyDescent="0.35">
      <c r="H898" s="35"/>
    </row>
    <row r="899" spans="8:8" x14ac:dyDescent="0.35">
      <c r="H899" s="35"/>
    </row>
    <row r="900" spans="8:8" x14ac:dyDescent="0.35">
      <c r="H900" s="35"/>
    </row>
    <row r="901" spans="8:8" x14ac:dyDescent="0.35">
      <c r="H901" s="35"/>
    </row>
    <row r="902" spans="8:8" x14ac:dyDescent="0.35">
      <c r="H902" s="35"/>
    </row>
    <row r="903" spans="8:8" x14ac:dyDescent="0.35">
      <c r="H903" s="35"/>
    </row>
    <row r="904" spans="8:8" x14ac:dyDescent="0.35">
      <c r="H904" s="35"/>
    </row>
    <row r="905" spans="8:8" x14ac:dyDescent="0.35">
      <c r="H905" s="35"/>
    </row>
    <row r="906" spans="8:8" x14ac:dyDescent="0.35">
      <c r="H906" s="35"/>
    </row>
    <row r="907" spans="8:8" x14ac:dyDescent="0.35">
      <c r="H907" s="35"/>
    </row>
    <row r="908" spans="8:8" x14ac:dyDescent="0.35">
      <c r="H908" s="35"/>
    </row>
    <row r="909" spans="8:8" x14ac:dyDescent="0.35">
      <c r="H909" s="35"/>
    </row>
    <row r="910" spans="8:8" x14ac:dyDescent="0.35">
      <c r="H910" s="35"/>
    </row>
    <row r="911" spans="8:8" x14ac:dyDescent="0.35">
      <c r="H911" s="35"/>
    </row>
    <row r="912" spans="8:8" x14ac:dyDescent="0.35">
      <c r="H912" s="35"/>
    </row>
    <row r="913" spans="8:8" x14ac:dyDescent="0.35">
      <c r="H913" s="35"/>
    </row>
    <row r="914" spans="8:8" x14ac:dyDescent="0.35">
      <c r="H914" s="35"/>
    </row>
    <row r="915" spans="8:8" x14ac:dyDescent="0.35">
      <c r="H915" s="35"/>
    </row>
    <row r="916" spans="8:8" x14ac:dyDescent="0.35">
      <c r="H916" s="35"/>
    </row>
    <row r="917" spans="8:8" x14ac:dyDescent="0.35">
      <c r="H917" s="35"/>
    </row>
    <row r="918" spans="8:8" x14ac:dyDescent="0.35">
      <c r="H918" s="35"/>
    </row>
    <row r="919" spans="8:8" x14ac:dyDescent="0.35">
      <c r="H919" s="35"/>
    </row>
    <row r="920" spans="8:8" x14ac:dyDescent="0.35">
      <c r="H920" s="35"/>
    </row>
    <row r="921" spans="8:8" x14ac:dyDescent="0.35">
      <c r="H921" s="35"/>
    </row>
    <row r="922" spans="8:8" x14ac:dyDescent="0.35">
      <c r="H922" s="35"/>
    </row>
    <row r="923" spans="8:8" x14ac:dyDescent="0.35">
      <c r="H923" s="35"/>
    </row>
    <row r="924" spans="8:8" x14ac:dyDescent="0.35">
      <c r="H924" s="35"/>
    </row>
    <row r="925" spans="8:8" x14ac:dyDescent="0.35">
      <c r="H925" s="35"/>
    </row>
    <row r="926" spans="8:8" x14ac:dyDescent="0.35">
      <c r="H926" s="35"/>
    </row>
    <row r="927" spans="8:8" x14ac:dyDescent="0.35">
      <c r="H927" s="35"/>
    </row>
    <row r="928" spans="8:8" x14ac:dyDescent="0.35">
      <c r="H928" s="35"/>
    </row>
    <row r="929" spans="8:8" x14ac:dyDescent="0.35">
      <c r="H929" s="35"/>
    </row>
    <row r="930" spans="8:8" x14ac:dyDescent="0.35">
      <c r="H930" s="35"/>
    </row>
    <row r="931" spans="8:8" x14ac:dyDescent="0.35">
      <c r="H931" s="35"/>
    </row>
    <row r="932" spans="8:8" x14ac:dyDescent="0.35">
      <c r="H932" s="35"/>
    </row>
    <row r="933" spans="8:8" x14ac:dyDescent="0.35">
      <c r="H933" s="35"/>
    </row>
    <row r="934" spans="8:8" x14ac:dyDescent="0.35">
      <c r="H934" s="35"/>
    </row>
    <row r="935" spans="8:8" x14ac:dyDescent="0.35">
      <c r="H935" s="35"/>
    </row>
    <row r="936" spans="8:8" x14ac:dyDescent="0.35">
      <c r="H936" s="35"/>
    </row>
    <row r="937" spans="8:8" x14ac:dyDescent="0.35">
      <c r="H937" s="35"/>
    </row>
    <row r="938" spans="8:8" x14ac:dyDescent="0.35">
      <c r="H938" s="35"/>
    </row>
    <row r="939" spans="8:8" x14ac:dyDescent="0.35">
      <c r="H939" s="35"/>
    </row>
    <row r="940" spans="8:8" x14ac:dyDescent="0.35">
      <c r="H940" s="35"/>
    </row>
    <row r="941" spans="8:8" x14ac:dyDescent="0.35">
      <c r="H941" s="35"/>
    </row>
    <row r="942" spans="8:8" x14ac:dyDescent="0.35">
      <c r="H942" s="35"/>
    </row>
    <row r="943" spans="8:8" x14ac:dyDescent="0.35">
      <c r="H943" s="35"/>
    </row>
    <row r="944" spans="8:8" x14ac:dyDescent="0.35">
      <c r="H944" s="35"/>
    </row>
    <row r="945" spans="8:8" x14ac:dyDescent="0.35">
      <c r="H945" s="35"/>
    </row>
    <row r="946" spans="8:8" x14ac:dyDescent="0.35">
      <c r="H946" s="35"/>
    </row>
    <row r="947" spans="8:8" x14ac:dyDescent="0.35">
      <c r="H947" s="35"/>
    </row>
    <row r="948" spans="8:8" x14ac:dyDescent="0.35">
      <c r="H948" s="35"/>
    </row>
    <row r="949" spans="8:8" x14ac:dyDescent="0.35">
      <c r="H949" s="35"/>
    </row>
    <row r="950" spans="8:8" x14ac:dyDescent="0.35">
      <c r="H950" s="35"/>
    </row>
    <row r="951" spans="8:8" x14ac:dyDescent="0.35">
      <c r="H951" s="35"/>
    </row>
    <row r="952" spans="8:8" x14ac:dyDescent="0.35">
      <c r="H952" s="35"/>
    </row>
    <row r="953" spans="8:8" x14ac:dyDescent="0.35">
      <c r="H953" s="35"/>
    </row>
    <row r="954" spans="8:8" x14ac:dyDescent="0.35">
      <c r="H954" s="35"/>
    </row>
    <row r="955" spans="8:8" x14ac:dyDescent="0.35">
      <c r="H955" s="35"/>
    </row>
    <row r="956" spans="8:8" x14ac:dyDescent="0.35">
      <c r="H956" s="35"/>
    </row>
    <row r="957" spans="8:8" x14ac:dyDescent="0.35">
      <c r="H957" s="35"/>
    </row>
    <row r="958" spans="8:8" x14ac:dyDescent="0.35">
      <c r="H958" s="35"/>
    </row>
    <row r="959" spans="8:8" x14ac:dyDescent="0.35">
      <c r="H959" s="35"/>
    </row>
    <row r="960" spans="8:8" x14ac:dyDescent="0.35">
      <c r="H960" s="35"/>
    </row>
    <row r="961" spans="8:8" x14ac:dyDescent="0.35">
      <c r="H961" s="35"/>
    </row>
    <row r="962" spans="8:8" x14ac:dyDescent="0.35">
      <c r="H962" s="35"/>
    </row>
    <row r="963" spans="8:8" x14ac:dyDescent="0.35">
      <c r="H963" s="35"/>
    </row>
    <row r="964" spans="8:8" x14ac:dyDescent="0.35">
      <c r="H964" s="35"/>
    </row>
    <row r="965" spans="8:8" x14ac:dyDescent="0.35">
      <c r="H965" s="35"/>
    </row>
    <row r="966" spans="8:8" x14ac:dyDescent="0.35">
      <c r="H966" s="35"/>
    </row>
    <row r="967" spans="8:8" x14ac:dyDescent="0.35">
      <c r="H967" s="35"/>
    </row>
    <row r="968" spans="8:8" x14ac:dyDescent="0.35">
      <c r="H968" s="35"/>
    </row>
    <row r="969" spans="8:8" x14ac:dyDescent="0.35">
      <c r="H969" s="35"/>
    </row>
    <row r="970" spans="8:8" x14ac:dyDescent="0.35">
      <c r="H970" s="35"/>
    </row>
    <row r="971" spans="8:8" x14ac:dyDescent="0.35">
      <c r="H971" s="35"/>
    </row>
    <row r="972" spans="8:8" x14ac:dyDescent="0.35">
      <c r="H972" s="35"/>
    </row>
    <row r="973" spans="8:8" x14ac:dyDescent="0.35">
      <c r="H973" s="35"/>
    </row>
    <row r="974" spans="8:8" x14ac:dyDescent="0.35">
      <c r="H974" s="35"/>
    </row>
    <row r="975" spans="8:8" x14ac:dyDescent="0.35">
      <c r="H975" s="35"/>
    </row>
    <row r="976" spans="8:8" x14ac:dyDescent="0.35">
      <c r="H976" s="35"/>
    </row>
    <row r="977" spans="8:8" x14ac:dyDescent="0.35">
      <c r="H977" s="35"/>
    </row>
    <row r="978" spans="8:8" x14ac:dyDescent="0.35">
      <c r="H978" s="35"/>
    </row>
    <row r="979" spans="8:8" x14ac:dyDescent="0.35">
      <c r="H979" s="35"/>
    </row>
    <row r="980" spans="8:8" x14ac:dyDescent="0.35">
      <c r="H980" s="35"/>
    </row>
    <row r="981" spans="8:8" x14ac:dyDescent="0.35">
      <c r="H981" s="35"/>
    </row>
    <row r="982" spans="8:8" x14ac:dyDescent="0.35">
      <c r="H982" s="35"/>
    </row>
    <row r="983" spans="8:8" x14ac:dyDescent="0.35">
      <c r="H983" s="35"/>
    </row>
    <row r="984" spans="8:8" x14ac:dyDescent="0.35">
      <c r="H984" s="35"/>
    </row>
    <row r="985" spans="8:8" x14ac:dyDescent="0.35">
      <c r="H985" s="35"/>
    </row>
    <row r="986" spans="8:8" x14ac:dyDescent="0.35">
      <c r="H986" s="35"/>
    </row>
    <row r="987" spans="8:8" x14ac:dyDescent="0.35">
      <c r="H987" s="35"/>
    </row>
    <row r="988" spans="8:8" x14ac:dyDescent="0.35">
      <c r="H988" s="35"/>
    </row>
    <row r="989" spans="8:8" x14ac:dyDescent="0.35">
      <c r="H989" s="35"/>
    </row>
    <row r="990" spans="8:8" x14ac:dyDescent="0.35">
      <c r="H990" s="35"/>
    </row>
    <row r="991" spans="8:8" x14ac:dyDescent="0.35">
      <c r="H991" s="35"/>
    </row>
    <row r="992" spans="8:8" x14ac:dyDescent="0.35">
      <c r="H992" s="35"/>
    </row>
    <row r="993" spans="8:8" x14ac:dyDescent="0.35">
      <c r="H993" s="35"/>
    </row>
    <row r="994" spans="8:8" x14ac:dyDescent="0.35">
      <c r="H994" s="35"/>
    </row>
    <row r="995" spans="8:8" x14ac:dyDescent="0.35">
      <c r="H995" s="35"/>
    </row>
    <row r="996" spans="8:8" x14ac:dyDescent="0.35">
      <c r="H996" s="35"/>
    </row>
    <row r="997" spans="8:8" x14ac:dyDescent="0.35">
      <c r="H997" s="35"/>
    </row>
    <row r="998" spans="8:8" x14ac:dyDescent="0.35">
      <c r="H998" s="35"/>
    </row>
    <row r="999" spans="8:8" x14ac:dyDescent="0.35">
      <c r="H999" s="35"/>
    </row>
    <row r="1000" spans="8:8" x14ac:dyDescent="0.35">
      <c r="H1000" s="35"/>
    </row>
    <row r="1001" spans="8:8" x14ac:dyDescent="0.35">
      <c r="H1001" s="35"/>
    </row>
    <row r="1002" spans="8:8" x14ac:dyDescent="0.35">
      <c r="H1002" s="35"/>
    </row>
    <row r="1003" spans="8:8" x14ac:dyDescent="0.35">
      <c r="H1003" s="35"/>
    </row>
    <row r="1004" spans="8:8" x14ac:dyDescent="0.35">
      <c r="H1004" s="35"/>
    </row>
    <row r="1005" spans="8:8" x14ac:dyDescent="0.35">
      <c r="H1005" s="35"/>
    </row>
    <row r="1006" spans="8:8" x14ac:dyDescent="0.35">
      <c r="H1006" s="35"/>
    </row>
    <row r="1007" spans="8:8" x14ac:dyDescent="0.35">
      <c r="H1007" s="35"/>
    </row>
    <row r="1008" spans="8:8" x14ac:dyDescent="0.35">
      <c r="H1008" s="35"/>
    </row>
    <row r="1009" spans="8:8" x14ac:dyDescent="0.35">
      <c r="H1009" s="35"/>
    </row>
    <row r="1010" spans="8:8" x14ac:dyDescent="0.35">
      <c r="H1010" s="35"/>
    </row>
    <row r="1011" spans="8:8" x14ac:dyDescent="0.35">
      <c r="H1011" s="35"/>
    </row>
    <row r="1012" spans="8:8" x14ac:dyDescent="0.35">
      <c r="H1012" s="35"/>
    </row>
    <row r="1013" spans="8:8" x14ac:dyDescent="0.35">
      <c r="H1013" s="35"/>
    </row>
    <row r="1014" spans="8:8" x14ac:dyDescent="0.35">
      <c r="H1014" s="35"/>
    </row>
    <row r="1015" spans="8:8" x14ac:dyDescent="0.35">
      <c r="H1015" s="35"/>
    </row>
    <row r="1016" spans="8:8" x14ac:dyDescent="0.35">
      <c r="H1016" s="35"/>
    </row>
    <row r="1017" spans="8:8" x14ac:dyDescent="0.35">
      <c r="H1017" s="35"/>
    </row>
    <row r="1018" spans="8:8" x14ac:dyDescent="0.35">
      <c r="H1018" s="35"/>
    </row>
    <row r="1019" spans="8:8" x14ac:dyDescent="0.35">
      <c r="H1019" s="35"/>
    </row>
    <row r="1020" spans="8:8" x14ac:dyDescent="0.35">
      <c r="H1020" s="35"/>
    </row>
    <row r="1021" spans="8:8" x14ac:dyDescent="0.35">
      <c r="H1021" s="35"/>
    </row>
    <row r="1022" spans="8:8" x14ac:dyDescent="0.35">
      <c r="H1022" s="35"/>
    </row>
    <row r="1023" spans="8:8" x14ac:dyDescent="0.35">
      <c r="H1023" s="35"/>
    </row>
    <row r="1024" spans="8:8" x14ac:dyDescent="0.35">
      <c r="H1024" s="35"/>
    </row>
    <row r="1025" spans="8:8" x14ac:dyDescent="0.35">
      <c r="H1025" s="35"/>
    </row>
    <row r="1026" spans="8:8" x14ac:dyDescent="0.35">
      <c r="H1026" s="35"/>
    </row>
    <row r="1027" spans="8:8" x14ac:dyDescent="0.35">
      <c r="H1027" s="35"/>
    </row>
    <row r="1028" spans="8:8" x14ac:dyDescent="0.35">
      <c r="H1028" s="35"/>
    </row>
    <row r="1029" spans="8:8" x14ac:dyDescent="0.35">
      <c r="H1029" s="35"/>
    </row>
    <row r="1030" spans="8:8" x14ac:dyDescent="0.35">
      <c r="H1030" s="35"/>
    </row>
    <row r="1031" spans="8:8" x14ac:dyDescent="0.35">
      <c r="H1031" s="35"/>
    </row>
    <row r="1032" spans="8:8" x14ac:dyDescent="0.35">
      <c r="H1032" s="35"/>
    </row>
    <row r="1033" spans="8:8" x14ac:dyDescent="0.35">
      <c r="H1033" s="35"/>
    </row>
    <row r="1034" spans="8:8" x14ac:dyDescent="0.35">
      <c r="H1034" s="35"/>
    </row>
    <row r="1035" spans="8:8" x14ac:dyDescent="0.35">
      <c r="H1035" s="35"/>
    </row>
    <row r="1036" spans="8:8" x14ac:dyDescent="0.35">
      <c r="H1036" s="35"/>
    </row>
    <row r="1037" spans="8:8" x14ac:dyDescent="0.35">
      <c r="H1037" s="35"/>
    </row>
    <row r="1038" spans="8:8" x14ac:dyDescent="0.35">
      <c r="H1038" s="35"/>
    </row>
    <row r="1039" spans="8:8" x14ac:dyDescent="0.35">
      <c r="H1039" s="35"/>
    </row>
    <row r="1040" spans="8:8" x14ac:dyDescent="0.35">
      <c r="H1040" s="35"/>
    </row>
    <row r="1041" spans="8:8" x14ac:dyDescent="0.35">
      <c r="H1041" s="35"/>
    </row>
    <row r="1042" spans="8:8" x14ac:dyDescent="0.35">
      <c r="H1042" s="35"/>
    </row>
    <row r="1043" spans="8:8" x14ac:dyDescent="0.35">
      <c r="H1043" s="35"/>
    </row>
    <row r="1044" spans="8:8" x14ac:dyDescent="0.35">
      <c r="H1044" s="35"/>
    </row>
    <row r="1045" spans="8:8" x14ac:dyDescent="0.35">
      <c r="H1045" s="35"/>
    </row>
    <row r="1046" spans="8:8" x14ac:dyDescent="0.35">
      <c r="H1046" s="35"/>
    </row>
    <row r="1047" spans="8:8" x14ac:dyDescent="0.35">
      <c r="H1047" s="35"/>
    </row>
    <row r="1048" spans="8:8" x14ac:dyDescent="0.35">
      <c r="H1048" s="35"/>
    </row>
    <row r="1049" spans="8:8" x14ac:dyDescent="0.35">
      <c r="H1049" s="35"/>
    </row>
    <row r="1050" spans="8:8" x14ac:dyDescent="0.35">
      <c r="H1050" s="35"/>
    </row>
    <row r="1051" spans="8:8" x14ac:dyDescent="0.35">
      <c r="H1051" s="35"/>
    </row>
    <row r="1052" spans="8:8" x14ac:dyDescent="0.35">
      <c r="H1052" s="35"/>
    </row>
    <row r="1053" spans="8:8" x14ac:dyDescent="0.35">
      <c r="H1053" s="35"/>
    </row>
    <row r="1054" spans="8:8" x14ac:dyDescent="0.35">
      <c r="H1054" s="35"/>
    </row>
    <row r="1055" spans="8:8" x14ac:dyDescent="0.35">
      <c r="H1055" s="35"/>
    </row>
    <row r="1056" spans="8:8" x14ac:dyDescent="0.35">
      <c r="H1056" s="35"/>
    </row>
    <row r="1057" spans="8:8" x14ac:dyDescent="0.35">
      <c r="H1057" s="35"/>
    </row>
    <row r="1058" spans="8:8" x14ac:dyDescent="0.35">
      <c r="H1058" s="35"/>
    </row>
    <row r="1059" spans="8:8" x14ac:dyDescent="0.35">
      <c r="H1059" s="35"/>
    </row>
    <row r="1060" spans="8:8" x14ac:dyDescent="0.35">
      <c r="H1060" s="35"/>
    </row>
    <row r="1061" spans="8:8" x14ac:dyDescent="0.35">
      <c r="H1061" s="35"/>
    </row>
    <row r="1062" spans="8:8" x14ac:dyDescent="0.35">
      <c r="H1062" s="35"/>
    </row>
    <row r="1063" spans="8:8" x14ac:dyDescent="0.35">
      <c r="H1063" s="35"/>
    </row>
    <row r="1064" spans="8:8" x14ac:dyDescent="0.35">
      <c r="H1064" s="35"/>
    </row>
    <row r="1065" spans="8:8" x14ac:dyDescent="0.35">
      <c r="H1065" s="35"/>
    </row>
    <row r="1066" spans="8:8" x14ac:dyDescent="0.35">
      <c r="H1066" s="35"/>
    </row>
    <row r="1067" spans="8:8" x14ac:dyDescent="0.35">
      <c r="H1067" s="35"/>
    </row>
    <row r="1068" spans="8:8" x14ac:dyDescent="0.35">
      <c r="H1068" s="35"/>
    </row>
    <row r="1069" spans="8:8" x14ac:dyDescent="0.35">
      <c r="H1069" s="35"/>
    </row>
    <row r="1070" spans="8:8" x14ac:dyDescent="0.35">
      <c r="H1070" s="35"/>
    </row>
    <row r="1071" spans="8:8" x14ac:dyDescent="0.35">
      <c r="H1071" s="35"/>
    </row>
    <row r="1072" spans="8:8" x14ac:dyDescent="0.35">
      <c r="H1072" s="35"/>
    </row>
    <row r="1073" spans="8:8" x14ac:dyDescent="0.35">
      <c r="H1073" s="35"/>
    </row>
    <row r="1074" spans="8:8" x14ac:dyDescent="0.35">
      <c r="H1074" s="35"/>
    </row>
    <row r="1075" spans="8:8" x14ac:dyDescent="0.35">
      <c r="H1075" s="35"/>
    </row>
    <row r="1076" spans="8:8" x14ac:dyDescent="0.35">
      <c r="H1076" s="35"/>
    </row>
    <row r="1077" spans="8:8" x14ac:dyDescent="0.35">
      <c r="H1077" s="35"/>
    </row>
    <row r="1078" spans="8:8" x14ac:dyDescent="0.35">
      <c r="H1078" s="35"/>
    </row>
    <row r="1079" spans="8:8" x14ac:dyDescent="0.35">
      <c r="H1079" s="35"/>
    </row>
    <row r="1080" spans="8:8" x14ac:dyDescent="0.35">
      <c r="H1080" s="35"/>
    </row>
    <row r="1081" spans="8:8" x14ac:dyDescent="0.35">
      <c r="H1081" s="35"/>
    </row>
    <row r="1082" spans="8:8" x14ac:dyDescent="0.35">
      <c r="H1082" s="35"/>
    </row>
    <row r="1083" spans="8:8" x14ac:dyDescent="0.35">
      <c r="H1083" s="35"/>
    </row>
    <row r="1084" spans="8:8" x14ac:dyDescent="0.35">
      <c r="H1084" s="35"/>
    </row>
    <row r="1085" spans="8:8" x14ac:dyDescent="0.35">
      <c r="H1085" s="35"/>
    </row>
    <row r="1086" spans="8:8" x14ac:dyDescent="0.35">
      <c r="H1086" s="35"/>
    </row>
    <row r="1087" spans="8:8" x14ac:dyDescent="0.35">
      <c r="H1087" s="35"/>
    </row>
    <row r="1088" spans="8:8" x14ac:dyDescent="0.35">
      <c r="H1088" s="35"/>
    </row>
    <row r="1089" spans="8:8" x14ac:dyDescent="0.35">
      <c r="H1089" s="35"/>
    </row>
    <row r="1090" spans="8:8" x14ac:dyDescent="0.35">
      <c r="H1090" s="35"/>
    </row>
    <row r="1091" spans="8:8" x14ac:dyDescent="0.35">
      <c r="H1091" s="35"/>
    </row>
    <row r="1092" spans="8:8" x14ac:dyDescent="0.35">
      <c r="H1092" s="35"/>
    </row>
    <row r="1093" spans="8:8" x14ac:dyDescent="0.35">
      <c r="H1093" s="35"/>
    </row>
    <row r="1094" spans="8:8" x14ac:dyDescent="0.35">
      <c r="H1094" s="35"/>
    </row>
    <row r="1095" spans="8:8" x14ac:dyDescent="0.35">
      <c r="H1095" s="35"/>
    </row>
    <row r="1096" spans="8:8" x14ac:dyDescent="0.35">
      <c r="H1096" s="35"/>
    </row>
    <row r="1097" spans="8:8" x14ac:dyDescent="0.35">
      <c r="H1097" s="35"/>
    </row>
    <row r="1098" spans="8:8" x14ac:dyDescent="0.35">
      <c r="H1098" s="35"/>
    </row>
    <row r="1099" spans="8:8" x14ac:dyDescent="0.35">
      <c r="H1099" s="35"/>
    </row>
    <row r="1100" spans="8:8" x14ac:dyDescent="0.35">
      <c r="H1100" s="35"/>
    </row>
    <row r="1101" spans="8:8" x14ac:dyDescent="0.35">
      <c r="H1101" s="35"/>
    </row>
    <row r="1102" spans="8:8" x14ac:dyDescent="0.35">
      <c r="H1102" s="35"/>
    </row>
    <row r="1103" spans="8:8" x14ac:dyDescent="0.35">
      <c r="H1103" s="35"/>
    </row>
    <row r="1104" spans="8:8" x14ac:dyDescent="0.35">
      <c r="H1104" s="35"/>
    </row>
    <row r="1105" spans="8:8" x14ac:dyDescent="0.35">
      <c r="H1105" s="35"/>
    </row>
    <row r="1106" spans="8:8" x14ac:dyDescent="0.35">
      <c r="H1106" s="35"/>
    </row>
    <row r="1107" spans="8:8" x14ac:dyDescent="0.35">
      <c r="H1107" s="35"/>
    </row>
    <row r="1108" spans="8:8" x14ac:dyDescent="0.35">
      <c r="H1108" s="35"/>
    </row>
    <row r="1109" spans="8:8" x14ac:dyDescent="0.35">
      <c r="H1109" s="35"/>
    </row>
    <row r="1110" spans="8:8" x14ac:dyDescent="0.35">
      <c r="H1110" s="35"/>
    </row>
    <row r="1111" spans="8:8" x14ac:dyDescent="0.35">
      <c r="H1111" s="35"/>
    </row>
    <row r="1112" spans="8:8" x14ac:dyDescent="0.35">
      <c r="H1112" s="35"/>
    </row>
    <row r="1113" spans="8:8" x14ac:dyDescent="0.35">
      <c r="H1113" s="35"/>
    </row>
    <row r="1114" spans="8:8" x14ac:dyDescent="0.35">
      <c r="H1114" s="35"/>
    </row>
    <row r="1115" spans="8:8" x14ac:dyDescent="0.35">
      <c r="H1115" s="35"/>
    </row>
    <row r="1116" spans="8:8" x14ac:dyDescent="0.35">
      <c r="H1116" s="35"/>
    </row>
    <row r="1117" spans="8:8" x14ac:dyDescent="0.35">
      <c r="H1117" s="35"/>
    </row>
    <row r="1118" spans="8:8" x14ac:dyDescent="0.35">
      <c r="H1118" s="35"/>
    </row>
    <row r="1119" spans="8:8" x14ac:dyDescent="0.35">
      <c r="H1119" s="35"/>
    </row>
    <row r="1120" spans="8:8" x14ac:dyDescent="0.35">
      <c r="H1120" s="35"/>
    </row>
    <row r="1121" spans="8:8" x14ac:dyDescent="0.35">
      <c r="H1121" s="35"/>
    </row>
    <row r="1122" spans="8:8" x14ac:dyDescent="0.35">
      <c r="H1122" s="35"/>
    </row>
    <row r="1123" spans="8:8" x14ac:dyDescent="0.35">
      <c r="H1123" s="35"/>
    </row>
    <row r="1124" spans="8:8" x14ac:dyDescent="0.35">
      <c r="H1124" s="35"/>
    </row>
    <row r="1125" spans="8:8" x14ac:dyDescent="0.35">
      <c r="H1125" s="35"/>
    </row>
    <row r="1126" spans="8:8" x14ac:dyDescent="0.35">
      <c r="H1126" s="35"/>
    </row>
    <row r="1127" spans="8:8" x14ac:dyDescent="0.35">
      <c r="H1127" s="35"/>
    </row>
    <row r="1128" spans="8:8" x14ac:dyDescent="0.35">
      <c r="H1128" s="35"/>
    </row>
    <row r="1129" spans="8:8" x14ac:dyDescent="0.35">
      <c r="H1129" s="35"/>
    </row>
    <row r="1130" spans="8:8" x14ac:dyDescent="0.35">
      <c r="H1130" s="35"/>
    </row>
    <row r="1131" spans="8:8" x14ac:dyDescent="0.35">
      <c r="H1131" s="35"/>
    </row>
    <row r="1132" spans="8:8" x14ac:dyDescent="0.35">
      <c r="H1132" s="35"/>
    </row>
    <row r="1133" spans="8:8" x14ac:dyDescent="0.35">
      <c r="H1133" s="35"/>
    </row>
    <row r="1134" spans="8:8" x14ac:dyDescent="0.35">
      <c r="H1134" s="35"/>
    </row>
    <row r="1135" spans="8:8" x14ac:dyDescent="0.35">
      <c r="H1135" s="35"/>
    </row>
    <row r="1136" spans="8:8" x14ac:dyDescent="0.35">
      <c r="H1136" s="35"/>
    </row>
    <row r="1137" spans="8:8" x14ac:dyDescent="0.35">
      <c r="H1137" s="35"/>
    </row>
    <row r="1138" spans="8:8" x14ac:dyDescent="0.35">
      <c r="H1138" s="35"/>
    </row>
    <row r="1139" spans="8:8" x14ac:dyDescent="0.35">
      <c r="H1139" s="35"/>
    </row>
    <row r="1140" spans="8:8" x14ac:dyDescent="0.35">
      <c r="H1140" s="35"/>
    </row>
    <row r="1141" spans="8:8" x14ac:dyDescent="0.35">
      <c r="H1141" s="35"/>
    </row>
    <row r="1142" spans="8:8" x14ac:dyDescent="0.35">
      <c r="H1142" s="35"/>
    </row>
    <row r="1143" spans="8:8" x14ac:dyDescent="0.35">
      <c r="H1143" s="35"/>
    </row>
    <row r="1144" spans="8:8" x14ac:dyDescent="0.35">
      <c r="H1144" s="35"/>
    </row>
    <row r="1145" spans="8:8" x14ac:dyDescent="0.35">
      <c r="H1145" s="35"/>
    </row>
    <row r="1146" spans="8:8" x14ac:dyDescent="0.35">
      <c r="H1146" s="35"/>
    </row>
    <row r="1147" spans="8:8" x14ac:dyDescent="0.35">
      <c r="H1147" s="35"/>
    </row>
    <row r="1148" spans="8:8" x14ac:dyDescent="0.35">
      <c r="H1148" s="35"/>
    </row>
    <row r="1149" spans="8:8" x14ac:dyDescent="0.35">
      <c r="H1149" s="35"/>
    </row>
    <row r="1150" spans="8:8" x14ac:dyDescent="0.35">
      <c r="H1150" s="35"/>
    </row>
    <row r="1151" spans="8:8" x14ac:dyDescent="0.35">
      <c r="H1151" s="35"/>
    </row>
    <row r="1152" spans="8:8" x14ac:dyDescent="0.35">
      <c r="H1152" s="35"/>
    </row>
    <row r="1153" spans="8:8" x14ac:dyDescent="0.35">
      <c r="H1153" s="35"/>
    </row>
    <row r="1154" spans="8:8" x14ac:dyDescent="0.35">
      <c r="H1154" s="35"/>
    </row>
    <row r="1155" spans="8:8" x14ac:dyDescent="0.35">
      <c r="H1155" s="35"/>
    </row>
    <row r="1156" spans="8:8" x14ac:dyDescent="0.35">
      <c r="H1156" s="35"/>
    </row>
    <row r="1157" spans="8:8" x14ac:dyDescent="0.35">
      <c r="H1157" s="35"/>
    </row>
    <row r="1158" spans="8:8" x14ac:dyDescent="0.35">
      <c r="H1158" s="35"/>
    </row>
    <row r="1159" spans="8:8" x14ac:dyDescent="0.35">
      <c r="H1159" s="35"/>
    </row>
    <row r="1160" spans="8:8" x14ac:dyDescent="0.35">
      <c r="H1160" s="35"/>
    </row>
    <row r="1161" spans="8:8" x14ac:dyDescent="0.35">
      <c r="H1161" s="35"/>
    </row>
    <row r="1162" spans="8:8" x14ac:dyDescent="0.35">
      <c r="H1162" s="35"/>
    </row>
    <row r="1163" spans="8:8" x14ac:dyDescent="0.35">
      <c r="H1163" s="35"/>
    </row>
    <row r="1164" spans="8:8" x14ac:dyDescent="0.35">
      <c r="H1164" s="35"/>
    </row>
    <row r="1165" spans="8:8" x14ac:dyDescent="0.35">
      <c r="H1165" s="35"/>
    </row>
    <row r="1166" spans="8:8" x14ac:dyDescent="0.35">
      <c r="H1166" s="35"/>
    </row>
    <row r="1167" spans="8:8" x14ac:dyDescent="0.35">
      <c r="H1167" s="35"/>
    </row>
    <row r="1168" spans="8:8" x14ac:dyDescent="0.35">
      <c r="H1168" s="35"/>
    </row>
    <row r="1169" spans="8:8" x14ac:dyDescent="0.35">
      <c r="H1169" s="35"/>
    </row>
    <row r="1170" spans="8:8" x14ac:dyDescent="0.35">
      <c r="H1170" s="35"/>
    </row>
    <row r="1171" spans="8:8" x14ac:dyDescent="0.35">
      <c r="H1171" s="35"/>
    </row>
    <row r="1172" spans="8:8" x14ac:dyDescent="0.35">
      <c r="H1172" s="35"/>
    </row>
    <row r="1173" spans="8:8" x14ac:dyDescent="0.35">
      <c r="H1173" s="35"/>
    </row>
    <row r="1174" spans="8:8" x14ac:dyDescent="0.35">
      <c r="H1174" s="35"/>
    </row>
    <row r="1175" spans="8:8" x14ac:dyDescent="0.35">
      <c r="H1175" s="35"/>
    </row>
    <row r="1176" spans="8:8" x14ac:dyDescent="0.35">
      <c r="H1176" s="35"/>
    </row>
    <row r="1177" spans="8:8" x14ac:dyDescent="0.35">
      <c r="H1177" s="35"/>
    </row>
    <row r="1178" spans="8:8" x14ac:dyDescent="0.35">
      <c r="H1178" s="35"/>
    </row>
    <row r="1179" spans="8:8" x14ac:dyDescent="0.35">
      <c r="H1179" s="35"/>
    </row>
    <row r="1180" spans="8:8" x14ac:dyDescent="0.35">
      <c r="H1180" s="35"/>
    </row>
    <row r="1181" spans="8:8" x14ac:dyDescent="0.35">
      <c r="H1181" s="35"/>
    </row>
    <row r="1182" spans="8:8" x14ac:dyDescent="0.35">
      <c r="H1182" s="35"/>
    </row>
    <row r="1183" spans="8:8" x14ac:dyDescent="0.35">
      <c r="H1183" s="35"/>
    </row>
    <row r="1184" spans="8:8" x14ac:dyDescent="0.35">
      <c r="H1184" s="35"/>
    </row>
    <row r="1185" spans="8:8" x14ac:dyDescent="0.35">
      <c r="H1185" s="35"/>
    </row>
    <row r="1186" spans="8:8" x14ac:dyDescent="0.35">
      <c r="H1186" s="35"/>
    </row>
    <row r="1187" spans="8:8" x14ac:dyDescent="0.35">
      <c r="H1187" s="35"/>
    </row>
    <row r="1188" spans="8:8" x14ac:dyDescent="0.35">
      <c r="H1188" s="35"/>
    </row>
    <row r="1189" spans="8:8" x14ac:dyDescent="0.35">
      <c r="H1189" s="35"/>
    </row>
    <row r="1190" spans="8:8" x14ac:dyDescent="0.35">
      <c r="H1190" s="35"/>
    </row>
    <row r="1191" spans="8:8" x14ac:dyDescent="0.35">
      <c r="H1191" s="35"/>
    </row>
    <row r="1192" spans="8:8" x14ac:dyDescent="0.35">
      <c r="H1192" s="35"/>
    </row>
    <row r="1193" spans="8:8" x14ac:dyDescent="0.35">
      <c r="H1193" s="35"/>
    </row>
    <row r="1194" spans="8:8" x14ac:dyDescent="0.35">
      <c r="H1194" s="35"/>
    </row>
    <row r="1195" spans="8:8" x14ac:dyDescent="0.35">
      <c r="H1195" s="35"/>
    </row>
    <row r="1196" spans="8:8" x14ac:dyDescent="0.35">
      <c r="H1196" s="35"/>
    </row>
    <row r="1197" spans="8:8" x14ac:dyDescent="0.35">
      <c r="H1197" s="35"/>
    </row>
    <row r="1198" spans="8:8" x14ac:dyDescent="0.35">
      <c r="H1198" s="35"/>
    </row>
    <row r="1199" spans="8:8" x14ac:dyDescent="0.35">
      <c r="H1199" s="35"/>
    </row>
    <row r="1200" spans="8:8" x14ac:dyDescent="0.35">
      <c r="H1200" s="35"/>
    </row>
    <row r="1201" spans="8:8" x14ac:dyDescent="0.35">
      <c r="H1201" s="35"/>
    </row>
    <row r="1202" spans="8:8" x14ac:dyDescent="0.35">
      <c r="H1202" s="35"/>
    </row>
    <row r="1203" spans="8:8" x14ac:dyDescent="0.35">
      <c r="H1203" s="35"/>
    </row>
    <row r="1204" spans="8:8" x14ac:dyDescent="0.35">
      <c r="H1204" s="35"/>
    </row>
    <row r="1205" spans="8:8" x14ac:dyDescent="0.35">
      <c r="H1205" s="35"/>
    </row>
    <row r="1206" spans="8:8" x14ac:dyDescent="0.35">
      <c r="H1206" s="35"/>
    </row>
    <row r="1207" spans="8:8" x14ac:dyDescent="0.35">
      <c r="H1207" s="35"/>
    </row>
    <row r="1208" spans="8:8" x14ac:dyDescent="0.35">
      <c r="H1208" s="35"/>
    </row>
    <row r="1209" spans="8:8" x14ac:dyDescent="0.35">
      <c r="H1209" s="35"/>
    </row>
    <row r="1210" spans="8:8" x14ac:dyDescent="0.35">
      <c r="H1210" s="35"/>
    </row>
    <row r="1211" spans="8:8" x14ac:dyDescent="0.35">
      <c r="H1211" s="35"/>
    </row>
    <row r="1212" spans="8:8" x14ac:dyDescent="0.35">
      <c r="H1212" s="35"/>
    </row>
    <row r="1213" spans="8:8" x14ac:dyDescent="0.35">
      <c r="H1213" s="35"/>
    </row>
    <row r="1214" spans="8:8" x14ac:dyDescent="0.35">
      <c r="H1214" s="35"/>
    </row>
    <row r="1215" spans="8:8" x14ac:dyDescent="0.35">
      <c r="H1215" s="35"/>
    </row>
    <row r="1216" spans="8:8" x14ac:dyDescent="0.35">
      <c r="H1216" s="35"/>
    </row>
    <row r="1217" spans="8:8" x14ac:dyDescent="0.35">
      <c r="H1217" s="35"/>
    </row>
    <row r="1218" spans="8:8" x14ac:dyDescent="0.35">
      <c r="H1218" s="35"/>
    </row>
    <row r="1219" spans="8:8" x14ac:dyDescent="0.35">
      <c r="H1219" s="35"/>
    </row>
    <row r="1220" spans="8:8" x14ac:dyDescent="0.35">
      <c r="H1220" s="35"/>
    </row>
    <row r="1221" spans="8:8" x14ac:dyDescent="0.35">
      <c r="H1221" s="35"/>
    </row>
    <row r="1222" spans="8:8" x14ac:dyDescent="0.35">
      <c r="H1222" s="35"/>
    </row>
    <row r="1223" spans="8:8" x14ac:dyDescent="0.35">
      <c r="H1223" s="35"/>
    </row>
    <row r="1224" spans="8:8" x14ac:dyDescent="0.35">
      <c r="H1224" s="35"/>
    </row>
    <row r="1225" spans="8:8" x14ac:dyDescent="0.35">
      <c r="H1225" s="35"/>
    </row>
    <row r="1226" spans="8:8" x14ac:dyDescent="0.35">
      <c r="H1226" s="35"/>
    </row>
    <row r="1227" spans="8:8" x14ac:dyDescent="0.35">
      <c r="H1227" s="35"/>
    </row>
    <row r="1228" spans="8:8" x14ac:dyDescent="0.35">
      <c r="H1228" s="35"/>
    </row>
    <row r="1229" spans="8:8" x14ac:dyDescent="0.35">
      <c r="H1229" s="35"/>
    </row>
    <row r="1230" spans="8:8" x14ac:dyDescent="0.35">
      <c r="H1230" s="35"/>
    </row>
    <row r="1231" spans="8:8" x14ac:dyDescent="0.35">
      <c r="H1231" s="35"/>
    </row>
    <row r="1232" spans="8:8" x14ac:dyDescent="0.35">
      <c r="H1232" s="35"/>
    </row>
    <row r="1233" spans="8:8" x14ac:dyDescent="0.35">
      <c r="H1233" s="35"/>
    </row>
    <row r="1234" spans="8:8" x14ac:dyDescent="0.35">
      <c r="H1234" s="35"/>
    </row>
    <row r="1235" spans="8:8" x14ac:dyDescent="0.35">
      <c r="H1235" s="35"/>
    </row>
    <row r="1236" spans="8:8" x14ac:dyDescent="0.35">
      <c r="H1236" s="35"/>
    </row>
    <row r="1237" spans="8:8" x14ac:dyDescent="0.35">
      <c r="H1237" s="35"/>
    </row>
    <row r="1238" spans="8:8" x14ac:dyDescent="0.35">
      <c r="H1238" s="35"/>
    </row>
    <row r="1239" spans="8:8" x14ac:dyDescent="0.35">
      <c r="H1239" s="35"/>
    </row>
    <row r="1240" spans="8:8" x14ac:dyDescent="0.35">
      <c r="H1240" s="35"/>
    </row>
    <row r="1241" spans="8:8" x14ac:dyDescent="0.35">
      <c r="H1241" s="35"/>
    </row>
    <row r="1242" spans="8:8" x14ac:dyDescent="0.35">
      <c r="H1242" s="35"/>
    </row>
    <row r="1243" spans="8:8" x14ac:dyDescent="0.35">
      <c r="H1243" s="35"/>
    </row>
    <row r="1244" spans="8:8" x14ac:dyDescent="0.35">
      <c r="H1244" s="35"/>
    </row>
    <row r="1245" spans="8:8" x14ac:dyDescent="0.35">
      <c r="H1245" s="35"/>
    </row>
    <row r="1246" spans="8:8" x14ac:dyDescent="0.35">
      <c r="H1246" s="35"/>
    </row>
    <row r="1247" spans="8:8" x14ac:dyDescent="0.35">
      <c r="H1247" s="35"/>
    </row>
    <row r="1248" spans="8:8" x14ac:dyDescent="0.35">
      <c r="H1248" s="35"/>
    </row>
    <row r="1249" spans="8:8" x14ac:dyDescent="0.35">
      <c r="H1249" s="35"/>
    </row>
    <row r="1250" spans="8:8" x14ac:dyDescent="0.35">
      <c r="H1250" s="35"/>
    </row>
    <row r="1251" spans="8:8" x14ac:dyDescent="0.35">
      <c r="H1251" s="35"/>
    </row>
    <row r="1252" spans="8:8" x14ac:dyDescent="0.35">
      <c r="H1252" s="35"/>
    </row>
    <row r="1253" spans="8:8" x14ac:dyDescent="0.35">
      <c r="H1253" s="35"/>
    </row>
    <row r="1254" spans="8:8" x14ac:dyDescent="0.35">
      <c r="H1254" s="35"/>
    </row>
    <row r="1255" spans="8:8" x14ac:dyDescent="0.35">
      <c r="H1255" s="35"/>
    </row>
    <row r="1256" spans="8:8" x14ac:dyDescent="0.35">
      <c r="H1256" s="35"/>
    </row>
    <row r="1257" spans="8:8" x14ac:dyDescent="0.35">
      <c r="H1257" s="35"/>
    </row>
    <row r="1258" spans="8:8" x14ac:dyDescent="0.35">
      <c r="H1258" s="35"/>
    </row>
    <row r="1259" spans="8:8" x14ac:dyDescent="0.35">
      <c r="H1259" s="35"/>
    </row>
    <row r="1260" spans="8:8" x14ac:dyDescent="0.35">
      <c r="H1260" s="35"/>
    </row>
    <row r="1261" spans="8:8" x14ac:dyDescent="0.35">
      <c r="H1261" s="35"/>
    </row>
    <row r="1262" spans="8:8" x14ac:dyDescent="0.35">
      <c r="H1262" s="35"/>
    </row>
    <row r="1263" spans="8:8" x14ac:dyDescent="0.35">
      <c r="H1263" s="35"/>
    </row>
    <row r="1264" spans="8:8" x14ac:dyDescent="0.35">
      <c r="H1264" s="35"/>
    </row>
    <row r="1265" spans="8:8" x14ac:dyDescent="0.35">
      <c r="H1265" s="35"/>
    </row>
    <row r="1266" spans="8:8" x14ac:dyDescent="0.35">
      <c r="H1266" s="35"/>
    </row>
    <row r="1267" spans="8:8" x14ac:dyDescent="0.35">
      <c r="H1267" s="35"/>
    </row>
    <row r="1268" spans="8:8" x14ac:dyDescent="0.35">
      <c r="H1268" s="35"/>
    </row>
    <row r="1269" spans="8:8" x14ac:dyDescent="0.35">
      <c r="H1269" s="35"/>
    </row>
    <row r="1270" spans="8:8" x14ac:dyDescent="0.35">
      <c r="H1270" s="35"/>
    </row>
    <row r="1271" spans="8:8" x14ac:dyDescent="0.35">
      <c r="H1271" s="35"/>
    </row>
    <row r="1272" spans="8:8" x14ac:dyDescent="0.35">
      <c r="H1272" s="35"/>
    </row>
    <row r="1273" spans="8:8" x14ac:dyDescent="0.35">
      <c r="H1273" s="35"/>
    </row>
    <row r="1274" spans="8:8" x14ac:dyDescent="0.35">
      <c r="H1274" s="35"/>
    </row>
    <row r="1275" spans="8:8" x14ac:dyDescent="0.35">
      <c r="H1275" s="35"/>
    </row>
    <row r="1276" spans="8:8" x14ac:dyDescent="0.35">
      <c r="H1276" s="35"/>
    </row>
    <row r="1277" spans="8:8" x14ac:dyDescent="0.35">
      <c r="H1277" s="35"/>
    </row>
    <row r="1278" spans="8:8" x14ac:dyDescent="0.35">
      <c r="H1278" s="35"/>
    </row>
    <row r="1279" spans="8:8" x14ac:dyDescent="0.35">
      <c r="H1279" s="35"/>
    </row>
    <row r="1280" spans="8:8" x14ac:dyDescent="0.35">
      <c r="H1280" s="35"/>
    </row>
    <row r="1281" spans="8:8" x14ac:dyDescent="0.35">
      <c r="H1281" s="35"/>
    </row>
    <row r="1282" spans="8:8" x14ac:dyDescent="0.35">
      <c r="H1282" s="35"/>
    </row>
    <row r="1283" spans="8:8" x14ac:dyDescent="0.35">
      <c r="H1283" s="35"/>
    </row>
    <row r="1284" spans="8:8" x14ac:dyDescent="0.35">
      <c r="H1284" s="35"/>
    </row>
    <row r="1285" spans="8:8" x14ac:dyDescent="0.35">
      <c r="H1285" s="35"/>
    </row>
    <row r="1286" spans="8:8" x14ac:dyDescent="0.35">
      <c r="H1286" s="35"/>
    </row>
    <row r="1287" spans="8:8" x14ac:dyDescent="0.35">
      <c r="H1287" s="35"/>
    </row>
    <row r="1288" spans="8:8" x14ac:dyDescent="0.35">
      <c r="H1288" s="35"/>
    </row>
    <row r="1289" spans="8:8" x14ac:dyDescent="0.35">
      <c r="H1289" s="35"/>
    </row>
    <row r="1290" spans="8:8" x14ac:dyDescent="0.35">
      <c r="H1290" s="35"/>
    </row>
    <row r="1291" spans="8:8" x14ac:dyDescent="0.35">
      <c r="H1291" s="35"/>
    </row>
    <row r="1292" spans="8:8" x14ac:dyDescent="0.35">
      <c r="H1292" s="35"/>
    </row>
    <row r="1293" spans="8:8" x14ac:dyDescent="0.35">
      <c r="H1293" s="35"/>
    </row>
    <row r="1294" spans="8:8" x14ac:dyDescent="0.35">
      <c r="H1294" s="35"/>
    </row>
    <row r="1295" spans="8:8" x14ac:dyDescent="0.35">
      <c r="H1295" s="35"/>
    </row>
    <row r="1296" spans="8:8" x14ac:dyDescent="0.35">
      <c r="H1296" s="35"/>
    </row>
    <row r="1297" spans="8:8" x14ac:dyDescent="0.35">
      <c r="H1297" s="35"/>
    </row>
    <row r="1298" spans="8:8" x14ac:dyDescent="0.35">
      <c r="H1298" s="35"/>
    </row>
    <row r="1299" spans="8:8" x14ac:dyDescent="0.35">
      <c r="H1299" s="35"/>
    </row>
    <row r="1300" spans="8:8" x14ac:dyDescent="0.35">
      <c r="H1300" s="35"/>
    </row>
    <row r="1301" spans="8:8" x14ac:dyDescent="0.35">
      <c r="H1301" s="35"/>
    </row>
    <row r="1302" spans="8:8" x14ac:dyDescent="0.35">
      <c r="H1302" s="35"/>
    </row>
    <row r="1303" spans="8:8" x14ac:dyDescent="0.35">
      <c r="H1303" s="35"/>
    </row>
    <row r="1304" spans="8:8" x14ac:dyDescent="0.35">
      <c r="H1304" s="35"/>
    </row>
    <row r="1305" spans="8:8" x14ac:dyDescent="0.35">
      <c r="H1305" s="35"/>
    </row>
    <row r="1306" spans="8:8" x14ac:dyDescent="0.35">
      <c r="H1306" s="35"/>
    </row>
    <row r="1307" spans="8:8" x14ac:dyDescent="0.35">
      <c r="H1307" s="35"/>
    </row>
    <row r="1308" spans="8:8" x14ac:dyDescent="0.35">
      <c r="H1308" s="35"/>
    </row>
    <row r="1309" spans="8:8" x14ac:dyDescent="0.35">
      <c r="H1309" s="35"/>
    </row>
    <row r="1310" spans="8:8" x14ac:dyDescent="0.35">
      <c r="H1310" s="35"/>
    </row>
    <row r="1311" spans="8:8" x14ac:dyDescent="0.35">
      <c r="H1311" s="35"/>
    </row>
    <row r="1312" spans="8:8" x14ac:dyDescent="0.35">
      <c r="H1312" s="35"/>
    </row>
    <row r="1313" spans="8:8" x14ac:dyDescent="0.35">
      <c r="H1313" s="35"/>
    </row>
    <row r="1314" spans="8:8" x14ac:dyDescent="0.35">
      <c r="H1314" s="35"/>
    </row>
    <row r="1315" spans="8:8" x14ac:dyDescent="0.35">
      <c r="H1315" s="35"/>
    </row>
    <row r="1316" spans="8:8" x14ac:dyDescent="0.35">
      <c r="H1316" s="35"/>
    </row>
    <row r="1317" spans="8:8" x14ac:dyDescent="0.35">
      <c r="H1317" s="35"/>
    </row>
    <row r="1318" spans="8:8" x14ac:dyDescent="0.35">
      <c r="H1318" s="35"/>
    </row>
    <row r="1319" spans="8:8" x14ac:dyDescent="0.35">
      <c r="H1319" s="35"/>
    </row>
    <row r="1320" spans="8:8" x14ac:dyDescent="0.35">
      <c r="H1320" s="35"/>
    </row>
    <row r="1321" spans="8:8" x14ac:dyDescent="0.35">
      <c r="H1321" s="35"/>
    </row>
    <row r="1322" spans="8:8" x14ac:dyDescent="0.35">
      <c r="H1322" s="35"/>
    </row>
    <row r="1323" spans="8:8" x14ac:dyDescent="0.35">
      <c r="H1323" s="35"/>
    </row>
    <row r="1324" spans="8:8" x14ac:dyDescent="0.35">
      <c r="H1324" s="35"/>
    </row>
    <row r="1325" spans="8:8" x14ac:dyDescent="0.35">
      <c r="H1325" s="35"/>
    </row>
    <row r="1326" spans="8:8" x14ac:dyDescent="0.35">
      <c r="H1326" s="35"/>
    </row>
    <row r="1327" spans="8:8" x14ac:dyDescent="0.35">
      <c r="H1327" s="35"/>
    </row>
    <row r="1328" spans="8:8" x14ac:dyDescent="0.35">
      <c r="H1328" s="35"/>
    </row>
    <row r="1329" spans="8:8" x14ac:dyDescent="0.35">
      <c r="H1329" s="35"/>
    </row>
    <row r="1330" spans="8:8" x14ac:dyDescent="0.35">
      <c r="H1330" s="35"/>
    </row>
    <row r="1331" spans="8:8" x14ac:dyDescent="0.35">
      <c r="H1331" s="35"/>
    </row>
    <row r="1332" spans="8:8" x14ac:dyDescent="0.35">
      <c r="H1332" s="35"/>
    </row>
    <row r="1333" spans="8:8" x14ac:dyDescent="0.35">
      <c r="H1333" s="35"/>
    </row>
    <row r="1334" spans="8:8" x14ac:dyDescent="0.35">
      <c r="H1334" s="35"/>
    </row>
    <row r="1335" spans="8:8" x14ac:dyDescent="0.35">
      <c r="H1335" s="35"/>
    </row>
    <row r="1336" spans="8:8" x14ac:dyDescent="0.35">
      <c r="H1336" s="35"/>
    </row>
    <row r="1337" spans="8:8" x14ac:dyDescent="0.35">
      <c r="H1337" s="35"/>
    </row>
    <row r="1338" spans="8:8" x14ac:dyDescent="0.35">
      <c r="H1338" s="35"/>
    </row>
    <row r="1339" spans="8:8" x14ac:dyDescent="0.35">
      <c r="H1339" s="35"/>
    </row>
    <row r="1340" spans="8:8" x14ac:dyDescent="0.35">
      <c r="H1340" s="35"/>
    </row>
    <row r="1341" spans="8:8" x14ac:dyDescent="0.35">
      <c r="H1341" s="35"/>
    </row>
    <row r="1342" spans="8:8" x14ac:dyDescent="0.35">
      <c r="H1342" s="35"/>
    </row>
    <row r="1343" spans="8:8" x14ac:dyDescent="0.35">
      <c r="H1343" s="35"/>
    </row>
    <row r="1344" spans="8:8" x14ac:dyDescent="0.35">
      <c r="H1344" s="35"/>
    </row>
    <row r="1345" spans="8:8" x14ac:dyDescent="0.35">
      <c r="H1345" s="35"/>
    </row>
    <row r="1346" spans="8:8" x14ac:dyDescent="0.35">
      <c r="H1346" s="35"/>
    </row>
    <row r="1347" spans="8:8" x14ac:dyDescent="0.35">
      <c r="H1347" s="35"/>
    </row>
    <row r="1348" spans="8:8" x14ac:dyDescent="0.35">
      <c r="H1348" s="35"/>
    </row>
    <row r="1349" spans="8:8" x14ac:dyDescent="0.35">
      <c r="H1349" s="35"/>
    </row>
    <row r="1350" spans="8:8" x14ac:dyDescent="0.35">
      <c r="H1350" s="35"/>
    </row>
    <row r="1351" spans="8:8" x14ac:dyDescent="0.35">
      <c r="H1351" s="35"/>
    </row>
    <row r="1352" spans="8:8" x14ac:dyDescent="0.35">
      <c r="H1352" s="35"/>
    </row>
    <row r="1353" spans="8:8" x14ac:dyDescent="0.35">
      <c r="H1353" s="35"/>
    </row>
    <row r="1354" spans="8:8" x14ac:dyDescent="0.35">
      <c r="H1354" s="35"/>
    </row>
    <row r="1355" spans="8:8" x14ac:dyDescent="0.35">
      <c r="H1355" s="35"/>
    </row>
    <row r="1356" spans="8:8" x14ac:dyDescent="0.35">
      <c r="H1356" s="35"/>
    </row>
    <row r="1357" spans="8:8" x14ac:dyDescent="0.35">
      <c r="H1357" s="35"/>
    </row>
    <row r="1358" spans="8:8" x14ac:dyDescent="0.35">
      <c r="H1358" s="35"/>
    </row>
    <row r="1359" spans="8:8" x14ac:dyDescent="0.35">
      <c r="H1359" s="35"/>
    </row>
    <row r="1360" spans="8:8" x14ac:dyDescent="0.35">
      <c r="H1360" s="35"/>
    </row>
    <row r="1361" spans="8:8" x14ac:dyDescent="0.35">
      <c r="H1361" s="35"/>
    </row>
    <row r="1362" spans="8:8" x14ac:dyDescent="0.35">
      <c r="H1362" s="35"/>
    </row>
    <row r="1363" spans="8:8" x14ac:dyDescent="0.35">
      <c r="H1363" s="35"/>
    </row>
    <row r="1364" spans="8:8" x14ac:dyDescent="0.35">
      <c r="H1364" s="35"/>
    </row>
    <row r="1365" spans="8:8" x14ac:dyDescent="0.35">
      <c r="H1365" s="35"/>
    </row>
    <row r="1366" spans="8:8" x14ac:dyDescent="0.35">
      <c r="H1366" s="35"/>
    </row>
    <row r="1367" spans="8:8" x14ac:dyDescent="0.35">
      <c r="H1367" s="35"/>
    </row>
    <row r="1368" spans="8:8" x14ac:dyDescent="0.35">
      <c r="H1368" s="35"/>
    </row>
    <row r="1369" spans="8:8" x14ac:dyDescent="0.35">
      <c r="H1369" s="35"/>
    </row>
    <row r="1370" spans="8:8" x14ac:dyDescent="0.35">
      <c r="H1370" s="35"/>
    </row>
    <row r="1371" spans="8:8" x14ac:dyDescent="0.35">
      <c r="H1371" s="35"/>
    </row>
    <row r="1372" spans="8:8" x14ac:dyDescent="0.35">
      <c r="H1372" s="35"/>
    </row>
    <row r="1373" spans="8:8" x14ac:dyDescent="0.35">
      <c r="H1373" s="35"/>
    </row>
    <row r="1374" spans="8:8" x14ac:dyDescent="0.35">
      <c r="H1374" s="35"/>
    </row>
    <row r="1375" spans="8:8" x14ac:dyDescent="0.35">
      <c r="H1375" s="35"/>
    </row>
    <row r="1376" spans="8:8" x14ac:dyDescent="0.35">
      <c r="H1376" s="35"/>
    </row>
    <row r="1377" spans="8:8" x14ac:dyDescent="0.35">
      <c r="H1377" s="35"/>
    </row>
    <row r="1378" spans="8:8" x14ac:dyDescent="0.35">
      <c r="H1378" s="35"/>
    </row>
    <row r="1379" spans="8:8" x14ac:dyDescent="0.35">
      <c r="H1379" s="35"/>
    </row>
    <row r="1380" spans="8:8" x14ac:dyDescent="0.35">
      <c r="H1380" s="35"/>
    </row>
    <row r="1381" spans="8:8" x14ac:dyDescent="0.35">
      <c r="H1381" s="35"/>
    </row>
    <row r="1382" spans="8:8" x14ac:dyDescent="0.35">
      <c r="H1382" s="35"/>
    </row>
    <row r="1383" spans="8:8" x14ac:dyDescent="0.35">
      <c r="H1383" s="35"/>
    </row>
    <row r="1384" spans="8:8" x14ac:dyDescent="0.35">
      <c r="H1384" s="35"/>
    </row>
    <row r="1385" spans="8:8" x14ac:dyDescent="0.35">
      <c r="H1385" s="35"/>
    </row>
    <row r="1386" spans="8:8" x14ac:dyDescent="0.35">
      <c r="H1386" s="35"/>
    </row>
    <row r="1387" spans="8:8" x14ac:dyDescent="0.35">
      <c r="H1387" s="35"/>
    </row>
    <row r="1388" spans="8:8" x14ac:dyDescent="0.35">
      <c r="H1388" s="35"/>
    </row>
    <row r="1389" spans="8:8" x14ac:dyDescent="0.35">
      <c r="H1389" s="35"/>
    </row>
    <row r="1390" spans="8:8" x14ac:dyDescent="0.35">
      <c r="H1390" s="35"/>
    </row>
    <row r="1391" spans="8:8" x14ac:dyDescent="0.35">
      <c r="H1391" s="35"/>
    </row>
    <row r="1392" spans="8:8" x14ac:dyDescent="0.35">
      <c r="H1392" s="35"/>
    </row>
    <row r="1393" spans="8:8" x14ac:dyDescent="0.35">
      <c r="H1393" s="35"/>
    </row>
    <row r="1394" spans="8:8" x14ac:dyDescent="0.35">
      <c r="H1394" s="35"/>
    </row>
    <row r="1395" spans="8:8" x14ac:dyDescent="0.35">
      <c r="H1395" s="35"/>
    </row>
    <row r="1396" spans="8:8" x14ac:dyDescent="0.35">
      <c r="H1396" s="35"/>
    </row>
    <row r="1397" spans="8:8" x14ac:dyDescent="0.35">
      <c r="H1397" s="35"/>
    </row>
    <row r="1398" spans="8:8" x14ac:dyDescent="0.35">
      <c r="H1398" s="35"/>
    </row>
    <row r="1399" spans="8:8" x14ac:dyDescent="0.35">
      <c r="H1399" s="35"/>
    </row>
    <row r="1400" spans="8:8" x14ac:dyDescent="0.35">
      <c r="H1400" s="35"/>
    </row>
    <row r="1401" spans="8:8" x14ac:dyDescent="0.35">
      <c r="H1401" s="35"/>
    </row>
    <row r="1402" spans="8:8" x14ac:dyDescent="0.35">
      <c r="H1402" s="35"/>
    </row>
    <row r="1403" spans="8:8" x14ac:dyDescent="0.35">
      <c r="H1403" s="35"/>
    </row>
    <row r="1404" spans="8:8" x14ac:dyDescent="0.35">
      <c r="H1404" s="35"/>
    </row>
    <row r="1405" spans="8:8" x14ac:dyDescent="0.35">
      <c r="H1405" s="35"/>
    </row>
    <row r="1406" spans="8:8" x14ac:dyDescent="0.35">
      <c r="H1406" s="35"/>
    </row>
    <row r="1407" spans="8:8" x14ac:dyDescent="0.35">
      <c r="H1407" s="35"/>
    </row>
    <row r="1408" spans="8:8" x14ac:dyDescent="0.35">
      <c r="H1408" s="35"/>
    </row>
    <row r="1409" spans="8:8" x14ac:dyDescent="0.35">
      <c r="H1409" s="35"/>
    </row>
    <row r="1410" spans="8:8" x14ac:dyDescent="0.35">
      <c r="H1410" s="35"/>
    </row>
    <row r="1411" spans="8:8" x14ac:dyDescent="0.35">
      <c r="H1411" s="35"/>
    </row>
    <row r="1412" spans="8:8" x14ac:dyDescent="0.35">
      <c r="H1412" s="35"/>
    </row>
    <row r="1413" spans="8:8" x14ac:dyDescent="0.35">
      <c r="H1413" s="35"/>
    </row>
    <row r="1414" spans="8:8" x14ac:dyDescent="0.35">
      <c r="H1414" s="35"/>
    </row>
    <row r="1415" spans="8:8" x14ac:dyDescent="0.35">
      <c r="H1415" s="35"/>
    </row>
    <row r="1416" spans="8:8" x14ac:dyDescent="0.35">
      <c r="H1416" s="35"/>
    </row>
    <row r="1417" spans="8:8" x14ac:dyDescent="0.35">
      <c r="H1417" s="35"/>
    </row>
    <row r="1418" spans="8:8" x14ac:dyDescent="0.35">
      <c r="H1418" s="35"/>
    </row>
    <row r="1419" spans="8:8" x14ac:dyDescent="0.35">
      <c r="H1419" s="35"/>
    </row>
    <row r="1420" spans="8:8" x14ac:dyDescent="0.35">
      <c r="H1420" s="35"/>
    </row>
    <row r="1421" spans="8:8" x14ac:dyDescent="0.35">
      <c r="H1421" s="35"/>
    </row>
    <row r="1422" spans="8:8" x14ac:dyDescent="0.35">
      <c r="H1422" s="35"/>
    </row>
    <row r="1423" spans="8:8" x14ac:dyDescent="0.35">
      <c r="H1423" s="35"/>
    </row>
    <row r="1424" spans="8:8" x14ac:dyDescent="0.35">
      <c r="H1424" s="35"/>
    </row>
    <row r="1425" spans="8:8" x14ac:dyDescent="0.35">
      <c r="H1425" s="35"/>
    </row>
    <row r="1426" spans="8:8" x14ac:dyDescent="0.35">
      <c r="H1426" s="35"/>
    </row>
    <row r="1427" spans="8:8" x14ac:dyDescent="0.35">
      <c r="H1427" s="35"/>
    </row>
    <row r="1428" spans="8:8" x14ac:dyDescent="0.35">
      <c r="H1428" s="35"/>
    </row>
    <row r="1429" spans="8:8" x14ac:dyDescent="0.35">
      <c r="H1429" s="35"/>
    </row>
    <row r="1430" spans="8:8" x14ac:dyDescent="0.35">
      <c r="H1430" s="35"/>
    </row>
    <row r="1431" spans="8:8" x14ac:dyDescent="0.35">
      <c r="H1431" s="35"/>
    </row>
    <row r="1432" spans="8:8" x14ac:dyDescent="0.35">
      <c r="H1432" s="35"/>
    </row>
    <row r="1433" spans="8:8" x14ac:dyDescent="0.35">
      <c r="H1433" s="35"/>
    </row>
    <row r="1434" spans="8:8" x14ac:dyDescent="0.35">
      <c r="H1434" s="35"/>
    </row>
    <row r="1435" spans="8:8" x14ac:dyDescent="0.35">
      <c r="H1435" s="35"/>
    </row>
    <row r="1436" spans="8:8" x14ac:dyDescent="0.35">
      <c r="H1436" s="35"/>
    </row>
    <row r="1437" spans="8:8" x14ac:dyDescent="0.35">
      <c r="H1437" s="35"/>
    </row>
    <row r="1438" spans="8:8" x14ac:dyDescent="0.35">
      <c r="H1438" s="35"/>
    </row>
    <row r="1439" spans="8:8" x14ac:dyDescent="0.35">
      <c r="H1439" s="35"/>
    </row>
    <row r="1440" spans="8:8" x14ac:dyDescent="0.35">
      <c r="H1440" s="35"/>
    </row>
    <row r="1441" spans="8:8" x14ac:dyDescent="0.35">
      <c r="H1441" s="35"/>
    </row>
    <row r="1442" spans="8:8" x14ac:dyDescent="0.35">
      <c r="H1442" s="35"/>
    </row>
    <row r="1443" spans="8:8" x14ac:dyDescent="0.35">
      <c r="H1443" s="35"/>
    </row>
    <row r="1444" spans="8:8" x14ac:dyDescent="0.35">
      <c r="H1444" s="35"/>
    </row>
    <row r="1445" spans="8:8" x14ac:dyDescent="0.35">
      <c r="H1445" s="35"/>
    </row>
    <row r="1446" spans="8:8" x14ac:dyDescent="0.35">
      <c r="H1446" s="35"/>
    </row>
    <row r="1447" spans="8:8" x14ac:dyDescent="0.35">
      <c r="H1447" s="35"/>
    </row>
    <row r="1448" spans="8:8" x14ac:dyDescent="0.35">
      <c r="H1448" s="35"/>
    </row>
    <row r="1449" spans="8:8" x14ac:dyDescent="0.35">
      <c r="H1449" s="35"/>
    </row>
    <row r="1450" spans="8:8" x14ac:dyDescent="0.35">
      <c r="H1450" s="35"/>
    </row>
    <row r="1451" spans="8:8" x14ac:dyDescent="0.35">
      <c r="H1451" s="35"/>
    </row>
    <row r="1452" spans="8:8" x14ac:dyDescent="0.35">
      <c r="H1452" s="35"/>
    </row>
    <row r="1453" spans="8:8" x14ac:dyDescent="0.35">
      <c r="H1453" s="35"/>
    </row>
    <row r="1454" spans="8:8" x14ac:dyDescent="0.35">
      <c r="H1454" s="35"/>
    </row>
    <row r="1455" spans="8:8" x14ac:dyDescent="0.35">
      <c r="H1455" s="35"/>
    </row>
    <row r="1456" spans="8:8" x14ac:dyDescent="0.35">
      <c r="H1456" s="35"/>
    </row>
    <row r="1457" spans="8:8" x14ac:dyDescent="0.35">
      <c r="H1457" s="35"/>
    </row>
    <row r="1458" spans="8:8" x14ac:dyDescent="0.35">
      <c r="H1458" s="35"/>
    </row>
    <row r="1459" spans="8:8" x14ac:dyDescent="0.35">
      <c r="H1459" s="35"/>
    </row>
    <row r="1460" spans="8:8" x14ac:dyDescent="0.35">
      <c r="H1460" s="35"/>
    </row>
    <row r="1461" spans="8:8" x14ac:dyDescent="0.35">
      <c r="H1461" s="35"/>
    </row>
    <row r="1462" spans="8:8" x14ac:dyDescent="0.35">
      <c r="H1462" s="35"/>
    </row>
    <row r="1463" spans="8:8" x14ac:dyDescent="0.35">
      <c r="H1463" s="35"/>
    </row>
    <row r="1464" spans="8:8" x14ac:dyDescent="0.35">
      <c r="H1464" s="35"/>
    </row>
    <row r="1465" spans="8:8" x14ac:dyDescent="0.35">
      <c r="H1465" s="35"/>
    </row>
    <row r="1466" spans="8:8" x14ac:dyDescent="0.35">
      <c r="H1466" s="35"/>
    </row>
    <row r="1467" spans="8:8" x14ac:dyDescent="0.35">
      <c r="H1467" s="35"/>
    </row>
    <row r="1468" spans="8:8" x14ac:dyDescent="0.35">
      <c r="H1468" s="35"/>
    </row>
    <row r="1469" spans="8:8" x14ac:dyDescent="0.35">
      <c r="H1469" s="35"/>
    </row>
    <row r="1470" spans="8:8" x14ac:dyDescent="0.35">
      <c r="H1470" s="35"/>
    </row>
    <row r="1471" spans="8:8" x14ac:dyDescent="0.35">
      <c r="H1471" s="35"/>
    </row>
    <row r="1472" spans="8:8" x14ac:dyDescent="0.35">
      <c r="H1472" s="35"/>
    </row>
    <row r="1473" spans="8:8" x14ac:dyDescent="0.35">
      <c r="H1473" s="35"/>
    </row>
    <row r="1474" spans="8:8" x14ac:dyDescent="0.35">
      <c r="H1474" s="35"/>
    </row>
    <row r="1475" spans="8:8" x14ac:dyDescent="0.35">
      <c r="H1475" s="35"/>
    </row>
    <row r="1476" spans="8:8" x14ac:dyDescent="0.35">
      <c r="H1476" s="35"/>
    </row>
    <row r="1477" spans="8:8" x14ac:dyDescent="0.35">
      <c r="H1477" s="35"/>
    </row>
    <row r="1478" spans="8:8" x14ac:dyDescent="0.35">
      <c r="H1478" s="35"/>
    </row>
    <row r="1479" spans="8:8" x14ac:dyDescent="0.35">
      <c r="H1479" s="35"/>
    </row>
    <row r="1480" spans="8:8" x14ac:dyDescent="0.35">
      <c r="H1480" s="35"/>
    </row>
    <row r="1481" spans="8:8" x14ac:dyDescent="0.35">
      <c r="H1481" s="35"/>
    </row>
    <row r="1482" spans="8:8" x14ac:dyDescent="0.35">
      <c r="H1482" s="35"/>
    </row>
    <row r="1483" spans="8:8" x14ac:dyDescent="0.35">
      <c r="H1483" s="35"/>
    </row>
    <row r="1484" spans="8:8" x14ac:dyDescent="0.35">
      <c r="H1484" s="35"/>
    </row>
    <row r="1485" spans="8:8" x14ac:dyDescent="0.35">
      <c r="H1485" s="35"/>
    </row>
    <row r="1486" spans="8:8" x14ac:dyDescent="0.35">
      <c r="H1486" s="35"/>
    </row>
    <row r="1487" spans="8:8" x14ac:dyDescent="0.35">
      <c r="H1487" s="35"/>
    </row>
    <row r="1488" spans="8:8" x14ac:dyDescent="0.35">
      <c r="H1488" s="35"/>
    </row>
    <row r="1489" spans="8:8" x14ac:dyDescent="0.35">
      <c r="H1489" s="35"/>
    </row>
    <row r="1490" spans="8:8" x14ac:dyDescent="0.35">
      <c r="H1490" s="35"/>
    </row>
    <row r="1491" spans="8:8" x14ac:dyDescent="0.35">
      <c r="H1491" s="35"/>
    </row>
    <row r="1492" spans="8:8" x14ac:dyDescent="0.35">
      <c r="H1492" s="35"/>
    </row>
    <row r="1493" spans="8:8" x14ac:dyDescent="0.35">
      <c r="H1493" s="35"/>
    </row>
    <row r="1494" spans="8:8" x14ac:dyDescent="0.35">
      <c r="H1494" s="35"/>
    </row>
    <row r="1495" spans="8:8" x14ac:dyDescent="0.35">
      <c r="H1495" s="35"/>
    </row>
    <row r="1496" spans="8:8" x14ac:dyDescent="0.35">
      <c r="H1496" s="35"/>
    </row>
    <row r="1497" spans="8:8" x14ac:dyDescent="0.35">
      <c r="H1497" s="35"/>
    </row>
    <row r="1498" spans="8:8" x14ac:dyDescent="0.35">
      <c r="H1498" s="35"/>
    </row>
    <row r="1499" spans="8:8" x14ac:dyDescent="0.35">
      <c r="H1499" s="35"/>
    </row>
    <row r="1500" spans="8:8" x14ac:dyDescent="0.35">
      <c r="H1500" s="35"/>
    </row>
    <row r="1501" spans="8:8" x14ac:dyDescent="0.35">
      <c r="H1501" s="35"/>
    </row>
    <row r="1502" spans="8:8" x14ac:dyDescent="0.35">
      <c r="H1502" s="35"/>
    </row>
    <row r="1503" spans="8:8" x14ac:dyDescent="0.35">
      <c r="H1503" s="35"/>
    </row>
    <row r="1504" spans="8:8" x14ac:dyDescent="0.35">
      <c r="H1504" s="35"/>
    </row>
    <row r="1505" spans="8:8" x14ac:dyDescent="0.35">
      <c r="H1505" s="35"/>
    </row>
    <row r="1506" spans="8:8" x14ac:dyDescent="0.35">
      <c r="H1506" s="35"/>
    </row>
    <row r="1507" spans="8:8" x14ac:dyDescent="0.35">
      <c r="H1507" s="35"/>
    </row>
    <row r="1508" spans="8:8" x14ac:dyDescent="0.35">
      <c r="H1508" s="35"/>
    </row>
    <row r="1509" spans="8:8" x14ac:dyDescent="0.35">
      <c r="H1509" s="35"/>
    </row>
    <row r="1510" spans="8:8" x14ac:dyDescent="0.35">
      <c r="H1510" s="35"/>
    </row>
    <row r="1511" spans="8:8" x14ac:dyDescent="0.35">
      <c r="H1511" s="35"/>
    </row>
    <row r="1512" spans="8:8" x14ac:dyDescent="0.35">
      <c r="H1512" s="35"/>
    </row>
    <row r="1513" spans="8:8" x14ac:dyDescent="0.35">
      <c r="H1513" s="35"/>
    </row>
    <row r="1514" spans="8:8" x14ac:dyDescent="0.35">
      <c r="H1514" s="35"/>
    </row>
    <row r="1515" spans="8:8" x14ac:dyDescent="0.35">
      <c r="H1515" s="35"/>
    </row>
    <row r="1516" spans="8:8" x14ac:dyDescent="0.35">
      <c r="H1516" s="35"/>
    </row>
    <row r="1517" spans="8:8" x14ac:dyDescent="0.35">
      <c r="H1517" s="35"/>
    </row>
    <row r="1518" spans="8:8" x14ac:dyDescent="0.35">
      <c r="H1518" s="35"/>
    </row>
    <row r="1519" spans="8:8" x14ac:dyDescent="0.35">
      <c r="H1519" s="35"/>
    </row>
    <row r="1520" spans="8:8" x14ac:dyDescent="0.35">
      <c r="H1520" s="35"/>
    </row>
    <row r="1521" spans="8:8" x14ac:dyDescent="0.35">
      <c r="H1521" s="35"/>
    </row>
    <row r="1522" spans="8:8" x14ac:dyDescent="0.35">
      <c r="H1522" s="35"/>
    </row>
    <row r="1523" spans="8:8" x14ac:dyDescent="0.35">
      <c r="H1523" s="35"/>
    </row>
    <row r="1524" spans="8:8" x14ac:dyDescent="0.35">
      <c r="H1524" s="35"/>
    </row>
    <row r="1525" spans="8:8" x14ac:dyDescent="0.35">
      <c r="H1525" s="35"/>
    </row>
    <row r="1526" spans="8:8" x14ac:dyDescent="0.35">
      <c r="H1526" s="35"/>
    </row>
    <row r="1527" spans="8:8" x14ac:dyDescent="0.35">
      <c r="H1527" s="35"/>
    </row>
    <row r="1528" spans="8:8" x14ac:dyDescent="0.35">
      <c r="H1528" s="35"/>
    </row>
    <row r="1529" spans="8:8" x14ac:dyDescent="0.35">
      <c r="H1529" s="35"/>
    </row>
    <row r="1530" spans="8:8" x14ac:dyDescent="0.35">
      <c r="H1530" s="35"/>
    </row>
    <row r="1531" spans="8:8" x14ac:dyDescent="0.35">
      <c r="H1531" s="35"/>
    </row>
    <row r="1532" spans="8:8" x14ac:dyDescent="0.35">
      <c r="H1532" s="35"/>
    </row>
    <row r="1533" spans="8:8" x14ac:dyDescent="0.35">
      <c r="H1533" s="35"/>
    </row>
    <row r="1534" spans="8:8" x14ac:dyDescent="0.35">
      <c r="H1534" s="35"/>
    </row>
    <row r="1535" spans="8:8" x14ac:dyDescent="0.35">
      <c r="H1535" s="35"/>
    </row>
    <row r="1536" spans="8:8" x14ac:dyDescent="0.35">
      <c r="H1536" s="35"/>
    </row>
    <row r="1537" spans="8:8" x14ac:dyDescent="0.35">
      <c r="H1537" s="35"/>
    </row>
    <row r="1538" spans="8:8" x14ac:dyDescent="0.35">
      <c r="H1538" s="35"/>
    </row>
    <row r="1539" spans="8:8" x14ac:dyDescent="0.35">
      <c r="H1539" s="35"/>
    </row>
    <row r="1540" spans="8:8" x14ac:dyDescent="0.35">
      <c r="H1540" s="35"/>
    </row>
    <row r="1541" spans="8:8" x14ac:dyDescent="0.35">
      <c r="H1541" s="35"/>
    </row>
    <row r="1542" spans="8:8" x14ac:dyDescent="0.35">
      <c r="H1542" s="35"/>
    </row>
    <row r="1543" spans="8:8" x14ac:dyDescent="0.35">
      <c r="H1543" s="35"/>
    </row>
    <row r="1544" spans="8:8" x14ac:dyDescent="0.35">
      <c r="H1544" s="35"/>
    </row>
    <row r="1545" spans="8:8" x14ac:dyDescent="0.35">
      <c r="H1545" s="35"/>
    </row>
    <row r="1546" spans="8:8" x14ac:dyDescent="0.35">
      <c r="H1546" s="35"/>
    </row>
    <row r="1547" spans="8:8" x14ac:dyDescent="0.35">
      <c r="H1547" s="35"/>
    </row>
    <row r="1548" spans="8:8" x14ac:dyDescent="0.35">
      <c r="H1548" s="35"/>
    </row>
    <row r="1549" spans="8:8" x14ac:dyDescent="0.35">
      <c r="H1549" s="35"/>
    </row>
    <row r="1550" spans="8:8" x14ac:dyDescent="0.35">
      <c r="H1550" s="35"/>
    </row>
    <row r="1551" spans="8:8" x14ac:dyDescent="0.35">
      <c r="H1551" s="35"/>
    </row>
    <row r="1552" spans="8:8" x14ac:dyDescent="0.35">
      <c r="H1552" s="35"/>
    </row>
    <row r="1553" spans="8:8" x14ac:dyDescent="0.35">
      <c r="H1553" s="35"/>
    </row>
    <row r="1554" spans="8:8" x14ac:dyDescent="0.35">
      <c r="H1554" s="35"/>
    </row>
    <row r="1555" spans="8:8" x14ac:dyDescent="0.35">
      <c r="H1555" s="35"/>
    </row>
    <row r="1556" spans="8:8" x14ac:dyDescent="0.35">
      <c r="H1556" s="35"/>
    </row>
    <row r="1557" spans="8:8" x14ac:dyDescent="0.35">
      <c r="H1557" s="35"/>
    </row>
    <row r="1558" spans="8:8" x14ac:dyDescent="0.35">
      <c r="H1558" s="35"/>
    </row>
    <row r="1559" spans="8:8" x14ac:dyDescent="0.35">
      <c r="H1559" s="35"/>
    </row>
    <row r="1560" spans="8:8" x14ac:dyDescent="0.35">
      <c r="H1560" s="35"/>
    </row>
    <row r="1561" spans="8:8" x14ac:dyDescent="0.35">
      <c r="H1561" s="35"/>
    </row>
    <row r="1562" spans="8:8" x14ac:dyDescent="0.35">
      <c r="H1562" s="35"/>
    </row>
    <row r="1563" spans="8:8" x14ac:dyDescent="0.35">
      <c r="H1563" s="35"/>
    </row>
    <row r="1564" spans="8:8" x14ac:dyDescent="0.35">
      <c r="H1564" s="35"/>
    </row>
    <row r="1565" spans="8:8" x14ac:dyDescent="0.35">
      <c r="H1565" s="35"/>
    </row>
    <row r="1566" spans="8:8" x14ac:dyDescent="0.35">
      <c r="H1566" s="35"/>
    </row>
    <row r="1567" spans="8:8" x14ac:dyDescent="0.35">
      <c r="H1567" s="35"/>
    </row>
    <row r="1568" spans="8:8" x14ac:dyDescent="0.35">
      <c r="H1568" s="35"/>
    </row>
    <row r="1569" spans="8:8" x14ac:dyDescent="0.35">
      <c r="H1569" s="35"/>
    </row>
    <row r="1570" spans="8:8" x14ac:dyDescent="0.35">
      <c r="H1570" s="35"/>
    </row>
    <row r="1571" spans="8:8" x14ac:dyDescent="0.35">
      <c r="H1571" s="35"/>
    </row>
    <row r="1572" spans="8:8" x14ac:dyDescent="0.35">
      <c r="H1572" s="35"/>
    </row>
    <row r="1573" spans="8:8" x14ac:dyDescent="0.35">
      <c r="H1573" s="35"/>
    </row>
    <row r="1574" spans="8:8" x14ac:dyDescent="0.35">
      <c r="H1574" s="35"/>
    </row>
    <row r="1575" spans="8:8" x14ac:dyDescent="0.35">
      <c r="H1575" s="35"/>
    </row>
    <row r="1576" spans="8:8" x14ac:dyDescent="0.35">
      <c r="H1576" s="35"/>
    </row>
    <row r="1577" spans="8:8" x14ac:dyDescent="0.35">
      <c r="H1577" s="35"/>
    </row>
    <row r="1578" spans="8:8" x14ac:dyDescent="0.35">
      <c r="H1578" s="35"/>
    </row>
    <row r="1579" spans="8:8" x14ac:dyDescent="0.35">
      <c r="H1579" s="35"/>
    </row>
    <row r="1580" spans="8:8" x14ac:dyDescent="0.35">
      <c r="H1580" s="35"/>
    </row>
    <row r="1581" spans="8:8" x14ac:dyDescent="0.35">
      <c r="H1581" s="35"/>
    </row>
    <row r="1582" spans="8:8" x14ac:dyDescent="0.35">
      <c r="H1582" s="35"/>
    </row>
    <row r="1583" spans="8:8" x14ac:dyDescent="0.35">
      <c r="H1583" s="35"/>
    </row>
    <row r="1584" spans="8:8" x14ac:dyDescent="0.35">
      <c r="H1584" s="35"/>
    </row>
    <row r="1585" spans="8:8" x14ac:dyDescent="0.35">
      <c r="H1585" s="35"/>
    </row>
    <row r="1586" spans="8:8" x14ac:dyDescent="0.35">
      <c r="H1586" s="35"/>
    </row>
    <row r="1587" spans="8:8" x14ac:dyDescent="0.35">
      <c r="H1587" s="35"/>
    </row>
    <row r="1588" spans="8:8" x14ac:dyDescent="0.35">
      <c r="H1588" s="35"/>
    </row>
    <row r="1589" spans="8:8" x14ac:dyDescent="0.35">
      <c r="H1589" s="35"/>
    </row>
    <row r="1590" spans="8:8" x14ac:dyDescent="0.35">
      <c r="H1590" s="35"/>
    </row>
    <row r="1591" spans="8:8" x14ac:dyDescent="0.35">
      <c r="H1591" s="35"/>
    </row>
    <row r="1592" spans="8:8" x14ac:dyDescent="0.35">
      <c r="H1592" s="35"/>
    </row>
    <row r="1593" spans="8:8" x14ac:dyDescent="0.35">
      <c r="H1593" s="35"/>
    </row>
    <row r="1594" spans="8:8" x14ac:dyDescent="0.35">
      <c r="H1594" s="35"/>
    </row>
    <row r="1595" spans="8:8" x14ac:dyDescent="0.35">
      <c r="H1595" s="35"/>
    </row>
    <row r="1596" spans="8:8" x14ac:dyDescent="0.35">
      <c r="H1596" s="35"/>
    </row>
    <row r="1597" spans="8:8" x14ac:dyDescent="0.35">
      <c r="H1597" s="35"/>
    </row>
    <row r="1598" spans="8:8" x14ac:dyDescent="0.35">
      <c r="H1598" s="35"/>
    </row>
    <row r="1599" spans="8:8" x14ac:dyDescent="0.35">
      <c r="H1599" s="35"/>
    </row>
    <row r="1600" spans="8:8" x14ac:dyDescent="0.35">
      <c r="H1600" s="35"/>
    </row>
    <row r="1601" spans="8:8" x14ac:dyDescent="0.35">
      <c r="H1601" s="35"/>
    </row>
    <row r="1602" spans="8:8" x14ac:dyDescent="0.35">
      <c r="H1602" s="35"/>
    </row>
    <row r="1603" spans="8:8" x14ac:dyDescent="0.35">
      <c r="H1603" s="35"/>
    </row>
    <row r="1604" spans="8:8" x14ac:dyDescent="0.35">
      <c r="H1604" s="35"/>
    </row>
    <row r="1605" spans="8:8" x14ac:dyDescent="0.35">
      <c r="H1605" s="35"/>
    </row>
    <row r="1606" spans="8:8" x14ac:dyDescent="0.35">
      <c r="H1606" s="35"/>
    </row>
    <row r="1607" spans="8:8" x14ac:dyDescent="0.35">
      <c r="H1607" s="35"/>
    </row>
    <row r="1608" spans="8:8" x14ac:dyDescent="0.35">
      <c r="H1608" s="35"/>
    </row>
    <row r="1609" spans="8:8" x14ac:dyDescent="0.35">
      <c r="H1609" s="35"/>
    </row>
    <row r="1610" spans="8:8" x14ac:dyDescent="0.35">
      <c r="H1610" s="35"/>
    </row>
    <row r="1611" spans="8:8" x14ac:dyDescent="0.35">
      <c r="H1611" s="35"/>
    </row>
    <row r="1612" spans="8:8" x14ac:dyDescent="0.35">
      <c r="H1612" s="35"/>
    </row>
    <row r="1613" spans="8:8" x14ac:dyDescent="0.35">
      <c r="H1613" s="35"/>
    </row>
    <row r="1614" spans="8:8" x14ac:dyDescent="0.35">
      <c r="H1614" s="35"/>
    </row>
    <row r="1615" spans="8:8" x14ac:dyDescent="0.35">
      <c r="H1615" s="35"/>
    </row>
    <row r="1616" spans="8:8" x14ac:dyDescent="0.35">
      <c r="H1616" s="35"/>
    </row>
    <row r="1617" spans="8:8" x14ac:dyDescent="0.35">
      <c r="H1617" s="35"/>
    </row>
    <row r="1618" spans="8:8" x14ac:dyDescent="0.35">
      <c r="H1618" s="35"/>
    </row>
    <row r="1619" spans="8:8" x14ac:dyDescent="0.35">
      <c r="H1619" s="35"/>
    </row>
    <row r="1620" spans="8:8" x14ac:dyDescent="0.35">
      <c r="H1620" s="35"/>
    </row>
    <row r="1621" spans="8:8" x14ac:dyDescent="0.35">
      <c r="H1621" s="35"/>
    </row>
    <row r="1622" spans="8:8" x14ac:dyDescent="0.35">
      <c r="H1622" s="35"/>
    </row>
    <row r="1623" spans="8:8" x14ac:dyDescent="0.35">
      <c r="H1623" s="35"/>
    </row>
    <row r="1624" spans="8:8" x14ac:dyDescent="0.35">
      <c r="H1624" s="35"/>
    </row>
    <row r="1625" spans="8:8" x14ac:dyDescent="0.35">
      <c r="H1625" s="35"/>
    </row>
    <row r="1626" spans="8:8" x14ac:dyDescent="0.35">
      <c r="H1626" s="35"/>
    </row>
    <row r="1627" spans="8:8" x14ac:dyDescent="0.35">
      <c r="H1627" s="35"/>
    </row>
    <row r="1628" spans="8:8" x14ac:dyDescent="0.35">
      <c r="H1628" s="35"/>
    </row>
    <row r="1629" spans="8:8" x14ac:dyDescent="0.35">
      <c r="H1629" s="35"/>
    </row>
    <row r="1630" spans="8:8" x14ac:dyDescent="0.35">
      <c r="H1630" s="35"/>
    </row>
    <row r="1631" spans="8:8" x14ac:dyDescent="0.35">
      <c r="H1631" s="35"/>
    </row>
    <row r="1632" spans="8:8" x14ac:dyDescent="0.35">
      <c r="H1632" s="35"/>
    </row>
    <row r="1633" spans="8:8" x14ac:dyDescent="0.35">
      <c r="H1633" s="35"/>
    </row>
    <row r="1634" spans="8:8" x14ac:dyDescent="0.35">
      <c r="H1634" s="35"/>
    </row>
    <row r="1635" spans="8:8" x14ac:dyDescent="0.35">
      <c r="H1635" s="35"/>
    </row>
    <row r="1636" spans="8:8" x14ac:dyDescent="0.35">
      <c r="H1636" s="35"/>
    </row>
    <row r="1637" spans="8:8" x14ac:dyDescent="0.35">
      <c r="H1637" s="35"/>
    </row>
    <row r="1638" spans="8:8" x14ac:dyDescent="0.35">
      <c r="H1638" s="35"/>
    </row>
    <row r="1639" spans="8:8" x14ac:dyDescent="0.35">
      <c r="H1639" s="35"/>
    </row>
    <row r="1640" spans="8:8" x14ac:dyDescent="0.35">
      <c r="H1640" s="35"/>
    </row>
    <row r="1641" spans="8:8" x14ac:dyDescent="0.35">
      <c r="H1641" s="35"/>
    </row>
    <row r="1642" spans="8:8" x14ac:dyDescent="0.35">
      <c r="H1642" s="35"/>
    </row>
    <row r="1643" spans="8:8" x14ac:dyDescent="0.35">
      <c r="H1643" s="35"/>
    </row>
    <row r="1644" spans="8:8" x14ac:dyDescent="0.35">
      <c r="H1644" s="35"/>
    </row>
    <row r="1645" spans="8:8" x14ac:dyDescent="0.35">
      <c r="H1645" s="35"/>
    </row>
    <row r="1646" spans="8:8" x14ac:dyDescent="0.35">
      <c r="H1646" s="35"/>
    </row>
    <row r="1647" spans="8:8" x14ac:dyDescent="0.35">
      <c r="H1647" s="35"/>
    </row>
    <row r="1648" spans="8:8" x14ac:dyDescent="0.35">
      <c r="H1648" s="35"/>
    </row>
    <row r="1649" spans="8:8" x14ac:dyDescent="0.35">
      <c r="H1649" s="35"/>
    </row>
    <row r="1650" spans="8:8" x14ac:dyDescent="0.35">
      <c r="H1650" s="35"/>
    </row>
    <row r="1651" spans="8:8" x14ac:dyDescent="0.35">
      <c r="H1651" s="35"/>
    </row>
    <row r="1652" spans="8:8" x14ac:dyDescent="0.35">
      <c r="H1652" s="35"/>
    </row>
    <row r="1653" spans="8:8" x14ac:dyDescent="0.35">
      <c r="H1653" s="35"/>
    </row>
    <row r="1654" spans="8:8" x14ac:dyDescent="0.35">
      <c r="H1654" s="35"/>
    </row>
    <row r="1655" spans="8:8" x14ac:dyDescent="0.35">
      <c r="H1655" s="35"/>
    </row>
    <row r="1656" spans="8:8" x14ac:dyDescent="0.35">
      <c r="H1656" s="35"/>
    </row>
    <row r="1657" spans="8:8" x14ac:dyDescent="0.35">
      <c r="H1657" s="35"/>
    </row>
    <row r="1658" spans="8:8" x14ac:dyDescent="0.35">
      <c r="H1658" s="35"/>
    </row>
    <row r="1659" spans="8:8" x14ac:dyDescent="0.35">
      <c r="H1659" s="35"/>
    </row>
    <row r="1660" spans="8:8" x14ac:dyDescent="0.35">
      <c r="H1660" s="35"/>
    </row>
    <row r="1661" spans="8:8" x14ac:dyDescent="0.35">
      <c r="H1661" s="35"/>
    </row>
    <row r="1662" spans="8:8" x14ac:dyDescent="0.35">
      <c r="H1662" s="35"/>
    </row>
    <row r="1663" spans="8:8" x14ac:dyDescent="0.35">
      <c r="H1663" s="35"/>
    </row>
    <row r="1664" spans="8:8" x14ac:dyDescent="0.35">
      <c r="H1664" s="35"/>
    </row>
    <row r="1665" spans="8:8" x14ac:dyDescent="0.35">
      <c r="H1665" s="35"/>
    </row>
    <row r="1666" spans="8:8" x14ac:dyDescent="0.35">
      <c r="H1666" s="35"/>
    </row>
    <row r="1667" spans="8:8" x14ac:dyDescent="0.35">
      <c r="H1667" s="35"/>
    </row>
    <row r="1668" spans="8:8" x14ac:dyDescent="0.35">
      <c r="H1668" s="35"/>
    </row>
    <row r="1669" spans="8:8" x14ac:dyDescent="0.35">
      <c r="H1669" s="35"/>
    </row>
    <row r="1670" spans="8:8" x14ac:dyDescent="0.35">
      <c r="H1670" s="35"/>
    </row>
    <row r="1671" spans="8:8" x14ac:dyDescent="0.35">
      <c r="H1671" s="35"/>
    </row>
    <row r="1672" spans="8:8" x14ac:dyDescent="0.35">
      <c r="H1672" s="35"/>
    </row>
    <row r="1673" spans="8:8" x14ac:dyDescent="0.35">
      <c r="H1673" s="35"/>
    </row>
    <row r="1674" spans="8:8" x14ac:dyDescent="0.35">
      <c r="H1674" s="35"/>
    </row>
    <row r="1675" spans="8:8" x14ac:dyDescent="0.35">
      <c r="H1675" s="35"/>
    </row>
    <row r="1676" spans="8:8" x14ac:dyDescent="0.35">
      <c r="H1676" s="35"/>
    </row>
    <row r="1677" spans="8:8" x14ac:dyDescent="0.35">
      <c r="H1677" s="35"/>
    </row>
    <row r="1678" spans="8:8" x14ac:dyDescent="0.35">
      <c r="H1678" s="35"/>
    </row>
    <row r="1679" spans="8:8" x14ac:dyDescent="0.35">
      <c r="H1679" s="35"/>
    </row>
    <row r="1680" spans="8:8" x14ac:dyDescent="0.35">
      <c r="H1680" s="35"/>
    </row>
    <row r="1681" spans="8:8" x14ac:dyDescent="0.35">
      <c r="H1681" s="35"/>
    </row>
    <row r="1682" spans="8:8" x14ac:dyDescent="0.35">
      <c r="H1682" s="35"/>
    </row>
    <row r="1683" spans="8:8" x14ac:dyDescent="0.35">
      <c r="H1683" s="35"/>
    </row>
    <row r="1684" spans="8:8" x14ac:dyDescent="0.35">
      <c r="H1684" s="35"/>
    </row>
    <row r="1685" spans="8:8" x14ac:dyDescent="0.35">
      <c r="H1685" s="35"/>
    </row>
    <row r="1686" spans="8:8" x14ac:dyDescent="0.35">
      <c r="H1686" s="35"/>
    </row>
    <row r="1687" spans="8:8" x14ac:dyDescent="0.35">
      <c r="H1687" s="35"/>
    </row>
    <row r="1688" spans="8:8" x14ac:dyDescent="0.35">
      <c r="H1688" s="35"/>
    </row>
    <row r="1689" spans="8:8" x14ac:dyDescent="0.35">
      <c r="H1689" s="35"/>
    </row>
    <row r="1690" spans="8:8" x14ac:dyDescent="0.35">
      <c r="H1690" s="35"/>
    </row>
    <row r="1691" spans="8:8" x14ac:dyDescent="0.35">
      <c r="H1691" s="35"/>
    </row>
    <row r="1692" spans="8:8" x14ac:dyDescent="0.35">
      <c r="H1692" s="35"/>
    </row>
    <row r="1693" spans="8:8" x14ac:dyDescent="0.35">
      <c r="H1693" s="35"/>
    </row>
    <row r="1694" spans="8:8" x14ac:dyDescent="0.35">
      <c r="H1694" s="35"/>
    </row>
    <row r="1695" spans="8:8" x14ac:dyDescent="0.35">
      <c r="H1695" s="35"/>
    </row>
    <row r="1696" spans="8:8" x14ac:dyDescent="0.35">
      <c r="H1696" s="35"/>
    </row>
    <row r="1697" spans="8:8" x14ac:dyDescent="0.35">
      <c r="H1697" s="35"/>
    </row>
    <row r="1698" spans="8:8" x14ac:dyDescent="0.35">
      <c r="H1698" s="35"/>
    </row>
    <row r="1699" spans="8:8" x14ac:dyDescent="0.35">
      <c r="H1699" s="35"/>
    </row>
    <row r="1700" spans="8:8" x14ac:dyDescent="0.35">
      <c r="H1700" s="35"/>
    </row>
    <row r="1701" spans="8:8" x14ac:dyDescent="0.35">
      <c r="H1701" s="35"/>
    </row>
    <row r="1702" spans="8:8" x14ac:dyDescent="0.35">
      <c r="H1702" s="35"/>
    </row>
    <row r="1703" spans="8:8" x14ac:dyDescent="0.35">
      <c r="H1703" s="35"/>
    </row>
    <row r="1704" spans="8:8" x14ac:dyDescent="0.35">
      <c r="H1704" s="35"/>
    </row>
    <row r="1705" spans="8:8" x14ac:dyDescent="0.35">
      <c r="H1705" s="35"/>
    </row>
    <row r="1706" spans="8:8" x14ac:dyDescent="0.35">
      <c r="H1706" s="35"/>
    </row>
    <row r="1707" spans="8:8" x14ac:dyDescent="0.35">
      <c r="H1707" s="35"/>
    </row>
    <row r="1708" spans="8:8" x14ac:dyDescent="0.35">
      <c r="H1708" s="35"/>
    </row>
    <row r="1709" spans="8:8" x14ac:dyDescent="0.35">
      <c r="H1709" s="35"/>
    </row>
    <row r="1710" spans="8:8" x14ac:dyDescent="0.35">
      <c r="H1710" s="35"/>
    </row>
    <row r="1711" spans="8:8" x14ac:dyDescent="0.35">
      <c r="H1711" s="35"/>
    </row>
    <row r="1712" spans="8:8" x14ac:dyDescent="0.35">
      <c r="H1712" s="35"/>
    </row>
    <row r="1713" spans="8:8" x14ac:dyDescent="0.35">
      <c r="H1713" s="35"/>
    </row>
    <row r="1714" spans="8:8" x14ac:dyDescent="0.35">
      <c r="H1714" s="35"/>
    </row>
    <row r="1715" spans="8:8" x14ac:dyDescent="0.35">
      <c r="H1715" s="35"/>
    </row>
    <row r="1716" spans="8:8" x14ac:dyDescent="0.35">
      <c r="H1716" s="35"/>
    </row>
    <row r="1717" spans="8:8" x14ac:dyDescent="0.35">
      <c r="H1717" s="35"/>
    </row>
    <row r="1718" spans="8:8" x14ac:dyDescent="0.35">
      <c r="H1718" s="35"/>
    </row>
    <row r="1719" spans="8:8" x14ac:dyDescent="0.35">
      <c r="H1719" s="35"/>
    </row>
    <row r="1720" spans="8:8" x14ac:dyDescent="0.35">
      <c r="H1720" s="35"/>
    </row>
    <row r="1721" spans="8:8" x14ac:dyDescent="0.35">
      <c r="H1721" s="35"/>
    </row>
    <row r="1722" spans="8:8" x14ac:dyDescent="0.35">
      <c r="H1722" s="35"/>
    </row>
    <row r="1723" spans="8:8" x14ac:dyDescent="0.35">
      <c r="H1723" s="35"/>
    </row>
    <row r="1724" spans="8:8" x14ac:dyDescent="0.35">
      <c r="H1724" s="35"/>
    </row>
    <row r="1725" spans="8:8" x14ac:dyDescent="0.35">
      <c r="H1725" s="35"/>
    </row>
    <row r="1726" spans="8:8" x14ac:dyDescent="0.35">
      <c r="H1726" s="35"/>
    </row>
    <row r="1727" spans="8:8" x14ac:dyDescent="0.35">
      <c r="H1727" s="35"/>
    </row>
    <row r="1728" spans="8:8" x14ac:dyDescent="0.35">
      <c r="H1728" s="35"/>
    </row>
    <row r="1729" spans="8:8" x14ac:dyDescent="0.35">
      <c r="H1729" s="35"/>
    </row>
    <row r="1730" spans="8:8" x14ac:dyDescent="0.35">
      <c r="H1730" s="35"/>
    </row>
    <row r="1731" spans="8:8" x14ac:dyDescent="0.35">
      <c r="H1731" s="35"/>
    </row>
    <row r="1732" spans="8:8" x14ac:dyDescent="0.35">
      <c r="H1732" s="35"/>
    </row>
    <row r="1733" spans="8:8" x14ac:dyDescent="0.35">
      <c r="H1733" s="35"/>
    </row>
    <row r="1734" spans="8:8" x14ac:dyDescent="0.35">
      <c r="H1734" s="35"/>
    </row>
    <row r="1735" spans="8:8" x14ac:dyDescent="0.35">
      <c r="H1735" s="35"/>
    </row>
    <row r="1736" spans="8:8" x14ac:dyDescent="0.35">
      <c r="H1736" s="35"/>
    </row>
    <row r="1737" spans="8:8" x14ac:dyDescent="0.35">
      <c r="H1737" s="35"/>
    </row>
    <row r="1738" spans="8:8" x14ac:dyDescent="0.35">
      <c r="H1738" s="35"/>
    </row>
    <row r="1739" spans="8:8" x14ac:dyDescent="0.35">
      <c r="H1739" s="35"/>
    </row>
    <row r="1740" spans="8:8" x14ac:dyDescent="0.35">
      <c r="H1740" s="35"/>
    </row>
    <row r="1741" spans="8:8" x14ac:dyDescent="0.35">
      <c r="H1741" s="35"/>
    </row>
    <row r="1742" spans="8:8" x14ac:dyDescent="0.35">
      <c r="H1742" s="35"/>
    </row>
    <row r="1743" spans="8:8" x14ac:dyDescent="0.35">
      <c r="H1743" s="35"/>
    </row>
    <row r="1744" spans="8:8" x14ac:dyDescent="0.35">
      <c r="H1744" s="35"/>
    </row>
    <row r="1745" spans="8:8" x14ac:dyDescent="0.35">
      <c r="H1745" s="35"/>
    </row>
    <row r="1746" spans="8:8" x14ac:dyDescent="0.35">
      <c r="H1746" s="35"/>
    </row>
    <row r="1747" spans="8:8" x14ac:dyDescent="0.35">
      <c r="H1747" s="35"/>
    </row>
    <row r="1748" spans="8:8" x14ac:dyDescent="0.35">
      <c r="H1748" s="35"/>
    </row>
    <row r="1749" spans="8:8" x14ac:dyDescent="0.35">
      <c r="H1749" s="35"/>
    </row>
    <row r="1750" spans="8:8" x14ac:dyDescent="0.35">
      <c r="H1750" s="35"/>
    </row>
    <row r="1751" spans="8:8" x14ac:dyDescent="0.35">
      <c r="H1751" s="35"/>
    </row>
    <row r="1752" spans="8:8" x14ac:dyDescent="0.35">
      <c r="H1752" s="35"/>
    </row>
    <row r="1753" spans="8:8" x14ac:dyDescent="0.35">
      <c r="H1753" s="35"/>
    </row>
    <row r="1754" spans="8:8" x14ac:dyDescent="0.35">
      <c r="H1754" s="35"/>
    </row>
    <row r="1755" spans="8:8" x14ac:dyDescent="0.35">
      <c r="H1755" s="35"/>
    </row>
    <row r="1756" spans="8:8" x14ac:dyDescent="0.35">
      <c r="H1756" s="35"/>
    </row>
    <row r="1757" spans="8:8" x14ac:dyDescent="0.35">
      <c r="H1757" s="35"/>
    </row>
    <row r="1758" spans="8:8" x14ac:dyDescent="0.35">
      <c r="H1758" s="35"/>
    </row>
    <row r="1759" spans="8:8" x14ac:dyDescent="0.35">
      <c r="H1759" s="35"/>
    </row>
    <row r="1760" spans="8:8" x14ac:dyDescent="0.35">
      <c r="H1760" s="35"/>
    </row>
    <row r="1761" spans="8:8" x14ac:dyDescent="0.35">
      <c r="H1761" s="35"/>
    </row>
    <row r="1762" spans="8:8" x14ac:dyDescent="0.35">
      <c r="H1762" s="35"/>
    </row>
    <row r="1763" spans="8:8" x14ac:dyDescent="0.35">
      <c r="H1763" s="35"/>
    </row>
    <row r="1764" spans="8:8" x14ac:dyDescent="0.35">
      <c r="H1764" s="35"/>
    </row>
    <row r="1765" spans="8:8" x14ac:dyDescent="0.35">
      <c r="H1765" s="35"/>
    </row>
    <row r="1766" spans="8:8" x14ac:dyDescent="0.35">
      <c r="H1766" s="35"/>
    </row>
    <row r="1767" spans="8:8" x14ac:dyDescent="0.35">
      <c r="H1767" s="35"/>
    </row>
    <row r="1768" spans="8:8" x14ac:dyDescent="0.35">
      <c r="H1768" s="35"/>
    </row>
    <row r="1769" spans="8:8" x14ac:dyDescent="0.35">
      <c r="H1769" s="35"/>
    </row>
    <row r="1770" spans="8:8" x14ac:dyDescent="0.35">
      <c r="H1770" s="35"/>
    </row>
    <row r="1771" spans="8:8" x14ac:dyDescent="0.35">
      <c r="H1771" s="35"/>
    </row>
    <row r="1772" spans="8:8" x14ac:dyDescent="0.35">
      <c r="H1772" s="35"/>
    </row>
    <row r="1773" spans="8:8" x14ac:dyDescent="0.35">
      <c r="H1773" s="35"/>
    </row>
    <row r="1774" spans="8:8" x14ac:dyDescent="0.35">
      <c r="H1774" s="35"/>
    </row>
    <row r="1775" spans="8:8" x14ac:dyDescent="0.35">
      <c r="H1775" s="35"/>
    </row>
    <row r="1776" spans="8:8" x14ac:dyDescent="0.35">
      <c r="H1776" s="35"/>
    </row>
    <row r="1777" spans="8:8" x14ac:dyDescent="0.35">
      <c r="H1777" s="35"/>
    </row>
    <row r="1778" spans="8:8" x14ac:dyDescent="0.35">
      <c r="H1778" s="35"/>
    </row>
    <row r="1779" spans="8:8" x14ac:dyDescent="0.35">
      <c r="H1779" s="35"/>
    </row>
    <row r="1780" spans="8:8" x14ac:dyDescent="0.35">
      <c r="H1780" s="35"/>
    </row>
    <row r="1781" spans="8:8" x14ac:dyDescent="0.35">
      <c r="H1781" s="35"/>
    </row>
    <row r="1782" spans="8:8" x14ac:dyDescent="0.35">
      <c r="H1782" s="35"/>
    </row>
    <row r="1783" spans="8:8" x14ac:dyDescent="0.35">
      <c r="H1783" s="35"/>
    </row>
    <row r="1784" spans="8:8" x14ac:dyDescent="0.35">
      <c r="H1784" s="35"/>
    </row>
    <row r="1785" spans="8:8" x14ac:dyDescent="0.35">
      <c r="H1785" s="35"/>
    </row>
    <row r="1786" spans="8:8" x14ac:dyDescent="0.35">
      <c r="H1786" s="35"/>
    </row>
    <row r="1787" spans="8:8" x14ac:dyDescent="0.35">
      <c r="H1787" s="35"/>
    </row>
    <row r="1788" spans="8:8" x14ac:dyDescent="0.35">
      <c r="H1788" s="35"/>
    </row>
    <row r="1789" spans="8:8" x14ac:dyDescent="0.35">
      <c r="H1789" s="35"/>
    </row>
    <row r="1790" spans="8:8" x14ac:dyDescent="0.35">
      <c r="H1790" s="35"/>
    </row>
    <row r="1791" spans="8:8" x14ac:dyDescent="0.35">
      <c r="H1791" s="35"/>
    </row>
    <row r="1792" spans="8:8" x14ac:dyDescent="0.35">
      <c r="H1792" s="35"/>
    </row>
    <row r="1793" spans="8:8" x14ac:dyDescent="0.35">
      <c r="H1793" s="35"/>
    </row>
    <row r="1794" spans="8:8" x14ac:dyDescent="0.35">
      <c r="H1794" s="35"/>
    </row>
    <row r="1795" spans="8:8" x14ac:dyDescent="0.35">
      <c r="H1795" s="35"/>
    </row>
    <row r="1796" spans="8:8" x14ac:dyDescent="0.35">
      <c r="H1796" s="35"/>
    </row>
    <row r="1797" spans="8:8" x14ac:dyDescent="0.35">
      <c r="H1797" s="35"/>
    </row>
    <row r="1798" spans="8:8" x14ac:dyDescent="0.35">
      <c r="H1798" s="35"/>
    </row>
    <row r="1799" spans="8:8" x14ac:dyDescent="0.35">
      <c r="H1799" s="35"/>
    </row>
    <row r="1800" spans="8:8" x14ac:dyDescent="0.35">
      <c r="H1800" s="35"/>
    </row>
    <row r="1801" spans="8:8" x14ac:dyDescent="0.35">
      <c r="H1801" s="35"/>
    </row>
    <row r="1802" spans="8:8" x14ac:dyDescent="0.35">
      <c r="H1802" s="35"/>
    </row>
    <row r="1803" spans="8:8" x14ac:dyDescent="0.35">
      <c r="H1803" s="35"/>
    </row>
    <row r="1804" spans="8:8" x14ac:dyDescent="0.35">
      <c r="H1804" s="35"/>
    </row>
    <row r="1805" spans="8:8" x14ac:dyDescent="0.35">
      <c r="H1805" s="35"/>
    </row>
    <row r="1806" spans="8:8" x14ac:dyDescent="0.35">
      <c r="H1806" s="35"/>
    </row>
    <row r="1807" spans="8:8" x14ac:dyDescent="0.35">
      <c r="H1807" s="35"/>
    </row>
    <row r="1808" spans="8:8" x14ac:dyDescent="0.35">
      <c r="H1808" s="35"/>
    </row>
    <row r="1809" spans="8:8" x14ac:dyDescent="0.35">
      <c r="H1809" s="35"/>
    </row>
    <row r="1810" spans="8:8" x14ac:dyDescent="0.35">
      <c r="H1810" s="35"/>
    </row>
    <row r="1811" spans="8:8" x14ac:dyDescent="0.35">
      <c r="H1811" s="35"/>
    </row>
    <row r="1812" spans="8:8" x14ac:dyDescent="0.35">
      <c r="H1812" s="35"/>
    </row>
    <row r="1813" spans="8:8" x14ac:dyDescent="0.35">
      <c r="H1813" s="35"/>
    </row>
    <row r="1814" spans="8:8" x14ac:dyDescent="0.35">
      <c r="H1814" s="35"/>
    </row>
    <row r="1815" spans="8:8" x14ac:dyDescent="0.35">
      <c r="H1815" s="35"/>
    </row>
    <row r="1816" spans="8:8" x14ac:dyDescent="0.35">
      <c r="H1816" s="35"/>
    </row>
    <row r="1817" spans="8:8" x14ac:dyDescent="0.35">
      <c r="H1817" s="35"/>
    </row>
    <row r="1818" spans="8:8" x14ac:dyDescent="0.35">
      <c r="H1818" s="35"/>
    </row>
    <row r="1819" spans="8:8" x14ac:dyDescent="0.35">
      <c r="H1819" s="35"/>
    </row>
    <row r="1820" spans="8:8" x14ac:dyDescent="0.35">
      <c r="H1820" s="35"/>
    </row>
    <row r="1821" spans="8:8" x14ac:dyDescent="0.35">
      <c r="H1821" s="35"/>
    </row>
    <row r="1822" spans="8:8" x14ac:dyDescent="0.35">
      <c r="H1822" s="35"/>
    </row>
    <row r="1823" spans="8:8" x14ac:dyDescent="0.35">
      <c r="H1823" s="35"/>
    </row>
    <row r="1824" spans="8:8" x14ac:dyDescent="0.35">
      <c r="H1824" s="35"/>
    </row>
    <row r="1825" spans="8:8" x14ac:dyDescent="0.35">
      <c r="H1825" s="35"/>
    </row>
    <row r="1826" spans="8:8" x14ac:dyDescent="0.35">
      <c r="H1826" s="35"/>
    </row>
    <row r="1827" spans="8:8" x14ac:dyDescent="0.35">
      <c r="H1827" s="35"/>
    </row>
    <row r="1828" spans="8:8" x14ac:dyDescent="0.35">
      <c r="H1828" s="35"/>
    </row>
    <row r="1829" spans="8:8" x14ac:dyDescent="0.35">
      <c r="H1829" s="35"/>
    </row>
    <row r="1830" spans="8:8" x14ac:dyDescent="0.35">
      <c r="H1830" s="35"/>
    </row>
    <row r="1831" spans="8:8" x14ac:dyDescent="0.35">
      <c r="H1831" s="35"/>
    </row>
    <row r="1832" spans="8:8" x14ac:dyDescent="0.35">
      <c r="H1832" s="35"/>
    </row>
    <row r="1833" spans="8:8" x14ac:dyDescent="0.35">
      <c r="H1833" s="35"/>
    </row>
    <row r="1834" spans="8:8" x14ac:dyDescent="0.35">
      <c r="H1834" s="35"/>
    </row>
    <row r="1835" spans="8:8" x14ac:dyDescent="0.35">
      <c r="H1835" s="35"/>
    </row>
    <row r="1836" spans="8:8" x14ac:dyDescent="0.35">
      <c r="H1836" s="35"/>
    </row>
    <row r="1837" spans="8:8" x14ac:dyDescent="0.35">
      <c r="H1837" s="35"/>
    </row>
    <row r="1838" spans="8:8" x14ac:dyDescent="0.35">
      <c r="H1838" s="35"/>
    </row>
    <row r="1839" spans="8:8" x14ac:dyDescent="0.35">
      <c r="H1839" s="35"/>
    </row>
    <row r="1840" spans="8:8" x14ac:dyDescent="0.35">
      <c r="H1840" s="35"/>
    </row>
    <row r="1841" spans="8:8" x14ac:dyDescent="0.35">
      <c r="H1841" s="35"/>
    </row>
    <row r="1842" spans="8:8" x14ac:dyDescent="0.35">
      <c r="H1842" s="35"/>
    </row>
    <row r="1843" spans="8:8" x14ac:dyDescent="0.35">
      <c r="H1843" s="35"/>
    </row>
    <row r="1844" spans="8:8" x14ac:dyDescent="0.35">
      <c r="H1844" s="35"/>
    </row>
    <row r="1845" spans="8:8" x14ac:dyDescent="0.35">
      <c r="H1845" s="35"/>
    </row>
    <row r="1846" spans="8:8" x14ac:dyDescent="0.35">
      <c r="H1846" s="35"/>
    </row>
    <row r="1847" spans="8:8" x14ac:dyDescent="0.35">
      <c r="H1847" s="35"/>
    </row>
    <row r="1848" spans="8:8" x14ac:dyDescent="0.35">
      <c r="H1848" s="35"/>
    </row>
    <row r="1849" spans="8:8" x14ac:dyDescent="0.35">
      <c r="H1849" s="35"/>
    </row>
    <row r="1850" spans="8:8" x14ac:dyDescent="0.35">
      <c r="H1850" s="35"/>
    </row>
    <row r="1851" spans="8:8" x14ac:dyDescent="0.35">
      <c r="H1851" s="35"/>
    </row>
    <row r="1852" spans="8:8" x14ac:dyDescent="0.35">
      <c r="H1852" s="35"/>
    </row>
    <row r="1853" spans="8:8" x14ac:dyDescent="0.35">
      <c r="H1853" s="35"/>
    </row>
    <row r="1854" spans="8:8" x14ac:dyDescent="0.35">
      <c r="H1854" s="35"/>
    </row>
    <row r="1855" spans="8:8" x14ac:dyDescent="0.35">
      <c r="H1855" s="35"/>
    </row>
    <row r="1856" spans="8:8" x14ac:dyDescent="0.35">
      <c r="H1856" s="35"/>
    </row>
    <row r="1857" spans="8:8" x14ac:dyDescent="0.35">
      <c r="H1857" s="35"/>
    </row>
    <row r="1858" spans="8:8" x14ac:dyDescent="0.35">
      <c r="H1858" s="35"/>
    </row>
    <row r="1859" spans="8:8" x14ac:dyDescent="0.35">
      <c r="H1859" s="35"/>
    </row>
    <row r="1860" spans="8:8" x14ac:dyDescent="0.35">
      <c r="H1860" s="35"/>
    </row>
    <row r="1861" spans="8:8" x14ac:dyDescent="0.35">
      <c r="H1861" s="35"/>
    </row>
    <row r="1862" spans="8:8" x14ac:dyDescent="0.35">
      <c r="H1862" s="35"/>
    </row>
    <row r="1863" spans="8:8" x14ac:dyDescent="0.35">
      <c r="H1863" s="35"/>
    </row>
    <row r="1864" spans="8:8" x14ac:dyDescent="0.35">
      <c r="H1864" s="35"/>
    </row>
    <row r="1865" spans="8:8" x14ac:dyDescent="0.35">
      <c r="H1865" s="35"/>
    </row>
    <row r="1866" spans="8:8" x14ac:dyDescent="0.35">
      <c r="H1866" s="35"/>
    </row>
    <row r="1867" spans="8:8" x14ac:dyDescent="0.35">
      <c r="H1867" s="35"/>
    </row>
    <row r="1868" spans="8:8" x14ac:dyDescent="0.35">
      <c r="H1868" s="35"/>
    </row>
    <row r="1869" spans="8:8" x14ac:dyDescent="0.35">
      <c r="H1869" s="35"/>
    </row>
    <row r="1870" spans="8:8" x14ac:dyDescent="0.35">
      <c r="H1870" s="35"/>
    </row>
    <row r="1871" spans="8:8" x14ac:dyDescent="0.35">
      <c r="H1871" s="35"/>
    </row>
    <row r="1872" spans="8:8" x14ac:dyDescent="0.35">
      <c r="H1872" s="35"/>
    </row>
    <row r="1873" spans="8:8" x14ac:dyDescent="0.35">
      <c r="H1873" s="35"/>
    </row>
    <row r="1874" spans="8:8" x14ac:dyDescent="0.35">
      <c r="H1874" s="35"/>
    </row>
    <row r="1875" spans="8:8" x14ac:dyDescent="0.35">
      <c r="H1875" s="35"/>
    </row>
    <row r="1876" spans="8:8" x14ac:dyDescent="0.35">
      <c r="H1876" s="35"/>
    </row>
    <row r="1877" spans="8:8" x14ac:dyDescent="0.35">
      <c r="H1877" s="35"/>
    </row>
    <row r="1878" spans="8:8" x14ac:dyDescent="0.35">
      <c r="H1878" s="35"/>
    </row>
    <row r="1879" spans="8:8" x14ac:dyDescent="0.35">
      <c r="H1879" s="35"/>
    </row>
    <row r="1880" spans="8:8" x14ac:dyDescent="0.35">
      <c r="H1880" s="35"/>
    </row>
    <row r="1881" spans="8:8" x14ac:dyDescent="0.35">
      <c r="H1881" s="35"/>
    </row>
    <row r="1882" spans="8:8" x14ac:dyDescent="0.35">
      <c r="H1882" s="35"/>
    </row>
    <row r="1883" spans="8:8" x14ac:dyDescent="0.35">
      <c r="H1883" s="35"/>
    </row>
    <row r="1884" spans="8:8" x14ac:dyDescent="0.35">
      <c r="H1884" s="35"/>
    </row>
    <row r="1885" spans="8:8" x14ac:dyDescent="0.35">
      <c r="H1885" s="35"/>
    </row>
    <row r="1886" spans="8:8" x14ac:dyDescent="0.35">
      <c r="H1886" s="35"/>
    </row>
    <row r="1887" spans="8:8" x14ac:dyDescent="0.35">
      <c r="H1887" s="35"/>
    </row>
    <row r="1888" spans="8:8" x14ac:dyDescent="0.35">
      <c r="H1888" s="35"/>
    </row>
    <row r="1889" spans="8:8" x14ac:dyDescent="0.35">
      <c r="H1889" s="35"/>
    </row>
    <row r="1890" spans="8:8" x14ac:dyDescent="0.35">
      <c r="H1890" s="35"/>
    </row>
    <row r="1891" spans="8:8" x14ac:dyDescent="0.35">
      <c r="H1891" s="35"/>
    </row>
    <row r="1892" spans="8:8" x14ac:dyDescent="0.35">
      <c r="H1892" s="35"/>
    </row>
    <row r="1893" spans="8:8" x14ac:dyDescent="0.35">
      <c r="H1893" s="35"/>
    </row>
    <row r="1894" spans="8:8" x14ac:dyDescent="0.35">
      <c r="H1894" s="35"/>
    </row>
    <row r="1895" spans="8:8" x14ac:dyDescent="0.35">
      <c r="H1895" s="35"/>
    </row>
    <row r="1896" spans="8:8" x14ac:dyDescent="0.35">
      <c r="H1896" s="35"/>
    </row>
    <row r="1897" spans="8:8" x14ac:dyDescent="0.35">
      <c r="H1897" s="35"/>
    </row>
    <row r="1898" spans="8:8" x14ac:dyDescent="0.35">
      <c r="H1898" s="35"/>
    </row>
    <row r="1899" spans="8:8" x14ac:dyDescent="0.35">
      <c r="H1899" s="35"/>
    </row>
    <row r="1900" spans="8:8" x14ac:dyDescent="0.35">
      <c r="H1900" s="35"/>
    </row>
    <row r="1901" spans="8:8" x14ac:dyDescent="0.35">
      <c r="H1901" s="35"/>
    </row>
    <row r="1902" spans="8:8" x14ac:dyDescent="0.35">
      <c r="H1902" s="35"/>
    </row>
    <row r="1903" spans="8:8" x14ac:dyDescent="0.35">
      <c r="H1903" s="35"/>
    </row>
    <row r="1904" spans="8:8" x14ac:dyDescent="0.35">
      <c r="H1904" s="35"/>
    </row>
    <row r="1905" spans="8:8" x14ac:dyDescent="0.35">
      <c r="H1905" s="35"/>
    </row>
    <row r="1906" spans="8:8" x14ac:dyDescent="0.35">
      <c r="H1906" s="35"/>
    </row>
    <row r="1907" spans="8:8" x14ac:dyDescent="0.35">
      <c r="H1907" s="35"/>
    </row>
    <row r="1908" spans="8:8" x14ac:dyDescent="0.35">
      <c r="H1908" s="35"/>
    </row>
    <row r="1909" spans="8:8" x14ac:dyDescent="0.35">
      <c r="H1909" s="35"/>
    </row>
    <row r="1910" spans="8:8" x14ac:dyDescent="0.35">
      <c r="H1910" s="35"/>
    </row>
    <row r="1911" spans="8:8" x14ac:dyDescent="0.35">
      <c r="H1911" s="35"/>
    </row>
    <row r="1912" spans="8:8" x14ac:dyDescent="0.35">
      <c r="H1912" s="35"/>
    </row>
    <row r="1913" spans="8:8" x14ac:dyDescent="0.35">
      <c r="H1913" s="35"/>
    </row>
    <row r="1914" spans="8:8" x14ac:dyDescent="0.35">
      <c r="H1914" s="35"/>
    </row>
    <row r="1915" spans="8:8" x14ac:dyDescent="0.35">
      <c r="H1915" s="35"/>
    </row>
    <row r="1916" spans="8:8" x14ac:dyDescent="0.35">
      <c r="H1916" s="35"/>
    </row>
    <row r="1917" spans="8:8" x14ac:dyDescent="0.35">
      <c r="H1917" s="35"/>
    </row>
    <row r="1918" spans="8:8" x14ac:dyDescent="0.35">
      <c r="H1918" s="35"/>
    </row>
    <row r="1919" spans="8:8" x14ac:dyDescent="0.35">
      <c r="H1919" s="35"/>
    </row>
    <row r="1920" spans="8:8" x14ac:dyDescent="0.35">
      <c r="H1920" s="35"/>
    </row>
    <row r="1921" spans="8:8" x14ac:dyDescent="0.35">
      <c r="H1921" s="35"/>
    </row>
    <row r="1922" spans="8:8" x14ac:dyDescent="0.35">
      <c r="H1922" s="35"/>
    </row>
    <row r="1923" spans="8:8" x14ac:dyDescent="0.35">
      <c r="H1923" s="35"/>
    </row>
    <row r="1924" spans="8:8" x14ac:dyDescent="0.35">
      <c r="H1924" s="35"/>
    </row>
    <row r="1925" spans="8:8" x14ac:dyDescent="0.35">
      <c r="H1925" s="35"/>
    </row>
    <row r="1926" spans="8:8" x14ac:dyDescent="0.35">
      <c r="H1926" s="35"/>
    </row>
    <row r="1927" spans="8:8" x14ac:dyDescent="0.35">
      <c r="H1927" s="35"/>
    </row>
    <row r="1928" spans="8:8" x14ac:dyDescent="0.35">
      <c r="H1928" s="35"/>
    </row>
    <row r="1929" spans="8:8" x14ac:dyDescent="0.35">
      <c r="H1929" s="35"/>
    </row>
    <row r="1930" spans="8:8" x14ac:dyDescent="0.35">
      <c r="H1930" s="35"/>
    </row>
    <row r="1931" spans="8:8" x14ac:dyDescent="0.35">
      <c r="H1931" s="35"/>
    </row>
    <row r="1932" spans="8:8" x14ac:dyDescent="0.35">
      <c r="H1932" s="35"/>
    </row>
    <row r="1933" spans="8:8" x14ac:dyDescent="0.35">
      <c r="H1933" s="35"/>
    </row>
    <row r="1934" spans="8:8" x14ac:dyDescent="0.35">
      <c r="H1934" s="35"/>
    </row>
    <row r="1935" spans="8:8" x14ac:dyDescent="0.35">
      <c r="H1935" s="35"/>
    </row>
    <row r="1936" spans="8:8" x14ac:dyDescent="0.35">
      <c r="H1936" s="35"/>
    </row>
    <row r="1937" spans="8:8" x14ac:dyDescent="0.35">
      <c r="H1937" s="35"/>
    </row>
    <row r="1938" spans="8:8" x14ac:dyDescent="0.35">
      <c r="H1938" s="35"/>
    </row>
    <row r="1939" spans="8:8" x14ac:dyDescent="0.35">
      <c r="H1939" s="35"/>
    </row>
    <row r="1940" spans="8:8" x14ac:dyDescent="0.35">
      <c r="H1940" s="35"/>
    </row>
    <row r="1941" spans="8:8" x14ac:dyDescent="0.35">
      <c r="H1941" s="35"/>
    </row>
    <row r="1942" spans="8:8" x14ac:dyDescent="0.35">
      <c r="H1942" s="35"/>
    </row>
    <row r="1943" spans="8:8" x14ac:dyDescent="0.35">
      <c r="H1943" s="35"/>
    </row>
    <row r="1944" spans="8:8" x14ac:dyDescent="0.35">
      <c r="H1944" s="35"/>
    </row>
    <row r="1945" spans="8:8" x14ac:dyDescent="0.35">
      <c r="H1945" s="35"/>
    </row>
    <row r="1946" spans="8:8" x14ac:dyDescent="0.35">
      <c r="H1946" s="35"/>
    </row>
    <row r="1947" spans="8:8" x14ac:dyDescent="0.35">
      <c r="H1947" s="35"/>
    </row>
    <row r="1948" spans="8:8" x14ac:dyDescent="0.35">
      <c r="H1948" s="35"/>
    </row>
    <row r="1949" spans="8:8" x14ac:dyDescent="0.35">
      <c r="H1949" s="35"/>
    </row>
    <row r="1950" spans="8:8" x14ac:dyDescent="0.35">
      <c r="H1950" s="35"/>
    </row>
    <row r="1951" spans="8:8" x14ac:dyDescent="0.35">
      <c r="H1951" s="35"/>
    </row>
    <row r="1952" spans="8:8" x14ac:dyDescent="0.35">
      <c r="H1952" s="35"/>
    </row>
    <row r="1953" spans="8:8" x14ac:dyDescent="0.35">
      <c r="H1953" s="35"/>
    </row>
    <row r="1954" spans="8:8" x14ac:dyDescent="0.35">
      <c r="H1954" s="35"/>
    </row>
    <row r="1955" spans="8:8" x14ac:dyDescent="0.35">
      <c r="H1955" s="35"/>
    </row>
    <row r="1956" spans="8:8" x14ac:dyDescent="0.35">
      <c r="H1956" s="35"/>
    </row>
    <row r="1957" spans="8:8" x14ac:dyDescent="0.35">
      <c r="H1957" s="35"/>
    </row>
    <row r="1958" spans="8:8" x14ac:dyDescent="0.35">
      <c r="H1958" s="35"/>
    </row>
    <row r="1959" spans="8:8" x14ac:dyDescent="0.35">
      <c r="H1959" s="35"/>
    </row>
    <row r="1960" spans="8:8" x14ac:dyDescent="0.35">
      <c r="H1960" s="35"/>
    </row>
    <row r="1961" spans="8:8" x14ac:dyDescent="0.35">
      <c r="H1961" s="35"/>
    </row>
    <row r="1962" spans="8:8" x14ac:dyDescent="0.35">
      <c r="H1962" s="35"/>
    </row>
    <row r="1963" spans="8:8" x14ac:dyDescent="0.35">
      <c r="H1963" s="35"/>
    </row>
    <row r="1964" spans="8:8" x14ac:dyDescent="0.35">
      <c r="H1964" s="35"/>
    </row>
    <row r="1965" spans="8:8" x14ac:dyDescent="0.35">
      <c r="H1965" s="35"/>
    </row>
    <row r="1966" spans="8:8" x14ac:dyDescent="0.35">
      <c r="H1966" s="35"/>
    </row>
    <row r="1967" spans="8:8" x14ac:dyDescent="0.35">
      <c r="H1967" s="35"/>
    </row>
    <row r="1968" spans="8:8" x14ac:dyDescent="0.35">
      <c r="H1968" s="35"/>
    </row>
    <row r="1969" spans="8:8" x14ac:dyDescent="0.35">
      <c r="H1969" s="35"/>
    </row>
    <row r="1970" spans="8:8" x14ac:dyDescent="0.35">
      <c r="H1970" s="35"/>
    </row>
    <row r="1971" spans="8:8" x14ac:dyDescent="0.35">
      <c r="H1971" s="35"/>
    </row>
    <row r="1972" spans="8:8" x14ac:dyDescent="0.35">
      <c r="H1972" s="35"/>
    </row>
    <row r="1973" spans="8:8" x14ac:dyDescent="0.35">
      <c r="H1973" s="35"/>
    </row>
    <row r="1974" spans="8:8" x14ac:dyDescent="0.35">
      <c r="H1974" s="35"/>
    </row>
    <row r="1975" spans="8:8" x14ac:dyDescent="0.35">
      <c r="H1975" s="35"/>
    </row>
    <row r="1976" spans="8:8" x14ac:dyDescent="0.35">
      <c r="H1976" s="35"/>
    </row>
    <row r="1977" spans="8:8" x14ac:dyDescent="0.35">
      <c r="H1977" s="35"/>
    </row>
    <row r="1978" spans="8:8" x14ac:dyDescent="0.35">
      <c r="H1978" s="35"/>
    </row>
    <row r="1979" spans="8:8" x14ac:dyDescent="0.35">
      <c r="H1979" s="35"/>
    </row>
    <row r="1980" spans="8:8" x14ac:dyDescent="0.35">
      <c r="H1980" s="35"/>
    </row>
    <row r="1981" spans="8:8" x14ac:dyDescent="0.35">
      <c r="H1981" s="35"/>
    </row>
    <row r="1982" spans="8:8" x14ac:dyDescent="0.35">
      <c r="H1982" s="35"/>
    </row>
    <row r="1983" spans="8:8" x14ac:dyDescent="0.35">
      <c r="H1983" s="35"/>
    </row>
    <row r="1984" spans="8:8" x14ac:dyDescent="0.35">
      <c r="H1984" s="35"/>
    </row>
    <row r="1985" spans="8:8" x14ac:dyDescent="0.35">
      <c r="H1985" s="35"/>
    </row>
    <row r="1986" spans="8:8" x14ac:dyDescent="0.35">
      <c r="H1986" s="35"/>
    </row>
    <row r="1987" spans="8:8" x14ac:dyDescent="0.35">
      <c r="H1987" s="35"/>
    </row>
    <row r="1988" spans="8:8" x14ac:dyDescent="0.35">
      <c r="H1988" s="35"/>
    </row>
    <row r="1989" spans="8:8" x14ac:dyDescent="0.35">
      <c r="H1989" s="35"/>
    </row>
    <row r="1990" spans="8:8" x14ac:dyDescent="0.35">
      <c r="H1990" s="35"/>
    </row>
    <row r="1991" spans="8:8" x14ac:dyDescent="0.35">
      <c r="H1991" s="35"/>
    </row>
    <row r="1992" spans="8:8" x14ac:dyDescent="0.35">
      <c r="H1992" s="35"/>
    </row>
    <row r="1993" spans="8:8" x14ac:dyDescent="0.35">
      <c r="H1993" s="35"/>
    </row>
    <row r="1994" spans="8:8" x14ac:dyDescent="0.35">
      <c r="H1994" s="35"/>
    </row>
    <row r="1995" spans="8:8" x14ac:dyDescent="0.35">
      <c r="H1995" s="35"/>
    </row>
    <row r="1996" spans="8:8" x14ac:dyDescent="0.35">
      <c r="H1996" s="35"/>
    </row>
    <row r="1997" spans="8:8" x14ac:dyDescent="0.35">
      <c r="H1997" s="35"/>
    </row>
    <row r="1998" spans="8:8" x14ac:dyDescent="0.35">
      <c r="H1998" s="35"/>
    </row>
    <row r="1999" spans="8:8" x14ac:dyDescent="0.35">
      <c r="H1999" s="35"/>
    </row>
    <row r="2000" spans="8:8" x14ac:dyDescent="0.35">
      <c r="H2000" s="35"/>
    </row>
    <row r="2001" spans="8:8" x14ac:dyDescent="0.35">
      <c r="H2001" s="35"/>
    </row>
    <row r="2002" spans="8:8" x14ac:dyDescent="0.35">
      <c r="H2002" s="35"/>
    </row>
    <row r="2003" spans="8:8" x14ac:dyDescent="0.35">
      <c r="H2003" s="35"/>
    </row>
    <row r="2004" spans="8:8" x14ac:dyDescent="0.35">
      <c r="H2004" s="35"/>
    </row>
    <row r="2005" spans="8:8" x14ac:dyDescent="0.35">
      <c r="H2005" s="35"/>
    </row>
    <row r="2006" spans="8:8" x14ac:dyDescent="0.35">
      <c r="H2006" s="35"/>
    </row>
    <row r="2007" spans="8:8" x14ac:dyDescent="0.35">
      <c r="H2007" s="35"/>
    </row>
    <row r="2008" spans="8:8" x14ac:dyDescent="0.35">
      <c r="H2008" s="35"/>
    </row>
    <row r="2009" spans="8:8" x14ac:dyDescent="0.35">
      <c r="H2009" s="35"/>
    </row>
    <row r="2010" spans="8:8" x14ac:dyDescent="0.35">
      <c r="H2010" s="35"/>
    </row>
    <row r="2011" spans="8:8" x14ac:dyDescent="0.35">
      <c r="H2011" s="35"/>
    </row>
    <row r="2012" spans="8:8" x14ac:dyDescent="0.35">
      <c r="H2012" s="35"/>
    </row>
    <row r="2013" spans="8:8" x14ac:dyDescent="0.35">
      <c r="H2013" s="35"/>
    </row>
    <row r="2014" spans="8:8" x14ac:dyDescent="0.35">
      <c r="H2014" s="35"/>
    </row>
    <row r="2015" spans="8:8" x14ac:dyDescent="0.35">
      <c r="H2015" s="35"/>
    </row>
    <row r="2016" spans="8:8" x14ac:dyDescent="0.35">
      <c r="H2016" s="35"/>
    </row>
    <row r="2017" spans="8:8" x14ac:dyDescent="0.35">
      <c r="H2017" s="35"/>
    </row>
    <row r="2018" spans="8:8" x14ac:dyDescent="0.35">
      <c r="H2018" s="35"/>
    </row>
    <row r="2019" spans="8:8" x14ac:dyDescent="0.35">
      <c r="H2019" s="35"/>
    </row>
    <row r="2020" spans="8:8" x14ac:dyDescent="0.35">
      <c r="H2020" s="35"/>
    </row>
    <row r="2021" spans="8:8" x14ac:dyDescent="0.35">
      <c r="H2021" s="35"/>
    </row>
    <row r="2022" spans="8:8" x14ac:dyDescent="0.35">
      <c r="H2022" s="35"/>
    </row>
    <row r="2023" spans="8:8" x14ac:dyDescent="0.35">
      <c r="H2023" s="35"/>
    </row>
    <row r="2024" spans="8:8" x14ac:dyDescent="0.35">
      <c r="H2024" s="35"/>
    </row>
    <row r="2025" spans="8:8" x14ac:dyDescent="0.35">
      <c r="H2025" s="35"/>
    </row>
    <row r="2026" spans="8:8" x14ac:dyDescent="0.35">
      <c r="H2026" s="35"/>
    </row>
    <row r="2027" spans="8:8" x14ac:dyDescent="0.35">
      <c r="H2027" s="35"/>
    </row>
    <row r="2028" spans="8:8" x14ac:dyDescent="0.35">
      <c r="H2028" s="35"/>
    </row>
    <row r="2029" spans="8:8" x14ac:dyDescent="0.35">
      <c r="H2029" s="35"/>
    </row>
    <row r="2030" spans="8:8" x14ac:dyDescent="0.35">
      <c r="H2030" s="35"/>
    </row>
    <row r="2031" spans="8:8" x14ac:dyDescent="0.35">
      <c r="H2031" s="35"/>
    </row>
    <row r="2032" spans="8:8" x14ac:dyDescent="0.35">
      <c r="H2032" s="35"/>
    </row>
    <row r="2033" spans="8:8" x14ac:dyDescent="0.35">
      <c r="H2033" s="35"/>
    </row>
    <row r="2034" spans="8:8" x14ac:dyDescent="0.35">
      <c r="H2034" s="35"/>
    </row>
    <row r="2035" spans="8:8" x14ac:dyDescent="0.35">
      <c r="H2035" s="35"/>
    </row>
    <row r="2036" spans="8:8" x14ac:dyDescent="0.35">
      <c r="H2036" s="35"/>
    </row>
    <row r="2037" spans="8:8" x14ac:dyDescent="0.35">
      <c r="H2037" s="35"/>
    </row>
    <row r="2038" spans="8:8" x14ac:dyDescent="0.35">
      <c r="H2038" s="35"/>
    </row>
    <row r="2039" spans="8:8" x14ac:dyDescent="0.35">
      <c r="H2039" s="35"/>
    </row>
    <row r="2040" spans="8:8" x14ac:dyDescent="0.35">
      <c r="H2040" s="35"/>
    </row>
    <row r="2041" spans="8:8" x14ac:dyDescent="0.35">
      <c r="H2041" s="35"/>
    </row>
    <row r="2042" spans="8:8" x14ac:dyDescent="0.35">
      <c r="H2042" s="35"/>
    </row>
    <row r="2043" spans="8:8" x14ac:dyDescent="0.35">
      <c r="H2043" s="35"/>
    </row>
    <row r="2044" spans="8:8" x14ac:dyDescent="0.35">
      <c r="H2044" s="35"/>
    </row>
    <row r="2045" spans="8:8" x14ac:dyDescent="0.35">
      <c r="H2045" s="35"/>
    </row>
    <row r="2046" spans="8:8" x14ac:dyDescent="0.35">
      <c r="H2046" s="35"/>
    </row>
    <row r="2047" spans="8:8" x14ac:dyDescent="0.35">
      <c r="H2047" s="35"/>
    </row>
    <row r="2048" spans="8:8" x14ac:dyDescent="0.35">
      <c r="H2048" s="35"/>
    </row>
    <row r="2049" spans="8:8" x14ac:dyDescent="0.35">
      <c r="H2049" s="35"/>
    </row>
    <row r="2050" spans="8:8" x14ac:dyDescent="0.35">
      <c r="H2050" s="35"/>
    </row>
    <row r="2051" spans="8:8" x14ac:dyDescent="0.35">
      <c r="H2051" s="35"/>
    </row>
    <row r="2052" spans="8:8" x14ac:dyDescent="0.35">
      <c r="H2052" s="35"/>
    </row>
    <row r="2053" spans="8:8" x14ac:dyDescent="0.35">
      <c r="H2053" s="35"/>
    </row>
    <row r="2054" spans="8:8" x14ac:dyDescent="0.35">
      <c r="H2054" s="35"/>
    </row>
    <row r="2055" spans="8:8" x14ac:dyDescent="0.35">
      <c r="H2055" s="35"/>
    </row>
    <row r="2056" spans="8:8" x14ac:dyDescent="0.35">
      <c r="H2056" s="35"/>
    </row>
    <row r="2057" spans="8:8" x14ac:dyDescent="0.35">
      <c r="H2057" s="35"/>
    </row>
    <row r="2058" spans="8:8" x14ac:dyDescent="0.35">
      <c r="H2058" s="35"/>
    </row>
    <row r="2059" spans="8:8" x14ac:dyDescent="0.35">
      <c r="H2059" s="35"/>
    </row>
    <row r="2060" spans="8:8" x14ac:dyDescent="0.35">
      <c r="H2060" s="35"/>
    </row>
    <row r="2061" spans="8:8" x14ac:dyDescent="0.35">
      <c r="H2061" s="35"/>
    </row>
    <row r="2062" spans="8:8" x14ac:dyDescent="0.35">
      <c r="H2062" s="35"/>
    </row>
    <row r="2063" spans="8:8" x14ac:dyDescent="0.35">
      <c r="H2063" s="35"/>
    </row>
    <row r="2064" spans="8:8" x14ac:dyDescent="0.35">
      <c r="H2064" s="35"/>
    </row>
    <row r="2065" spans="8:8" x14ac:dyDescent="0.35">
      <c r="H2065" s="35"/>
    </row>
    <row r="2066" spans="8:8" x14ac:dyDescent="0.35">
      <c r="H2066" s="35"/>
    </row>
    <row r="2067" spans="8:8" x14ac:dyDescent="0.35">
      <c r="H2067" s="35"/>
    </row>
    <row r="2068" spans="8:8" x14ac:dyDescent="0.35">
      <c r="H2068" s="35"/>
    </row>
    <row r="2069" spans="8:8" x14ac:dyDescent="0.35">
      <c r="H2069" s="35"/>
    </row>
    <row r="2070" spans="8:8" x14ac:dyDescent="0.35">
      <c r="H2070" s="35"/>
    </row>
    <row r="2071" spans="8:8" x14ac:dyDescent="0.35">
      <c r="H2071" s="35"/>
    </row>
    <row r="2072" spans="8:8" x14ac:dyDescent="0.35">
      <c r="H2072" s="35"/>
    </row>
    <row r="2073" spans="8:8" x14ac:dyDescent="0.35">
      <c r="H2073" s="35"/>
    </row>
    <row r="2074" spans="8:8" x14ac:dyDescent="0.35">
      <c r="H2074" s="35"/>
    </row>
    <row r="2075" spans="8:8" x14ac:dyDescent="0.35">
      <c r="H2075" s="35"/>
    </row>
    <row r="2076" spans="8:8" x14ac:dyDescent="0.35">
      <c r="H2076" s="35"/>
    </row>
    <row r="2077" spans="8:8" x14ac:dyDescent="0.35">
      <c r="H2077" s="35"/>
    </row>
    <row r="2078" spans="8:8" x14ac:dyDescent="0.35">
      <c r="H2078" s="35"/>
    </row>
    <row r="2079" spans="8:8" x14ac:dyDescent="0.35">
      <c r="H2079" s="35"/>
    </row>
    <row r="2080" spans="8:8" x14ac:dyDescent="0.35">
      <c r="H2080" s="35"/>
    </row>
    <row r="2081" spans="8:8" x14ac:dyDescent="0.35">
      <c r="H2081" s="35"/>
    </row>
    <row r="2082" spans="8:8" x14ac:dyDescent="0.35">
      <c r="H2082" s="35"/>
    </row>
    <row r="2083" spans="8:8" x14ac:dyDescent="0.35">
      <c r="H2083" s="35"/>
    </row>
    <row r="2084" spans="8:8" x14ac:dyDescent="0.35">
      <c r="H2084" s="35"/>
    </row>
    <row r="2085" spans="8:8" x14ac:dyDescent="0.35">
      <c r="H2085" s="35"/>
    </row>
    <row r="2086" spans="8:8" x14ac:dyDescent="0.35">
      <c r="H2086" s="35"/>
    </row>
    <row r="2087" spans="8:8" x14ac:dyDescent="0.35">
      <c r="H2087" s="35"/>
    </row>
    <row r="2088" spans="8:8" x14ac:dyDescent="0.35">
      <c r="H2088" s="35"/>
    </row>
    <row r="2089" spans="8:8" x14ac:dyDescent="0.35">
      <c r="H2089" s="35"/>
    </row>
    <row r="2090" spans="8:8" x14ac:dyDescent="0.35">
      <c r="H2090" s="35"/>
    </row>
    <row r="2091" spans="8:8" x14ac:dyDescent="0.35">
      <c r="H2091" s="35"/>
    </row>
    <row r="2092" spans="8:8" x14ac:dyDescent="0.35">
      <c r="H2092" s="35"/>
    </row>
    <row r="2093" spans="8:8" x14ac:dyDescent="0.35">
      <c r="H2093" s="35"/>
    </row>
    <row r="2094" spans="8:8" x14ac:dyDescent="0.35">
      <c r="H2094" s="35"/>
    </row>
    <row r="2095" spans="8:8" x14ac:dyDescent="0.35">
      <c r="H2095" s="35"/>
    </row>
    <row r="2096" spans="8:8" x14ac:dyDescent="0.35">
      <c r="H2096" s="35"/>
    </row>
    <row r="2097" spans="8:8" x14ac:dyDescent="0.35">
      <c r="H2097" s="35"/>
    </row>
    <row r="2098" spans="8:8" x14ac:dyDescent="0.35">
      <c r="H2098" s="35"/>
    </row>
    <row r="2099" spans="8:8" x14ac:dyDescent="0.35">
      <c r="H2099" s="35"/>
    </row>
    <row r="2100" spans="8:8" x14ac:dyDescent="0.35">
      <c r="H2100" s="35"/>
    </row>
    <row r="2101" spans="8:8" x14ac:dyDescent="0.35">
      <c r="H2101" s="35"/>
    </row>
    <row r="2102" spans="8:8" x14ac:dyDescent="0.35">
      <c r="H2102" s="35"/>
    </row>
    <row r="2103" spans="8:8" x14ac:dyDescent="0.35">
      <c r="H2103" s="35"/>
    </row>
    <row r="2104" spans="8:8" x14ac:dyDescent="0.35">
      <c r="H2104" s="35"/>
    </row>
    <row r="2105" spans="8:8" x14ac:dyDescent="0.35">
      <c r="H2105" s="35"/>
    </row>
    <row r="2106" spans="8:8" x14ac:dyDescent="0.35">
      <c r="H2106" s="35"/>
    </row>
    <row r="2107" spans="8:8" x14ac:dyDescent="0.35">
      <c r="H2107" s="35"/>
    </row>
    <row r="2108" spans="8:8" x14ac:dyDescent="0.35">
      <c r="H2108" s="35"/>
    </row>
    <row r="2109" spans="8:8" x14ac:dyDescent="0.35">
      <c r="H2109" s="35"/>
    </row>
    <row r="2110" spans="8:8" x14ac:dyDescent="0.35">
      <c r="H2110" s="35"/>
    </row>
    <row r="2111" spans="8:8" x14ac:dyDescent="0.35">
      <c r="H2111" s="35"/>
    </row>
    <row r="2112" spans="8:8" x14ac:dyDescent="0.35">
      <c r="H2112" s="35"/>
    </row>
    <row r="2113" spans="8:8" x14ac:dyDescent="0.35">
      <c r="H2113" s="35"/>
    </row>
    <row r="2114" spans="8:8" x14ac:dyDescent="0.35">
      <c r="H2114" s="35"/>
    </row>
    <row r="2115" spans="8:8" x14ac:dyDescent="0.35">
      <c r="H2115" s="35"/>
    </row>
    <row r="2116" spans="8:8" x14ac:dyDescent="0.35">
      <c r="H2116" s="35"/>
    </row>
    <row r="2117" spans="8:8" x14ac:dyDescent="0.35">
      <c r="H2117" s="35"/>
    </row>
    <row r="2118" spans="8:8" x14ac:dyDescent="0.35">
      <c r="H2118" s="35"/>
    </row>
    <row r="2119" spans="8:8" x14ac:dyDescent="0.35">
      <c r="H2119" s="35"/>
    </row>
    <row r="2120" spans="8:8" x14ac:dyDescent="0.35">
      <c r="H2120" s="35"/>
    </row>
    <row r="2121" spans="8:8" x14ac:dyDescent="0.35">
      <c r="H2121" s="35"/>
    </row>
    <row r="2122" spans="8:8" x14ac:dyDescent="0.35">
      <c r="H2122" s="35"/>
    </row>
    <row r="2123" spans="8:8" x14ac:dyDescent="0.35">
      <c r="H2123" s="35"/>
    </row>
    <row r="2124" spans="8:8" x14ac:dyDescent="0.35">
      <c r="H2124" s="35"/>
    </row>
    <row r="2125" spans="8:8" x14ac:dyDescent="0.35">
      <c r="H2125" s="35"/>
    </row>
    <row r="2126" spans="8:8" x14ac:dyDescent="0.35">
      <c r="H2126" s="35"/>
    </row>
    <row r="2127" spans="8:8" x14ac:dyDescent="0.35">
      <c r="H2127" s="35"/>
    </row>
    <row r="2128" spans="8:8" x14ac:dyDescent="0.35">
      <c r="H2128" s="35"/>
    </row>
    <row r="2129" spans="8:8" x14ac:dyDescent="0.35">
      <c r="H2129" s="35"/>
    </row>
    <row r="2130" spans="8:8" x14ac:dyDescent="0.35">
      <c r="H2130" s="35"/>
    </row>
    <row r="2131" spans="8:8" x14ac:dyDescent="0.35">
      <c r="H2131" s="35"/>
    </row>
    <row r="2132" spans="8:8" x14ac:dyDescent="0.35">
      <c r="H2132" s="35"/>
    </row>
    <row r="2133" spans="8:8" x14ac:dyDescent="0.35">
      <c r="H2133" s="35"/>
    </row>
    <row r="2134" spans="8:8" x14ac:dyDescent="0.35">
      <c r="H2134" s="35"/>
    </row>
    <row r="2135" spans="8:8" x14ac:dyDescent="0.35">
      <c r="H2135" s="35"/>
    </row>
    <row r="2136" spans="8:8" x14ac:dyDescent="0.35">
      <c r="H2136" s="35"/>
    </row>
    <row r="2137" spans="8:8" x14ac:dyDescent="0.35">
      <c r="H2137" s="35"/>
    </row>
    <row r="2138" spans="8:8" x14ac:dyDescent="0.35">
      <c r="H2138" s="35"/>
    </row>
    <row r="2139" spans="8:8" x14ac:dyDescent="0.35">
      <c r="H2139" s="35"/>
    </row>
    <row r="2140" spans="8:8" x14ac:dyDescent="0.35">
      <c r="H2140" s="35"/>
    </row>
    <row r="2141" spans="8:8" x14ac:dyDescent="0.35">
      <c r="H2141" s="35"/>
    </row>
    <row r="2142" spans="8:8" x14ac:dyDescent="0.35">
      <c r="H2142" s="35"/>
    </row>
    <row r="2143" spans="8:8" x14ac:dyDescent="0.35">
      <c r="H2143" s="35"/>
    </row>
    <row r="2144" spans="8:8" x14ac:dyDescent="0.35">
      <c r="H2144" s="35"/>
    </row>
    <row r="2145" spans="8:8" x14ac:dyDescent="0.35">
      <c r="H2145" s="35"/>
    </row>
    <row r="2146" spans="8:8" x14ac:dyDescent="0.35">
      <c r="H2146" s="35"/>
    </row>
    <row r="2147" spans="8:8" x14ac:dyDescent="0.35">
      <c r="H2147" s="35"/>
    </row>
    <row r="2148" spans="8:8" x14ac:dyDescent="0.35">
      <c r="H2148" s="35"/>
    </row>
    <row r="2149" spans="8:8" x14ac:dyDescent="0.35">
      <c r="H2149" s="35"/>
    </row>
    <row r="2150" spans="8:8" x14ac:dyDescent="0.35">
      <c r="H2150" s="35"/>
    </row>
    <row r="2151" spans="8:8" x14ac:dyDescent="0.35">
      <c r="H2151" s="35"/>
    </row>
    <row r="2152" spans="8:8" x14ac:dyDescent="0.35">
      <c r="H2152" s="35"/>
    </row>
    <row r="2153" spans="8:8" x14ac:dyDescent="0.35">
      <c r="H2153" s="35"/>
    </row>
    <row r="2154" spans="8:8" x14ac:dyDescent="0.35">
      <c r="H2154" s="35"/>
    </row>
    <row r="2155" spans="8:8" x14ac:dyDescent="0.35">
      <c r="H2155" s="35"/>
    </row>
    <row r="2156" spans="8:8" x14ac:dyDescent="0.35">
      <c r="H2156" s="35"/>
    </row>
    <row r="2157" spans="8:8" x14ac:dyDescent="0.35">
      <c r="H2157" s="35"/>
    </row>
    <row r="2158" spans="8:8" x14ac:dyDescent="0.35">
      <c r="H2158" s="35"/>
    </row>
    <row r="2159" spans="8:8" x14ac:dyDescent="0.35">
      <c r="H2159" s="35"/>
    </row>
    <row r="2160" spans="8:8" x14ac:dyDescent="0.35">
      <c r="H2160" s="35"/>
    </row>
    <row r="2161" spans="8:8" x14ac:dyDescent="0.35">
      <c r="H2161" s="35"/>
    </row>
    <row r="2162" spans="8:8" x14ac:dyDescent="0.35">
      <c r="H2162" s="35"/>
    </row>
    <row r="2163" spans="8:8" x14ac:dyDescent="0.35">
      <c r="H2163" s="35"/>
    </row>
    <row r="2164" spans="8:8" x14ac:dyDescent="0.35">
      <c r="H2164" s="35"/>
    </row>
    <row r="2165" spans="8:8" x14ac:dyDescent="0.35">
      <c r="H2165" s="35"/>
    </row>
    <row r="2166" spans="8:8" x14ac:dyDescent="0.35">
      <c r="H2166" s="35"/>
    </row>
    <row r="2167" spans="8:8" x14ac:dyDescent="0.35">
      <c r="H2167" s="35"/>
    </row>
    <row r="2168" spans="8:8" x14ac:dyDescent="0.35">
      <c r="H2168" s="35"/>
    </row>
    <row r="2169" spans="8:8" x14ac:dyDescent="0.35">
      <c r="H2169" s="35"/>
    </row>
    <row r="2170" spans="8:8" x14ac:dyDescent="0.35">
      <c r="H2170" s="35"/>
    </row>
    <row r="2171" spans="8:8" x14ac:dyDescent="0.35">
      <c r="H2171" s="35"/>
    </row>
    <row r="2172" spans="8:8" x14ac:dyDescent="0.35">
      <c r="H2172" s="35"/>
    </row>
    <row r="2173" spans="8:8" x14ac:dyDescent="0.35">
      <c r="H2173" s="35"/>
    </row>
    <row r="2174" spans="8:8" x14ac:dyDescent="0.35">
      <c r="H2174" s="35"/>
    </row>
    <row r="2175" spans="8:8" x14ac:dyDescent="0.35">
      <c r="H2175" s="35"/>
    </row>
    <row r="2176" spans="8:8" x14ac:dyDescent="0.35">
      <c r="H2176" s="35"/>
    </row>
    <row r="2177" spans="8:8" x14ac:dyDescent="0.35">
      <c r="H2177" s="35"/>
    </row>
    <row r="2178" spans="8:8" x14ac:dyDescent="0.35">
      <c r="H2178" s="35"/>
    </row>
    <row r="2179" spans="8:8" x14ac:dyDescent="0.35">
      <c r="H2179" s="35"/>
    </row>
    <row r="2180" spans="8:8" x14ac:dyDescent="0.35">
      <c r="H2180" s="35"/>
    </row>
    <row r="2181" spans="8:8" x14ac:dyDescent="0.35">
      <c r="H2181" s="35"/>
    </row>
    <row r="2182" spans="8:8" x14ac:dyDescent="0.35">
      <c r="H2182" s="35"/>
    </row>
    <row r="2183" spans="8:8" x14ac:dyDescent="0.35">
      <c r="H2183" s="35"/>
    </row>
    <row r="2184" spans="8:8" x14ac:dyDescent="0.35">
      <c r="H2184" s="35"/>
    </row>
    <row r="2185" spans="8:8" x14ac:dyDescent="0.35">
      <c r="H2185" s="35"/>
    </row>
    <row r="2186" spans="8:8" x14ac:dyDescent="0.35">
      <c r="H2186" s="35"/>
    </row>
    <row r="2187" spans="8:8" x14ac:dyDescent="0.35">
      <c r="H2187" s="35"/>
    </row>
    <row r="2188" spans="8:8" x14ac:dyDescent="0.35">
      <c r="H2188" s="35"/>
    </row>
    <row r="2189" spans="8:8" x14ac:dyDescent="0.35">
      <c r="H2189" s="35"/>
    </row>
    <row r="2190" spans="8:8" x14ac:dyDescent="0.35">
      <c r="H2190" s="35"/>
    </row>
    <row r="2191" spans="8:8" x14ac:dyDescent="0.35">
      <c r="H2191" s="35"/>
    </row>
    <row r="2192" spans="8:8" x14ac:dyDescent="0.35">
      <c r="H2192" s="35"/>
    </row>
    <row r="2193" spans="8:8" x14ac:dyDescent="0.35">
      <c r="H2193" s="35"/>
    </row>
    <row r="2194" spans="8:8" x14ac:dyDescent="0.35">
      <c r="H2194" s="35"/>
    </row>
    <row r="2195" spans="8:8" x14ac:dyDescent="0.35">
      <c r="H2195" s="35"/>
    </row>
    <row r="2196" spans="8:8" x14ac:dyDescent="0.35">
      <c r="H2196" s="35"/>
    </row>
    <row r="2197" spans="8:8" x14ac:dyDescent="0.35">
      <c r="H2197" s="35"/>
    </row>
    <row r="2198" spans="8:8" x14ac:dyDescent="0.35">
      <c r="H2198" s="35"/>
    </row>
    <row r="2199" spans="8:8" x14ac:dyDescent="0.35">
      <c r="H2199" s="35"/>
    </row>
    <row r="2200" spans="8:8" x14ac:dyDescent="0.35">
      <c r="H2200" s="35"/>
    </row>
    <row r="2201" spans="8:8" x14ac:dyDescent="0.35">
      <c r="H2201" s="35"/>
    </row>
    <row r="2202" spans="8:8" x14ac:dyDescent="0.35">
      <c r="H2202" s="35"/>
    </row>
    <row r="2203" spans="8:8" x14ac:dyDescent="0.35">
      <c r="H2203" s="35"/>
    </row>
    <row r="2204" spans="8:8" x14ac:dyDescent="0.35">
      <c r="H2204" s="35"/>
    </row>
    <row r="2205" spans="8:8" x14ac:dyDescent="0.35">
      <c r="H2205" s="35"/>
    </row>
    <row r="2206" spans="8:8" x14ac:dyDescent="0.35">
      <c r="H2206" s="35"/>
    </row>
    <row r="2207" spans="8:8" x14ac:dyDescent="0.35">
      <c r="H2207" s="35"/>
    </row>
    <row r="2208" spans="8:8" x14ac:dyDescent="0.35">
      <c r="H2208" s="35"/>
    </row>
    <row r="2209" spans="8:8" x14ac:dyDescent="0.35">
      <c r="H2209" s="35"/>
    </row>
    <row r="2210" spans="8:8" x14ac:dyDescent="0.35">
      <c r="H2210" s="35"/>
    </row>
    <row r="2211" spans="8:8" x14ac:dyDescent="0.35">
      <c r="H2211" s="35"/>
    </row>
    <row r="2212" spans="8:8" x14ac:dyDescent="0.35">
      <c r="H2212" s="35"/>
    </row>
    <row r="2213" spans="8:8" x14ac:dyDescent="0.35">
      <c r="H2213" s="35"/>
    </row>
    <row r="2214" spans="8:8" x14ac:dyDescent="0.35">
      <c r="H2214" s="35"/>
    </row>
    <row r="2215" spans="8:8" x14ac:dyDescent="0.35">
      <c r="H2215" s="35"/>
    </row>
    <row r="2216" spans="8:8" x14ac:dyDescent="0.35">
      <c r="H2216" s="35"/>
    </row>
    <row r="2217" spans="8:8" x14ac:dyDescent="0.35">
      <c r="H2217" s="35"/>
    </row>
    <row r="2218" spans="8:8" x14ac:dyDescent="0.35">
      <c r="H2218" s="35"/>
    </row>
    <row r="2219" spans="8:8" x14ac:dyDescent="0.35">
      <c r="H2219" s="35"/>
    </row>
    <row r="2220" spans="8:8" x14ac:dyDescent="0.35">
      <c r="H2220" s="35"/>
    </row>
    <row r="2221" spans="8:8" x14ac:dyDescent="0.35">
      <c r="H2221" s="35"/>
    </row>
    <row r="2222" spans="8:8" x14ac:dyDescent="0.35">
      <c r="H2222" s="35"/>
    </row>
    <row r="2223" spans="8:8" x14ac:dyDescent="0.35">
      <c r="H2223" s="35"/>
    </row>
    <row r="2224" spans="8:8" x14ac:dyDescent="0.35">
      <c r="H2224" s="35"/>
    </row>
    <row r="2225" spans="8:8" x14ac:dyDescent="0.35">
      <c r="H2225" s="35"/>
    </row>
    <row r="2226" spans="8:8" x14ac:dyDescent="0.35">
      <c r="H2226" s="35"/>
    </row>
    <row r="2227" spans="8:8" x14ac:dyDescent="0.35">
      <c r="H2227" s="35"/>
    </row>
    <row r="2228" spans="8:8" x14ac:dyDescent="0.35">
      <c r="H2228" s="35"/>
    </row>
    <row r="2229" spans="8:8" x14ac:dyDescent="0.35">
      <c r="H2229" s="35"/>
    </row>
    <row r="2230" spans="8:8" x14ac:dyDescent="0.35">
      <c r="H2230" s="35"/>
    </row>
    <row r="2231" spans="8:8" x14ac:dyDescent="0.35">
      <c r="H2231" s="35"/>
    </row>
    <row r="2232" spans="8:8" x14ac:dyDescent="0.35">
      <c r="H2232" s="35"/>
    </row>
    <row r="2233" spans="8:8" x14ac:dyDescent="0.35">
      <c r="H2233" s="35"/>
    </row>
    <row r="2234" spans="8:8" x14ac:dyDescent="0.35">
      <c r="H2234" s="35"/>
    </row>
    <row r="2235" spans="8:8" x14ac:dyDescent="0.35">
      <c r="H2235" s="35"/>
    </row>
    <row r="2236" spans="8:8" x14ac:dyDescent="0.35">
      <c r="H2236" s="35"/>
    </row>
    <row r="2237" spans="8:8" x14ac:dyDescent="0.35">
      <c r="H2237" s="35"/>
    </row>
    <row r="2238" spans="8:8" x14ac:dyDescent="0.35">
      <c r="H2238" s="35"/>
    </row>
    <row r="2239" spans="8:8" x14ac:dyDescent="0.35">
      <c r="H2239" s="35"/>
    </row>
    <row r="2240" spans="8:8" x14ac:dyDescent="0.35">
      <c r="H2240" s="35"/>
    </row>
    <row r="2241" spans="8:8" x14ac:dyDescent="0.35">
      <c r="H2241" s="35"/>
    </row>
    <row r="2242" spans="8:8" x14ac:dyDescent="0.35">
      <c r="H2242" s="35"/>
    </row>
    <row r="2243" spans="8:8" x14ac:dyDescent="0.35">
      <c r="H2243" s="35"/>
    </row>
    <row r="2244" spans="8:8" x14ac:dyDescent="0.35">
      <c r="H2244" s="35"/>
    </row>
    <row r="2245" spans="8:8" x14ac:dyDescent="0.35">
      <c r="H2245" s="35"/>
    </row>
    <row r="2246" spans="8:8" x14ac:dyDescent="0.35">
      <c r="H2246" s="35"/>
    </row>
    <row r="2247" spans="8:8" x14ac:dyDescent="0.35">
      <c r="H2247" s="35"/>
    </row>
    <row r="2248" spans="8:8" x14ac:dyDescent="0.35">
      <c r="H2248" s="35"/>
    </row>
    <row r="2249" spans="8:8" x14ac:dyDescent="0.35">
      <c r="H2249" s="35"/>
    </row>
    <row r="2250" spans="8:8" x14ac:dyDescent="0.35">
      <c r="H2250" s="35"/>
    </row>
    <row r="2251" spans="8:8" x14ac:dyDescent="0.35">
      <c r="H2251" s="35"/>
    </row>
    <row r="2252" spans="8:8" x14ac:dyDescent="0.35">
      <c r="H2252" s="35"/>
    </row>
    <row r="2253" spans="8:8" x14ac:dyDescent="0.35">
      <c r="H2253" s="35"/>
    </row>
    <row r="2254" spans="8:8" x14ac:dyDescent="0.35">
      <c r="H2254" s="35"/>
    </row>
    <row r="2255" spans="8:8" x14ac:dyDescent="0.35">
      <c r="H2255" s="35"/>
    </row>
    <row r="2256" spans="8:8" x14ac:dyDescent="0.35">
      <c r="H2256" s="35"/>
    </row>
    <row r="2257" spans="8:8" x14ac:dyDescent="0.35">
      <c r="H2257" s="35"/>
    </row>
    <row r="2258" spans="8:8" x14ac:dyDescent="0.35">
      <c r="H2258" s="35"/>
    </row>
    <row r="2259" spans="8:8" x14ac:dyDescent="0.35">
      <c r="H2259" s="35"/>
    </row>
    <row r="2260" spans="8:8" x14ac:dyDescent="0.35">
      <c r="H2260" s="35"/>
    </row>
    <row r="2261" spans="8:8" x14ac:dyDescent="0.35">
      <c r="H2261" s="35"/>
    </row>
    <row r="2262" spans="8:8" x14ac:dyDescent="0.35">
      <c r="H2262" s="35"/>
    </row>
    <row r="2263" spans="8:8" x14ac:dyDescent="0.35">
      <c r="H2263" s="35"/>
    </row>
    <row r="2264" spans="8:8" x14ac:dyDescent="0.35">
      <c r="H2264" s="35"/>
    </row>
    <row r="2265" spans="8:8" x14ac:dyDescent="0.35">
      <c r="H2265" s="35"/>
    </row>
    <row r="2266" spans="8:8" x14ac:dyDescent="0.35">
      <c r="H2266" s="35"/>
    </row>
    <row r="2267" spans="8:8" x14ac:dyDescent="0.35">
      <c r="H2267" s="35"/>
    </row>
    <row r="2268" spans="8:8" x14ac:dyDescent="0.35">
      <c r="H2268" s="35"/>
    </row>
    <row r="2269" spans="8:8" x14ac:dyDescent="0.35">
      <c r="H2269" s="35"/>
    </row>
    <row r="2270" spans="8:8" x14ac:dyDescent="0.35">
      <c r="H2270" s="35"/>
    </row>
    <row r="2271" spans="8:8" x14ac:dyDescent="0.35">
      <c r="H2271" s="35"/>
    </row>
    <row r="2272" spans="8:8" x14ac:dyDescent="0.35">
      <c r="H2272" s="35"/>
    </row>
    <row r="2273" spans="8:8" x14ac:dyDescent="0.35">
      <c r="H2273" s="35"/>
    </row>
    <row r="2274" spans="8:8" x14ac:dyDescent="0.35">
      <c r="H2274" s="35"/>
    </row>
    <row r="2275" spans="8:8" x14ac:dyDescent="0.35">
      <c r="H2275" s="35"/>
    </row>
    <row r="2276" spans="8:8" x14ac:dyDescent="0.35">
      <c r="H2276" s="35"/>
    </row>
    <row r="2277" spans="8:8" x14ac:dyDescent="0.35">
      <c r="H2277" s="35"/>
    </row>
    <row r="2278" spans="8:8" x14ac:dyDescent="0.35">
      <c r="H2278" s="35"/>
    </row>
    <row r="2279" spans="8:8" x14ac:dyDescent="0.35">
      <c r="H2279" s="35"/>
    </row>
    <row r="2280" spans="8:8" x14ac:dyDescent="0.35">
      <c r="H2280" s="35"/>
    </row>
    <row r="2281" spans="8:8" x14ac:dyDescent="0.35">
      <c r="H2281" s="35"/>
    </row>
    <row r="2282" spans="8:8" x14ac:dyDescent="0.35">
      <c r="H2282" s="35"/>
    </row>
    <row r="2283" spans="8:8" x14ac:dyDescent="0.35">
      <c r="H2283" s="35"/>
    </row>
    <row r="2284" spans="8:8" x14ac:dyDescent="0.35">
      <c r="H2284" s="35"/>
    </row>
    <row r="2285" spans="8:8" x14ac:dyDescent="0.35">
      <c r="H2285" s="35"/>
    </row>
    <row r="2286" spans="8:8" x14ac:dyDescent="0.35">
      <c r="H2286" s="35"/>
    </row>
    <row r="2287" spans="8:8" x14ac:dyDescent="0.35">
      <c r="H2287" s="35"/>
    </row>
    <row r="2288" spans="8:8" x14ac:dyDescent="0.35">
      <c r="H2288" s="35"/>
    </row>
    <row r="2289" spans="8:8" x14ac:dyDescent="0.35">
      <c r="H2289" s="35"/>
    </row>
    <row r="2290" spans="8:8" x14ac:dyDescent="0.35">
      <c r="H2290" s="35"/>
    </row>
    <row r="2291" spans="8:8" x14ac:dyDescent="0.35">
      <c r="H2291" s="35"/>
    </row>
    <row r="2292" spans="8:8" x14ac:dyDescent="0.35">
      <c r="H2292" s="35"/>
    </row>
    <row r="2293" spans="8:8" x14ac:dyDescent="0.35">
      <c r="H2293" s="35"/>
    </row>
    <row r="2294" spans="8:8" x14ac:dyDescent="0.35">
      <c r="H2294" s="35"/>
    </row>
    <row r="2295" spans="8:8" x14ac:dyDescent="0.35">
      <c r="H2295" s="35"/>
    </row>
    <row r="2296" spans="8:8" x14ac:dyDescent="0.35">
      <c r="H2296" s="35"/>
    </row>
    <row r="2297" spans="8:8" x14ac:dyDescent="0.35">
      <c r="H2297" s="35"/>
    </row>
    <row r="2298" spans="8:8" x14ac:dyDescent="0.35">
      <c r="H2298" s="35"/>
    </row>
    <row r="2299" spans="8:8" x14ac:dyDescent="0.35">
      <c r="H2299" s="35"/>
    </row>
    <row r="2300" spans="8:8" x14ac:dyDescent="0.35">
      <c r="H2300" s="35"/>
    </row>
    <row r="2301" spans="8:8" x14ac:dyDescent="0.35">
      <c r="H2301" s="35"/>
    </row>
    <row r="2302" spans="8:8" x14ac:dyDescent="0.35">
      <c r="H2302" s="35"/>
    </row>
    <row r="2303" spans="8:8" x14ac:dyDescent="0.35">
      <c r="H2303" s="35"/>
    </row>
    <row r="2304" spans="8:8" x14ac:dyDescent="0.35">
      <c r="H2304" s="35"/>
    </row>
    <row r="2305" spans="8:8" x14ac:dyDescent="0.35">
      <c r="H2305" s="35"/>
    </row>
    <row r="2306" spans="8:8" x14ac:dyDescent="0.35">
      <c r="H2306" s="35"/>
    </row>
    <row r="2307" spans="8:8" x14ac:dyDescent="0.35">
      <c r="H2307" s="35"/>
    </row>
    <row r="2308" spans="8:8" x14ac:dyDescent="0.35">
      <c r="H2308" s="35"/>
    </row>
    <row r="2309" spans="8:8" x14ac:dyDescent="0.35">
      <c r="H2309" s="35"/>
    </row>
    <row r="2310" spans="8:8" x14ac:dyDescent="0.35">
      <c r="H2310" s="35"/>
    </row>
    <row r="2311" spans="8:8" x14ac:dyDescent="0.35">
      <c r="H2311" s="35"/>
    </row>
    <row r="2312" spans="8:8" x14ac:dyDescent="0.35">
      <c r="H2312" s="35"/>
    </row>
    <row r="2313" spans="8:8" x14ac:dyDescent="0.35">
      <c r="H2313" s="35"/>
    </row>
    <row r="2314" spans="8:8" x14ac:dyDescent="0.35">
      <c r="H2314" s="35"/>
    </row>
    <row r="2315" spans="8:8" x14ac:dyDescent="0.35">
      <c r="H2315" s="35"/>
    </row>
    <row r="2316" spans="8:8" x14ac:dyDescent="0.35">
      <c r="H2316" s="35"/>
    </row>
    <row r="2317" spans="8:8" x14ac:dyDescent="0.35">
      <c r="H2317" s="35"/>
    </row>
    <row r="2318" spans="8:8" x14ac:dyDescent="0.35">
      <c r="H2318" s="35"/>
    </row>
    <row r="2319" spans="8:8" x14ac:dyDescent="0.35">
      <c r="H2319" s="35"/>
    </row>
    <row r="2320" spans="8:8" x14ac:dyDescent="0.35">
      <c r="H2320" s="35"/>
    </row>
    <row r="2321" spans="8:8" x14ac:dyDescent="0.35">
      <c r="H2321" s="35"/>
    </row>
    <row r="2322" spans="8:8" x14ac:dyDescent="0.35">
      <c r="H2322" s="35"/>
    </row>
    <row r="2323" spans="8:8" x14ac:dyDescent="0.35">
      <c r="H2323" s="35"/>
    </row>
    <row r="2324" spans="8:8" x14ac:dyDescent="0.35">
      <c r="H2324" s="35"/>
    </row>
    <row r="2325" spans="8:8" x14ac:dyDescent="0.35">
      <c r="H2325" s="35"/>
    </row>
    <row r="2326" spans="8:8" x14ac:dyDescent="0.35">
      <c r="H2326" s="35"/>
    </row>
    <row r="2327" spans="8:8" x14ac:dyDescent="0.35">
      <c r="H2327" s="35"/>
    </row>
    <row r="2328" spans="8:8" x14ac:dyDescent="0.35">
      <c r="H2328" s="35"/>
    </row>
    <row r="2329" spans="8:8" x14ac:dyDescent="0.35">
      <c r="H2329" s="35"/>
    </row>
    <row r="2330" spans="8:8" x14ac:dyDescent="0.35">
      <c r="H2330" s="35"/>
    </row>
    <row r="2331" spans="8:8" x14ac:dyDescent="0.35">
      <c r="H2331" s="35"/>
    </row>
    <row r="2332" spans="8:8" x14ac:dyDescent="0.35">
      <c r="H2332" s="35"/>
    </row>
    <row r="2333" spans="8:8" x14ac:dyDescent="0.35">
      <c r="H2333" s="35"/>
    </row>
    <row r="2334" spans="8:8" x14ac:dyDescent="0.35">
      <c r="H2334" s="35"/>
    </row>
    <row r="2335" spans="8:8" x14ac:dyDescent="0.35">
      <c r="H2335" s="35"/>
    </row>
    <row r="2336" spans="8:8" x14ac:dyDescent="0.35">
      <c r="H2336" s="35"/>
    </row>
    <row r="2337" spans="8:8" x14ac:dyDescent="0.35">
      <c r="H2337" s="35"/>
    </row>
    <row r="2338" spans="8:8" x14ac:dyDescent="0.35">
      <c r="H2338" s="35"/>
    </row>
    <row r="2339" spans="8:8" x14ac:dyDescent="0.35">
      <c r="H2339" s="35"/>
    </row>
    <row r="2340" spans="8:8" x14ac:dyDescent="0.35">
      <c r="H2340" s="35"/>
    </row>
    <row r="2341" spans="8:8" x14ac:dyDescent="0.35">
      <c r="H2341" s="35"/>
    </row>
    <row r="2342" spans="8:8" x14ac:dyDescent="0.35">
      <c r="H2342" s="35"/>
    </row>
    <row r="2343" spans="8:8" x14ac:dyDescent="0.35">
      <c r="H2343" s="35"/>
    </row>
    <row r="2344" spans="8:8" x14ac:dyDescent="0.35">
      <c r="H2344" s="35"/>
    </row>
    <row r="2345" spans="8:8" x14ac:dyDescent="0.35">
      <c r="H2345" s="35"/>
    </row>
    <row r="2346" spans="8:8" x14ac:dyDescent="0.35">
      <c r="H2346" s="35"/>
    </row>
    <row r="2347" spans="8:8" x14ac:dyDescent="0.35">
      <c r="H2347" s="35"/>
    </row>
    <row r="2348" spans="8:8" x14ac:dyDescent="0.35">
      <c r="H2348" s="35"/>
    </row>
    <row r="2349" spans="8:8" x14ac:dyDescent="0.35">
      <c r="H2349" s="35"/>
    </row>
    <row r="2350" spans="8:8" x14ac:dyDescent="0.35">
      <c r="H2350" s="35"/>
    </row>
    <row r="2351" spans="8:8" x14ac:dyDescent="0.35">
      <c r="H2351" s="35"/>
    </row>
    <row r="2352" spans="8:8" x14ac:dyDescent="0.35">
      <c r="H2352" s="35"/>
    </row>
    <row r="2353" spans="8:8" x14ac:dyDescent="0.35">
      <c r="H2353" s="35"/>
    </row>
    <row r="2354" spans="8:8" x14ac:dyDescent="0.35">
      <c r="H2354" s="35"/>
    </row>
    <row r="2355" spans="8:8" x14ac:dyDescent="0.35">
      <c r="H2355" s="35"/>
    </row>
    <row r="2356" spans="8:8" x14ac:dyDescent="0.35">
      <c r="H2356" s="35"/>
    </row>
    <row r="2357" spans="8:8" x14ac:dyDescent="0.35">
      <c r="H2357" s="35"/>
    </row>
    <row r="2358" spans="8:8" x14ac:dyDescent="0.35">
      <c r="H2358" s="35"/>
    </row>
    <row r="2359" spans="8:8" x14ac:dyDescent="0.35">
      <c r="H2359" s="35"/>
    </row>
    <row r="2360" spans="8:8" x14ac:dyDescent="0.35">
      <c r="H2360" s="35"/>
    </row>
    <row r="2361" spans="8:8" x14ac:dyDescent="0.35">
      <c r="H2361" s="35"/>
    </row>
    <row r="2362" spans="8:8" x14ac:dyDescent="0.35">
      <c r="H2362" s="35"/>
    </row>
    <row r="2363" spans="8:8" x14ac:dyDescent="0.35">
      <c r="H2363" s="35"/>
    </row>
    <row r="2364" spans="8:8" x14ac:dyDescent="0.35">
      <c r="H2364" s="35"/>
    </row>
    <row r="2365" spans="8:8" x14ac:dyDescent="0.35">
      <c r="H2365" s="35"/>
    </row>
    <row r="2366" spans="8:8" x14ac:dyDescent="0.35">
      <c r="H2366" s="35"/>
    </row>
    <row r="2367" spans="8:8" x14ac:dyDescent="0.35">
      <c r="H2367" s="35"/>
    </row>
    <row r="2368" spans="8:8" x14ac:dyDescent="0.35">
      <c r="H2368" s="35"/>
    </row>
    <row r="2369" spans="8:8" x14ac:dyDescent="0.35">
      <c r="H2369" s="35"/>
    </row>
    <row r="2370" spans="8:8" x14ac:dyDescent="0.35">
      <c r="H2370" s="35"/>
    </row>
    <row r="2371" spans="8:8" x14ac:dyDescent="0.35">
      <c r="H2371" s="35"/>
    </row>
    <row r="2372" spans="8:8" x14ac:dyDescent="0.35">
      <c r="H2372" s="35"/>
    </row>
    <row r="2373" spans="8:8" x14ac:dyDescent="0.35">
      <c r="H2373" s="35"/>
    </row>
    <row r="2374" spans="8:8" x14ac:dyDescent="0.35">
      <c r="H2374" s="35"/>
    </row>
    <row r="2375" spans="8:8" x14ac:dyDescent="0.35">
      <c r="H2375" s="35"/>
    </row>
    <row r="2376" spans="8:8" x14ac:dyDescent="0.35">
      <c r="H2376" s="35"/>
    </row>
    <row r="2377" spans="8:8" x14ac:dyDescent="0.35">
      <c r="H2377" s="35"/>
    </row>
    <row r="2378" spans="8:8" x14ac:dyDescent="0.35">
      <c r="H2378" s="35"/>
    </row>
    <row r="2379" spans="8:8" x14ac:dyDescent="0.35">
      <c r="H2379" s="35"/>
    </row>
    <row r="2380" spans="8:8" x14ac:dyDescent="0.35">
      <c r="H2380" s="35"/>
    </row>
    <row r="2381" spans="8:8" x14ac:dyDescent="0.35">
      <c r="H2381" s="35"/>
    </row>
    <row r="2382" spans="8:8" x14ac:dyDescent="0.35">
      <c r="H2382" s="35"/>
    </row>
    <row r="2383" spans="8:8" x14ac:dyDescent="0.35">
      <c r="H2383" s="35"/>
    </row>
    <row r="2384" spans="8:8" x14ac:dyDescent="0.35">
      <c r="H2384" s="35"/>
    </row>
    <row r="2385" spans="8:8" x14ac:dyDescent="0.35">
      <c r="H2385" s="35"/>
    </row>
    <row r="2386" spans="8:8" x14ac:dyDescent="0.35">
      <c r="H2386" s="35"/>
    </row>
    <row r="2387" spans="8:8" x14ac:dyDescent="0.35">
      <c r="H2387" s="35"/>
    </row>
    <row r="2388" spans="8:8" x14ac:dyDescent="0.35">
      <c r="H2388" s="35"/>
    </row>
    <row r="2389" spans="8:8" x14ac:dyDescent="0.35">
      <c r="H2389" s="35"/>
    </row>
    <row r="2390" spans="8:8" x14ac:dyDescent="0.35">
      <c r="H2390" s="35"/>
    </row>
    <row r="2391" spans="8:8" x14ac:dyDescent="0.35">
      <c r="H2391" s="35"/>
    </row>
    <row r="2392" spans="8:8" x14ac:dyDescent="0.35">
      <c r="H2392" s="35"/>
    </row>
    <row r="2393" spans="8:8" x14ac:dyDescent="0.35">
      <c r="H2393" s="35"/>
    </row>
    <row r="2394" spans="8:8" x14ac:dyDescent="0.35">
      <c r="H2394" s="35"/>
    </row>
    <row r="2395" spans="8:8" x14ac:dyDescent="0.35">
      <c r="H2395" s="35"/>
    </row>
    <row r="2396" spans="8:8" x14ac:dyDescent="0.35">
      <c r="H2396" s="35"/>
    </row>
    <row r="2397" spans="8:8" x14ac:dyDescent="0.35">
      <c r="H2397" s="35"/>
    </row>
    <row r="2398" spans="8:8" x14ac:dyDescent="0.35">
      <c r="H2398" s="35"/>
    </row>
    <row r="2399" spans="8:8" x14ac:dyDescent="0.35">
      <c r="H2399" s="35"/>
    </row>
    <row r="2400" spans="8:8" x14ac:dyDescent="0.35">
      <c r="H2400" s="35"/>
    </row>
    <row r="2401" spans="8:8" x14ac:dyDescent="0.35">
      <c r="H2401" s="35"/>
    </row>
    <row r="2402" spans="8:8" x14ac:dyDescent="0.35">
      <c r="H2402" s="35"/>
    </row>
    <row r="2403" spans="8:8" x14ac:dyDescent="0.35">
      <c r="H2403" s="35"/>
    </row>
    <row r="2404" spans="8:8" x14ac:dyDescent="0.35">
      <c r="H2404" s="35"/>
    </row>
    <row r="2405" spans="8:8" x14ac:dyDescent="0.35">
      <c r="H2405" s="35"/>
    </row>
    <row r="2406" spans="8:8" x14ac:dyDescent="0.35">
      <c r="H2406" s="35"/>
    </row>
    <row r="2407" spans="8:8" x14ac:dyDescent="0.35">
      <c r="H2407" s="35"/>
    </row>
    <row r="2408" spans="8:8" x14ac:dyDescent="0.35">
      <c r="H2408" s="35"/>
    </row>
    <row r="2409" spans="8:8" x14ac:dyDescent="0.35">
      <c r="H2409" s="35"/>
    </row>
    <row r="2410" spans="8:8" x14ac:dyDescent="0.35">
      <c r="H2410" s="35"/>
    </row>
    <row r="2411" spans="8:8" x14ac:dyDescent="0.35">
      <c r="H2411" s="35"/>
    </row>
    <row r="2412" spans="8:8" x14ac:dyDescent="0.35">
      <c r="H2412" s="35"/>
    </row>
    <row r="2413" spans="8:8" x14ac:dyDescent="0.35">
      <c r="H2413" s="35"/>
    </row>
    <row r="2414" spans="8:8" x14ac:dyDescent="0.35">
      <c r="H2414" s="35"/>
    </row>
    <row r="2415" spans="8:8" x14ac:dyDescent="0.35">
      <c r="H2415" s="35"/>
    </row>
    <row r="2416" spans="8:8" x14ac:dyDescent="0.35">
      <c r="H2416" s="35"/>
    </row>
    <row r="2417" spans="8:8" x14ac:dyDescent="0.35">
      <c r="H2417" s="35"/>
    </row>
    <row r="2418" spans="8:8" x14ac:dyDescent="0.35">
      <c r="H2418" s="35"/>
    </row>
    <row r="2419" spans="8:8" x14ac:dyDescent="0.35">
      <c r="H2419" s="35"/>
    </row>
    <row r="2420" spans="8:8" x14ac:dyDescent="0.35">
      <c r="H2420" s="35"/>
    </row>
    <row r="2421" spans="8:8" x14ac:dyDescent="0.35">
      <c r="H2421" s="35"/>
    </row>
    <row r="2422" spans="8:8" x14ac:dyDescent="0.35">
      <c r="H2422" s="35"/>
    </row>
    <row r="2423" spans="8:8" x14ac:dyDescent="0.35">
      <c r="H2423" s="35"/>
    </row>
    <row r="2424" spans="8:8" x14ac:dyDescent="0.35">
      <c r="H2424" s="35"/>
    </row>
    <row r="2425" spans="8:8" x14ac:dyDescent="0.35">
      <c r="H2425" s="35"/>
    </row>
    <row r="2426" spans="8:8" x14ac:dyDescent="0.35">
      <c r="H2426" s="35"/>
    </row>
    <row r="2427" spans="8:8" x14ac:dyDescent="0.35">
      <c r="H2427" s="35"/>
    </row>
    <row r="2428" spans="8:8" x14ac:dyDescent="0.35">
      <c r="H2428" s="35"/>
    </row>
    <row r="2429" spans="8:8" x14ac:dyDescent="0.35">
      <c r="H2429" s="35"/>
    </row>
    <row r="2430" spans="8:8" x14ac:dyDescent="0.35">
      <c r="H2430" s="35"/>
    </row>
    <row r="2431" spans="8:8" x14ac:dyDescent="0.35">
      <c r="H2431" s="35"/>
    </row>
    <row r="2432" spans="8:8" x14ac:dyDescent="0.35">
      <c r="H2432" s="35"/>
    </row>
    <row r="2433" spans="8:8" x14ac:dyDescent="0.35">
      <c r="H2433" s="35"/>
    </row>
    <row r="2434" spans="8:8" x14ac:dyDescent="0.35">
      <c r="H2434" s="35"/>
    </row>
    <row r="2435" spans="8:8" x14ac:dyDescent="0.35">
      <c r="H2435" s="35"/>
    </row>
    <row r="2436" spans="8:8" x14ac:dyDescent="0.35">
      <c r="H2436" s="35"/>
    </row>
    <row r="2437" spans="8:8" x14ac:dyDescent="0.35">
      <c r="H2437" s="35"/>
    </row>
    <row r="2438" spans="8:8" x14ac:dyDescent="0.35">
      <c r="H2438" s="35"/>
    </row>
    <row r="2439" spans="8:8" x14ac:dyDescent="0.35">
      <c r="H2439" s="35"/>
    </row>
    <row r="2440" spans="8:8" x14ac:dyDescent="0.35">
      <c r="H2440" s="35"/>
    </row>
    <row r="2441" spans="8:8" x14ac:dyDescent="0.35">
      <c r="H2441" s="35"/>
    </row>
    <row r="2442" spans="8:8" x14ac:dyDescent="0.35">
      <c r="H2442" s="35"/>
    </row>
    <row r="2443" spans="8:8" x14ac:dyDescent="0.35">
      <c r="H2443" s="35"/>
    </row>
    <row r="2444" spans="8:8" x14ac:dyDescent="0.35">
      <c r="H2444" s="35"/>
    </row>
    <row r="2445" spans="8:8" x14ac:dyDescent="0.35">
      <c r="H2445" s="35"/>
    </row>
    <row r="2446" spans="8:8" x14ac:dyDescent="0.35">
      <c r="H2446" s="35"/>
    </row>
    <row r="2447" spans="8:8" x14ac:dyDescent="0.35">
      <c r="H2447" s="35"/>
    </row>
    <row r="2448" spans="8:8" x14ac:dyDescent="0.35">
      <c r="H2448" s="35"/>
    </row>
    <row r="2449" spans="8:8" x14ac:dyDescent="0.35">
      <c r="H2449" s="35"/>
    </row>
    <row r="2450" spans="8:8" x14ac:dyDescent="0.35">
      <c r="H2450" s="35"/>
    </row>
    <row r="2451" spans="8:8" x14ac:dyDescent="0.35">
      <c r="H2451" s="35"/>
    </row>
    <row r="2452" spans="8:8" x14ac:dyDescent="0.35">
      <c r="H2452" s="35"/>
    </row>
    <row r="2453" spans="8:8" x14ac:dyDescent="0.35">
      <c r="H2453" s="35"/>
    </row>
    <row r="2454" spans="8:8" x14ac:dyDescent="0.35">
      <c r="H2454" s="35"/>
    </row>
    <row r="2455" spans="8:8" x14ac:dyDescent="0.35">
      <c r="H2455" s="35"/>
    </row>
    <row r="2456" spans="8:8" x14ac:dyDescent="0.35">
      <c r="H2456" s="35"/>
    </row>
    <row r="2457" spans="8:8" x14ac:dyDescent="0.35">
      <c r="H2457" s="35"/>
    </row>
    <row r="2458" spans="8:8" x14ac:dyDescent="0.35">
      <c r="H2458" s="35"/>
    </row>
    <row r="2459" spans="8:8" x14ac:dyDescent="0.35">
      <c r="H2459" s="35"/>
    </row>
    <row r="2460" spans="8:8" x14ac:dyDescent="0.35">
      <c r="H2460" s="35"/>
    </row>
    <row r="2461" spans="8:8" x14ac:dyDescent="0.35">
      <c r="H2461" s="35"/>
    </row>
    <row r="2462" spans="8:8" x14ac:dyDescent="0.35">
      <c r="H2462" s="35"/>
    </row>
    <row r="2463" spans="8:8" x14ac:dyDescent="0.35">
      <c r="H2463" s="35"/>
    </row>
    <row r="2464" spans="8:8" x14ac:dyDescent="0.35">
      <c r="H2464" s="35"/>
    </row>
    <row r="2465" spans="8:8" x14ac:dyDescent="0.35">
      <c r="H2465" s="35"/>
    </row>
    <row r="2466" spans="8:8" x14ac:dyDescent="0.35">
      <c r="H2466" s="35"/>
    </row>
    <row r="2467" spans="8:8" x14ac:dyDescent="0.35">
      <c r="H2467" s="35"/>
    </row>
    <row r="2468" spans="8:8" x14ac:dyDescent="0.35">
      <c r="H2468" s="35"/>
    </row>
    <row r="2469" spans="8:8" x14ac:dyDescent="0.35">
      <c r="H2469" s="35"/>
    </row>
    <row r="2470" spans="8:8" x14ac:dyDescent="0.35">
      <c r="H2470" s="35"/>
    </row>
    <row r="2471" spans="8:8" x14ac:dyDescent="0.35">
      <c r="H2471" s="35"/>
    </row>
    <row r="2472" spans="8:8" x14ac:dyDescent="0.35">
      <c r="H2472" s="35"/>
    </row>
    <row r="2473" spans="8:8" x14ac:dyDescent="0.35">
      <c r="H2473" s="35"/>
    </row>
    <row r="2474" spans="8:8" x14ac:dyDescent="0.35">
      <c r="H2474" s="35"/>
    </row>
    <row r="2475" spans="8:8" x14ac:dyDescent="0.35">
      <c r="H2475" s="35"/>
    </row>
    <row r="2476" spans="8:8" x14ac:dyDescent="0.35">
      <c r="H2476" s="35"/>
    </row>
    <row r="2477" spans="8:8" x14ac:dyDescent="0.35">
      <c r="H2477" s="35"/>
    </row>
    <row r="2478" spans="8:8" x14ac:dyDescent="0.35">
      <c r="H2478" s="35"/>
    </row>
    <row r="2479" spans="8:8" x14ac:dyDescent="0.35">
      <c r="H2479" s="35"/>
    </row>
    <row r="2480" spans="8:8" x14ac:dyDescent="0.35">
      <c r="H2480" s="35"/>
    </row>
    <row r="2481" spans="8:8" x14ac:dyDescent="0.35">
      <c r="H2481" s="35"/>
    </row>
    <row r="2482" spans="8:8" x14ac:dyDescent="0.35">
      <c r="H2482" s="35"/>
    </row>
    <row r="2483" spans="8:8" x14ac:dyDescent="0.35">
      <c r="H2483" s="35"/>
    </row>
    <row r="2484" spans="8:8" x14ac:dyDescent="0.35">
      <c r="H2484" s="35"/>
    </row>
    <row r="2485" spans="8:8" x14ac:dyDescent="0.35">
      <c r="H2485" s="35"/>
    </row>
    <row r="2486" spans="8:8" x14ac:dyDescent="0.35">
      <c r="H2486" s="35"/>
    </row>
    <row r="2487" spans="8:8" x14ac:dyDescent="0.35">
      <c r="H2487" s="35"/>
    </row>
    <row r="2488" spans="8:8" x14ac:dyDescent="0.35">
      <c r="H2488" s="35"/>
    </row>
    <row r="2489" spans="8:8" x14ac:dyDescent="0.35">
      <c r="H2489" s="35"/>
    </row>
    <row r="2490" spans="8:8" x14ac:dyDescent="0.35">
      <c r="H2490" s="35"/>
    </row>
    <row r="2491" spans="8:8" x14ac:dyDescent="0.35">
      <c r="H2491" s="35"/>
    </row>
    <row r="2492" spans="8:8" x14ac:dyDescent="0.35">
      <c r="H2492" s="35"/>
    </row>
    <row r="2493" spans="8:8" x14ac:dyDescent="0.35">
      <c r="H2493" s="35"/>
    </row>
    <row r="2494" spans="8:8" x14ac:dyDescent="0.35">
      <c r="H2494" s="35"/>
    </row>
    <row r="2495" spans="8:8" x14ac:dyDescent="0.35">
      <c r="H2495" s="35"/>
    </row>
    <row r="2496" spans="8:8" x14ac:dyDescent="0.35">
      <c r="H2496" s="35"/>
    </row>
    <row r="2497" spans="8:8" x14ac:dyDescent="0.35">
      <c r="H2497" s="35"/>
    </row>
    <row r="2498" spans="8:8" x14ac:dyDescent="0.35">
      <c r="H2498" s="35"/>
    </row>
    <row r="2499" spans="8:8" x14ac:dyDescent="0.35">
      <c r="H2499" s="35"/>
    </row>
    <row r="2500" spans="8:8" x14ac:dyDescent="0.35">
      <c r="H2500" s="35"/>
    </row>
    <row r="2501" spans="8:8" x14ac:dyDescent="0.35">
      <c r="H2501" s="35"/>
    </row>
    <row r="2502" spans="8:8" x14ac:dyDescent="0.35">
      <c r="H2502" s="35"/>
    </row>
    <row r="2503" spans="8:8" x14ac:dyDescent="0.35">
      <c r="H2503" s="35"/>
    </row>
    <row r="2504" spans="8:8" x14ac:dyDescent="0.35">
      <c r="H2504" s="35"/>
    </row>
    <row r="2505" spans="8:8" x14ac:dyDescent="0.35">
      <c r="H2505" s="35"/>
    </row>
    <row r="2506" spans="8:8" x14ac:dyDescent="0.35">
      <c r="H2506" s="35"/>
    </row>
    <row r="2507" spans="8:8" x14ac:dyDescent="0.35">
      <c r="H2507" s="35"/>
    </row>
    <row r="2508" spans="8:8" x14ac:dyDescent="0.35">
      <c r="H2508" s="35"/>
    </row>
    <row r="2509" spans="8:8" x14ac:dyDescent="0.35">
      <c r="H2509" s="35"/>
    </row>
    <row r="2510" spans="8:8" x14ac:dyDescent="0.35">
      <c r="H2510" s="35"/>
    </row>
    <row r="2511" spans="8:8" x14ac:dyDescent="0.35">
      <c r="H2511" s="35"/>
    </row>
    <row r="2512" spans="8:8" x14ac:dyDescent="0.35">
      <c r="H2512" s="35"/>
    </row>
    <row r="2513" spans="8:8" x14ac:dyDescent="0.35">
      <c r="H2513" s="35"/>
    </row>
    <row r="2514" spans="8:8" x14ac:dyDescent="0.35">
      <c r="H2514" s="35"/>
    </row>
    <row r="2515" spans="8:8" x14ac:dyDescent="0.35">
      <c r="H2515" s="35"/>
    </row>
    <row r="2516" spans="8:8" x14ac:dyDescent="0.35">
      <c r="H2516" s="35"/>
    </row>
    <row r="2517" spans="8:8" x14ac:dyDescent="0.35">
      <c r="H2517" s="35"/>
    </row>
    <row r="2518" spans="8:8" x14ac:dyDescent="0.35">
      <c r="H2518" s="35"/>
    </row>
    <row r="2519" spans="8:8" x14ac:dyDescent="0.35">
      <c r="H2519" s="35"/>
    </row>
    <row r="2520" spans="8:8" x14ac:dyDescent="0.35">
      <c r="H2520" s="35"/>
    </row>
    <row r="2521" spans="8:8" x14ac:dyDescent="0.35">
      <c r="H2521" s="35"/>
    </row>
    <row r="2522" spans="8:8" x14ac:dyDescent="0.35">
      <c r="H2522" s="35"/>
    </row>
    <row r="2523" spans="8:8" x14ac:dyDescent="0.35">
      <c r="H2523" s="35"/>
    </row>
    <row r="2524" spans="8:8" x14ac:dyDescent="0.35">
      <c r="H2524" s="35"/>
    </row>
    <row r="2525" spans="8:8" x14ac:dyDescent="0.35">
      <c r="H2525" s="35"/>
    </row>
    <row r="2526" spans="8:8" x14ac:dyDescent="0.35">
      <c r="H2526" s="35"/>
    </row>
    <row r="2527" spans="8:8" x14ac:dyDescent="0.35">
      <c r="H2527" s="35"/>
    </row>
    <row r="2528" spans="8:8" x14ac:dyDescent="0.35">
      <c r="H2528" s="35"/>
    </row>
    <row r="2529" spans="8:8" x14ac:dyDescent="0.35">
      <c r="H2529" s="35"/>
    </row>
    <row r="2530" spans="8:8" x14ac:dyDescent="0.35">
      <c r="H2530" s="35"/>
    </row>
    <row r="2531" spans="8:8" x14ac:dyDescent="0.35">
      <c r="H2531" s="35"/>
    </row>
    <row r="2532" spans="8:8" x14ac:dyDescent="0.35">
      <c r="H2532" s="35"/>
    </row>
    <row r="2533" spans="8:8" x14ac:dyDescent="0.35">
      <c r="H2533" s="35"/>
    </row>
    <row r="2534" spans="8:8" x14ac:dyDescent="0.35">
      <c r="H2534" s="35"/>
    </row>
    <row r="2535" spans="8:8" x14ac:dyDescent="0.35">
      <c r="H2535" s="35"/>
    </row>
    <row r="2536" spans="8:8" x14ac:dyDescent="0.35">
      <c r="H2536" s="35"/>
    </row>
    <row r="2537" spans="8:8" x14ac:dyDescent="0.35">
      <c r="H2537" s="35"/>
    </row>
    <row r="2538" spans="8:8" x14ac:dyDescent="0.35">
      <c r="H2538" s="35"/>
    </row>
    <row r="2539" spans="8:8" x14ac:dyDescent="0.35">
      <c r="H2539" s="35"/>
    </row>
    <row r="2540" spans="8:8" x14ac:dyDescent="0.35">
      <c r="H2540" s="35"/>
    </row>
    <row r="2541" spans="8:8" x14ac:dyDescent="0.35">
      <c r="H2541" s="35"/>
    </row>
    <row r="2542" spans="8:8" x14ac:dyDescent="0.35">
      <c r="H2542" s="35"/>
    </row>
    <row r="2543" spans="8:8" x14ac:dyDescent="0.35">
      <c r="H2543" s="35"/>
    </row>
    <row r="2544" spans="8:8" x14ac:dyDescent="0.35">
      <c r="H2544" s="35"/>
    </row>
    <row r="2545" spans="8:8" x14ac:dyDescent="0.35">
      <c r="H2545" s="35"/>
    </row>
    <row r="2546" spans="8:8" x14ac:dyDescent="0.35">
      <c r="H2546" s="35"/>
    </row>
    <row r="2547" spans="8:8" x14ac:dyDescent="0.35">
      <c r="H2547" s="35"/>
    </row>
    <row r="2548" spans="8:8" x14ac:dyDescent="0.35">
      <c r="H2548" s="35"/>
    </row>
    <row r="2549" spans="8:8" x14ac:dyDescent="0.35">
      <c r="H2549" s="35"/>
    </row>
    <row r="2550" spans="8:8" x14ac:dyDescent="0.35">
      <c r="H2550" s="35"/>
    </row>
    <row r="2551" spans="8:8" x14ac:dyDescent="0.35">
      <c r="H2551" s="35"/>
    </row>
    <row r="2552" spans="8:8" x14ac:dyDescent="0.35">
      <c r="H2552" s="35"/>
    </row>
    <row r="2553" spans="8:8" x14ac:dyDescent="0.35">
      <c r="H2553" s="35"/>
    </row>
    <row r="2554" spans="8:8" x14ac:dyDescent="0.35">
      <c r="H2554" s="35"/>
    </row>
    <row r="2555" spans="8:8" x14ac:dyDescent="0.35">
      <c r="H2555" s="35"/>
    </row>
    <row r="2556" spans="8:8" x14ac:dyDescent="0.35">
      <c r="H2556" s="35"/>
    </row>
    <row r="2557" spans="8:8" x14ac:dyDescent="0.35">
      <c r="H2557" s="35"/>
    </row>
    <row r="2558" spans="8:8" x14ac:dyDescent="0.35">
      <c r="H2558" s="35"/>
    </row>
    <row r="2559" spans="8:8" x14ac:dyDescent="0.35">
      <c r="H2559" s="35"/>
    </row>
    <row r="2560" spans="8:8" x14ac:dyDescent="0.35">
      <c r="H2560" s="35"/>
    </row>
    <row r="2561" spans="8:8" x14ac:dyDescent="0.35">
      <c r="H2561" s="35"/>
    </row>
    <row r="2562" spans="8:8" x14ac:dyDescent="0.35">
      <c r="H2562" s="35"/>
    </row>
    <row r="2563" spans="8:8" x14ac:dyDescent="0.35">
      <c r="H2563" s="35"/>
    </row>
    <row r="2564" spans="8:8" x14ac:dyDescent="0.35">
      <c r="H2564" s="35"/>
    </row>
    <row r="2565" spans="8:8" x14ac:dyDescent="0.35">
      <c r="H2565" s="35"/>
    </row>
    <row r="2566" spans="8:8" x14ac:dyDescent="0.35">
      <c r="H2566" s="35"/>
    </row>
    <row r="2567" spans="8:8" x14ac:dyDescent="0.35">
      <c r="H2567" s="35"/>
    </row>
    <row r="2568" spans="8:8" x14ac:dyDescent="0.35">
      <c r="H2568" s="35"/>
    </row>
    <row r="2569" spans="8:8" x14ac:dyDescent="0.35">
      <c r="H2569" s="35"/>
    </row>
    <row r="2570" spans="8:8" x14ac:dyDescent="0.35">
      <c r="H2570" s="35"/>
    </row>
    <row r="2571" spans="8:8" x14ac:dyDescent="0.35">
      <c r="H2571" s="35"/>
    </row>
    <row r="2572" spans="8:8" x14ac:dyDescent="0.35">
      <c r="H2572" s="35"/>
    </row>
    <row r="2573" spans="8:8" x14ac:dyDescent="0.35">
      <c r="H2573" s="35"/>
    </row>
    <row r="2574" spans="8:8" x14ac:dyDescent="0.35">
      <c r="H2574" s="35"/>
    </row>
    <row r="2575" spans="8:8" x14ac:dyDescent="0.35">
      <c r="H2575" s="35"/>
    </row>
    <row r="2576" spans="8:8" x14ac:dyDescent="0.35">
      <c r="H2576" s="35"/>
    </row>
    <row r="2577" spans="8:8" x14ac:dyDescent="0.35">
      <c r="H2577" s="35"/>
    </row>
    <row r="2578" spans="8:8" x14ac:dyDescent="0.35">
      <c r="H2578" s="35"/>
    </row>
    <row r="2579" spans="8:8" x14ac:dyDescent="0.35">
      <c r="H2579" s="35"/>
    </row>
    <row r="2580" spans="8:8" x14ac:dyDescent="0.35">
      <c r="H2580" s="35"/>
    </row>
    <row r="2581" spans="8:8" x14ac:dyDescent="0.35">
      <c r="H2581" s="35"/>
    </row>
    <row r="2582" spans="8:8" x14ac:dyDescent="0.35">
      <c r="H2582" s="35"/>
    </row>
    <row r="2583" spans="8:8" x14ac:dyDescent="0.35">
      <c r="H2583" s="35"/>
    </row>
    <row r="2584" spans="8:8" x14ac:dyDescent="0.35">
      <c r="H2584" s="35"/>
    </row>
    <row r="2585" spans="8:8" x14ac:dyDescent="0.35">
      <c r="H2585" s="35"/>
    </row>
    <row r="2586" spans="8:8" x14ac:dyDescent="0.35">
      <c r="H2586" s="35"/>
    </row>
    <row r="2587" spans="8:8" x14ac:dyDescent="0.35">
      <c r="H2587" s="35"/>
    </row>
    <row r="2588" spans="8:8" x14ac:dyDescent="0.35">
      <c r="H2588" s="35"/>
    </row>
    <row r="2589" spans="8:8" x14ac:dyDescent="0.35">
      <c r="H2589" s="35"/>
    </row>
    <row r="2590" spans="8:8" x14ac:dyDescent="0.35">
      <c r="H2590" s="35"/>
    </row>
    <row r="2591" spans="8:8" x14ac:dyDescent="0.35">
      <c r="H2591" s="35"/>
    </row>
    <row r="2592" spans="8:8" x14ac:dyDescent="0.35">
      <c r="H2592" s="35"/>
    </row>
    <row r="2593" spans="8:8" x14ac:dyDescent="0.35">
      <c r="H2593" s="35"/>
    </row>
    <row r="2594" spans="8:8" x14ac:dyDescent="0.35">
      <c r="H2594" s="35"/>
    </row>
    <row r="2595" spans="8:8" x14ac:dyDescent="0.35">
      <c r="H2595" s="35"/>
    </row>
    <row r="2596" spans="8:8" x14ac:dyDescent="0.35">
      <c r="H2596" s="35"/>
    </row>
    <row r="2597" spans="8:8" x14ac:dyDescent="0.35">
      <c r="H2597" s="35"/>
    </row>
    <row r="2598" spans="8:8" x14ac:dyDescent="0.35">
      <c r="H2598" s="35"/>
    </row>
    <row r="2599" spans="8:8" x14ac:dyDescent="0.35">
      <c r="H2599" s="35"/>
    </row>
    <row r="2600" spans="8:8" x14ac:dyDescent="0.35">
      <c r="H2600" s="35"/>
    </row>
    <row r="2601" spans="8:8" x14ac:dyDescent="0.35">
      <c r="H2601" s="35"/>
    </row>
    <row r="2602" spans="8:8" x14ac:dyDescent="0.35">
      <c r="H2602" s="35"/>
    </row>
    <row r="2603" spans="8:8" x14ac:dyDescent="0.35">
      <c r="H2603" s="35"/>
    </row>
    <row r="2604" spans="8:8" x14ac:dyDescent="0.35">
      <c r="H2604" s="35"/>
    </row>
    <row r="2605" spans="8:8" x14ac:dyDescent="0.35">
      <c r="H2605" s="35"/>
    </row>
    <row r="2606" spans="8:8" x14ac:dyDescent="0.35">
      <c r="H2606" s="35"/>
    </row>
    <row r="2607" spans="8:8" x14ac:dyDescent="0.35">
      <c r="H2607" s="35"/>
    </row>
    <row r="2608" spans="8:8" x14ac:dyDescent="0.35">
      <c r="H2608" s="35"/>
    </row>
    <row r="2609" spans="8:8" x14ac:dyDescent="0.35">
      <c r="H2609" s="35"/>
    </row>
    <row r="2610" spans="8:8" x14ac:dyDescent="0.35">
      <c r="H2610" s="35"/>
    </row>
    <row r="2611" spans="8:8" x14ac:dyDescent="0.35">
      <c r="H2611" s="35"/>
    </row>
    <row r="2612" spans="8:8" x14ac:dyDescent="0.35">
      <c r="H2612" s="35"/>
    </row>
    <row r="2613" spans="8:8" x14ac:dyDescent="0.35">
      <c r="H2613" s="35"/>
    </row>
    <row r="2614" spans="8:8" x14ac:dyDescent="0.35">
      <c r="H2614" s="35"/>
    </row>
    <row r="2615" spans="8:8" x14ac:dyDescent="0.35">
      <c r="H2615" s="35"/>
    </row>
    <row r="2616" spans="8:8" x14ac:dyDescent="0.35">
      <c r="H2616" s="35"/>
    </row>
    <row r="2617" spans="8:8" x14ac:dyDescent="0.35">
      <c r="H2617" s="35"/>
    </row>
    <row r="2618" spans="8:8" x14ac:dyDescent="0.35">
      <c r="H2618" s="35"/>
    </row>
    <row r="2619" spans="8:8" x14ac:dyDescent="0.35">
      <c r="H2619" s="35"/>
    </row>
    <row r="2620" spans="8:8" x14ac:dyDescent="0.35">
      <c r="H2620" s="35"/>
    </row>
    <row r="2621" spans="8:8" x14ac:dyDescent="0.35">
      <c r="H2621" s="35"/>
    </row>
    <row r="2622" spans="8:8" x14ac:dyDescent="0.35">
      <c r="H2622" s="35"/>
    </row>
    <row r="2623" spans="8:8" x14ac:dyDescent="0.35">
      <c r="H2623" s="35"/>
    </row>
    <row r="2624" spans="8:8" x14ac:dyDescent="0.35">
      <c r="H2624" s="35"/>
    </row>
    <row r="2625" spans="8:8" x14ac:dyDescent="0.35">
      <c r="H2625" s="35"/>
    </row>
    <row r="2626" spans="8:8" x14ac:dyDescent="0.35">
      <c r="H2626" s="35"/>
    </row>
    <row r="2627" spans="8:8" x14ac:dyDescent="0.35">
      <c r="H2627" s="35"/>
    </row>
    <row r="2628" spans="8:8" x14ac:dyDescent="0.35">
      <c r="H2628" s="35"/>
    </row>
    <row r="2629" spans="8:8" x14ac:dyDescent="0.35">
      <c r="H2629" s="35"/>
    </row>
    <row r="2630" spans="8:8" x14ac:dyDescent="0.35">
      <c r="H2630" s="35"/>
    </row>
    <row r="2631" spans="8:8" x14ac:dyDescent="0.35">
      <c r="H2631" s="35"/>
    </row>
    <row r="2632" spans="8:8" x14ac:dyDescent="0.35">
      <c r="H2632" s="35"/>
    </row>
    <row r="2633" spans="8:8" x14ac:dyDescent="0.35">
      <c r="H2633" s="35"/>
    </row>
    <row r="2634" spans="8:8" x14ac:dyDescent="0.35">
      <c r="H2634" s="35"/>
    </row>
    <row r="2635" spans="8:8" x14ac:dyDescent="0.35">
      <c r="H2635" s="35"/>
    </row>
    <row r="2636" spans="8:8" x14ac:dyDescent="0.35">
      <c r="H2636" s="35"/>
    </row>
    <row r="2637" spans="8:8" x14ac:dyDescent="0.35">
      <c r="H2637" s="35"/>
    </row>
    <row r="2638" spans="8:8" x14ac:dyDescent="0.35">
      <c r="H2638" s="35"/>
    </row>
    <row r="2639" spans="8:8" x14ac:dyDescent="0.35">
      <c r="H2639" s="35"/>
    </row>
    <row r="2640" spans="8:8" x14ac:dyDescent="0.35">
      <c r="H2640" s="35"/>
    </row>
    <row r="2641" spans="8:8" x14ac:dyDescent="0.35">
      <c r="H2641" s="35"/>
    </row>
    <row r="2642" spans="8:8" x14ac:dyDescent="0.35">
      <c r="H2642" s="35"/>
    </row>
    <row r="2643" spans="8:8" x14ac:dyDescent="0.35">
      <c r="H2643" s="35"/>
    </row>
    <row r="2644" spans="8:8" x14ac:dyDescent="0.35">
      <c r="H2644" s="35"/>
    </row>
    <row r="2645" spans="8:8" x14ac:dyDescent="0.35">
      <c r="H2645" s="35"/>
    </row>
    <row r="2646" spans="8:8" x14ac:dyDescent="0.35">
      <c r="H2646" s="35"/>
    </row>
    <row r="2647" spans="8:8" x14ac:dyDescent="0.35">
      <c r="H2647" s="35"/>
    </row>
    <row r="2648" spans="8:8" x14ac:dyDescent="0.35">
      <c r="H2648" s="35"/>
    </row>
    <row r="2649" spans="8:8" x14ac:dyDescent="0.35">
      <c r="H2649" s="35"/>
    </row>
    <row r="2650" spans="8:8" x14ac:dyDescent="0.35">
      <c r="H2650" s="35"/>
    </row>
    <row r="2651" spans="8:8" x14ac:dyDescent="0.35">
      <c r="H2651" s="35"/>
    </row>
    <row r="2652" spans="8:8" x14ac:dyDescent="0.35">
      <c r="H2652" s="35"/>
    </row>
    <row r="2653" spans="8:8" x14ac:dyDescent="0.35">
      <c r="H2653" s="35"/>
    </row>
    <row r="2654" spans="8:8" x14ac:dyDescent="0.35">
      <c r="H2654" s="35"/>
    </row>
    <row r="2655" spans="8:8" x14ac:dyDescent="0.35">
      <c r="H2655" s="35"/>
    </row>
    <row r="2656" spans="8:8" x14ac:dyDescent="0.35">
      <c r="H2656" s="35"/>
    </row>
    <row r="2657" spans="8:8" x14ac:dyDescent="0.35">
      <c r="H2657" s="35"/>
    </row>
    <row r="2658" spans="8:8" x14ac:dyDescent="0.35">
      <c r="H2658" s="35"/>
    </row>
    <row r="2659" spans="8:8" x14ac:dyDescent="0.35">
      <c r="H2659" s="35"/>
    </row>
    <row r="2660" spans="8:8" x14ac:dyDescent="0.35">
      <c r="H2660" s="35"/>
    </row>
    <row r="2661" spans="8:8" x14ac:dyDescent="0.35">
      <c r="H2661" s="35"/>
    </row>
    <row r="2662" spans="8:8" x14ac:dyDescent="0.35">
      <c r="H2662" s="35"/>
    </row>
    <row r="2663" spans="8:8" x14ac:dyDescent="0.35">
      <c r="H2663" s="35"/>
    </row>
    <row r="2664" spans="8:8" x14ac:dyDescent="0.35">
      <c r="H2664" s="35"/>
    </row>
    <row r="2665" spans="8:8" x14ac:dyDescent="0.35">
      <c r="H2665" s="35"/>
    </row>
    <row r="2666" spans="8:8" x14ac:dyDescent="0.35">
      <c r="H2666" s="35"/>
    </row>
    <row r="2667" spans="8:8" x14ac:dyDescent="0.35">
      <c r="H2667" s="35"/>
    </row>
    <row r="2668" spans="8:8" x14ac:dyDescent="0.35">
      <c r="H2668" s="35"/>
    </row>
    <row r="2669" spans="8:8" x14ac:dyDescent="0.35">
      <c r="H2669" s="35"/>
    </row>
    <row r="2670" spans="8:8" x14ac:dyDescent="0.35">
      <c r="H2670" s="35"/>
    </row>
    <row r="2671" spans="8:8" x14ac:dyDescent="0.35">
      <c r="H2671" s="35"/>
    </row>
    <row r="2672" spans="8:8" x14ac:dyDescent="0.35">
      <c r="H2672" s="35"/>
    </row>
    <row r="2673" spans="8:8" x14ac:dyDescent="0.35">
      <c r="H2673" s="35"/>
    </row>
    <row r="2674" spans="8:8" x14ac:dyDescent="0.35">
      <c r="H2674" s="35"/>
    </row>
    <row r="2675" spans="8:8" x14ac:dyDescent="0.35">
      <c r="H2675" s="35"/>
    </row>
    <row r="2676" spans="8:8" x14ac:dyDescent="0.35">
      <c r="H2676" s="35"/>
    </row>
    <row r="2677" spans="8:8" x14ac:dyDescent="0.35">
      <c r="H2677" s="35"/>
    </row>
    <row r="2678" spans="8:8" x14ac:dyDescent="0.35">
      <c r="H2678" s="35"/>
    </row>
    <row r="2679" spans="8:8" x14ac:dyDescent="0.35">
      <c r="H2679" s="35"/>
    </row>
    <row r="2680" spans="8:8" x14ac:dyDescent="0.35">
      <c r="H2680" s="35"/>
    </row>
    <row r="2681" spans="8:8" x14ac:dyDescent="0.35">
      <c r="H2681" s="35"/>
    </row>
    <row r="2682" spans="8:8" x14ac:dyDescent="0.35">
      <c r="H2682" s="35"/>
    </row>
    <row r="2683" spans="8:8" x14ac:dyDescent="0.35">
      <c r="H2683" s="35"/>
    </row>
    <row r="2684" spans="8:8" x14ac:dyDescent="0.35">
      <c r="H2684" s="35"/>
    </row>
    <row r="2685" spans="8:8" x14ac:dyDescent="0.35">
      <c r="H2685" s="35"/>
    </row>
    <row r="2686" spans="8:8" x14ac:dyDescent="0.35">
      <c r="H2686" s="35"/>
    </row>
    <row r="2687" spans="8:8" x14ac:dyDescent="0.35">
      <c r="H2687" s="35"/>
    </row>
    <row r="2688" spans="8:8" x14ac:dyDescent="0.35">
      <c r="H2688" s="35"/>
    </row>
    <row r="2689" spans="8:8" x14ac:dyDescent="0.35">
      <c r="H2689" s="35"/>
    </row>
    <row r="2690" spans="8:8" x14ac:dyDescent="0.35">
      <c r="H2690" s="35"/>
    </row>
    <row r="2691" spans="8:8" x14ac:dyDescent="0.35">
      <c r="H2691" s="35"/>
    </row>
    <row r="2692" spans="8:8" x14ac:dyDescent="0.35">
      <c r="H2692" s="35"/>
    </row>
    <row r="2693" spans="8:8" x14ac:dyDescent="0.35">
      <c r="H2693" s="35"/>
    </row>
    <row r="2694" spans="8:8" x14ac:dyDescent="0.35">
      <c r="H2694" s="35"/>
    </row>
    <row r="2695" spans="8:8" x14ac:dyDescent="0.35">
      <c r="H2695" s="35"/>
    </row>
    <row r="2696" spans="8:8" x14ac:dyDescent="0.35">
      <c r="H2696" s="35"/>
    </row>
    <row r="2697" spans="8:8" x14ac:dyDescent="0.35">
      <c r="H2697" s="35"/>
    </row>
    <row r="2698" spans="8:8" x14ac:dyDescent="0.35">
      <c r="H2698" s="35"/>
    </row>
    <row r="2699" spans="8:8" x14ac:dyDescent="0.35">
      <c r="H2699" s="35"/>
    </row>
    <row r="2700" spans="8:8" x14ac:dyDescent="0.35">
      <c r="H2700" s="35"/>
    </row>
    <row r="2701" spans="8:8" x14ac:dyDescent="0.35">
      <c r="H2701" s="35"/>
    </row>
    <row r="2702" spans="8:8" x14ac:dyDescent="0.35">
      <c r="H2702" s="35"/>
    </row>
    <row r="2703" spans="8:8" x14ac:dyDescent="0.35">
      <c r="H2703" s="35"/>
    </row>
    <row r="2704" spans="8:8" x14ac:dyDescent="0.35">
      <c r="H2704" s="35"/>
    </row>
    <row r="2705" spans="8:8" x14ac:dyDescent="0.35">
      <c r="H2705" s="35"/>
    </row>
    <row r="2706" spans="8:8" x14ac:dyDescent="0.35">
      <c r="H2706" s="35"/>
    </row>
    <row r="2707" spans="8:8" x14ac:dyDescent="0.35">
      <c r="H2707" s="35"/>
    </row>
    <row r="2708" spans="8:8" x14ac:dyDescent="0.35">
      <c r="H2708" s="35"/>
    </row>
    <row r="2709" spans="8:8" x14ac:dyDescent="0.35">
      <c r="H2709" s="35"/>
    </row>
    <row r="2710" spans="8:8" x14ac:dyDescent="0.35">
      <c r="H2710" s="35"/>
    </row>
    <row r="2711" spans="8:8" x14ac:dyDescent="0.35">
      <c r="H2711" s="35"/>
    </row>
    <row r="2712" spans="8:8" x14ac:dyDescent="0.35">
      <c r="H2712" s="35"/>
    </row>
    <row r="2713" spans="8:8" x14ac:dyDescent="0.35">
      <c r="H2713" s="35"/>
    </row>
    <row r="2714" spans="8:8" x14ac:dyDescent="0.35">
      <c r="H2714" s="35"/>
    </row>
    <row r="2715" spans="8:8" x14ac:dyDescent="0.35">
      <c r="H2715" s="35"/>
    </row>
    <row r="2716" spans="8:8" x14ac:dyDescent="0.35">
      <c r="H2716" s="35"/>
    </row>
    <row r="2717" spans="8:8" x14ac:dyDescent="0.35">
      <c r="H2717" s="35"/>
    </row>
    <row r="2718" spans="8:8" x14ac:dyDescent="0.35">
      <c r="H2718" s="35"/>
    </row>
    <row r="2719" spans="8:8" x14ac:dyDescent="0.35">
      <c r="H2719" s="35"/>
    </row>
    <row r="2720" spans="8:8" x14ac:dyDescent="0.35">
      <c r="H2720" s="35"/>
    </row>
    <row r="2721" spans="8:8" x14ac:dyDescent="0.35">
      <c r="H2721" s="35"/>
    </row>
    <row r="2722" spans="8:8" x14ac:dyDescent="0.35">
      <c r="H2722" s="35"/>
    </row>
    <row r="2723" spans="8:8" x14ac:dyDescent="0.35">
      <c r="H2723" s="35"/>
    </row>
    <row r="2724" spans="8:8" x14ac:dyDescent="0.35">
      <c r="H2724" s="35"/>
    </row>
    <row r="2725" spans="8:8" x14ac:dyDescent="0.35">
      <c r="H2725" s="35"/>
    </row>
    <row r="2726" spans="8:8" x14ac:dyDescent="0.35">
      <c r="H2726" s="35"/>
    </row>
    <row r="2727" spans="8:8" x14ac:dyDescent="0.35">
      <c r="H2727" s="35"/>
    </row>
    <row r="2728" spans="8:8" x14ac:dyDescent="0.35">
      <c r="H2728" s="35"/>
    </row>
    <row r="2729" spans="8:8" x14ac:dyDescent="0.35">
      <c r="H2729" s="35"/>
    </row>
    <row r="2730" spans="8:8" x14ac:dyDescent="0.35">
      <c r="H2730" s="35"/>
    </row>
    <row r="2731" spans="8:8" x14ac:dyDescent="0.35">
      <c r="H2731" s="35"/>
    </row>
    <row r="2732" spans="8:8" x14ac:dyDescent="0.35">
      <c r="H2732" s="35"/>
    </row>
    <row r="2733" spans="8:8" x14ac:dyDescent="0.35">
      <c r="H2733" s="35"/>
    </row>
    <row r="2734" spans="8:8" x14ac:dyDescent="0.35">
      <c r="H2734" s="35"/>
    </row>
    <row r="2735" spans="8:8" x14ac:dyDescent="0.35">
      <c r="H2735" s="35"/>
    </row>
    <row r="2736" spans="8:8" x14ac:dyDescent="0.35">
      <c r="H2736" s="35"/>
    </row>
    <row r="2737" spans="8:8" x14ac:dyDescent="0.35">
      <c r="H2737" s="35"/>
    </row>
    <row r="2738" spans="8:8" x14ac:dyDescent="0.35">
      <c r="H2738" s="35"/>
    </row>
    <row r="2739" spans="8:8" x14ac:dyDescent="0.35">
      <c r="H2739" s="35"/>
    </row>
    <row r="2740" spans="8:8" x14ac:dyDescent="0.35">
      <c r="H2740" s="35"/>
    </row>
    <row r="2741" spans="8:8" x14ac:dyDescent="0.35">
      <c r="H2741" s="35"/>
    </row>
    <row r="2742" spans="8:8" x14ac:dyDescent="0.35">
      <c r="H2742" s="35"/>
    </row>
    <row r="2743" spans="8:8" x14ac:dyDescent="0.35">
      <c r="H2743" s="35"/>
    </row>
    <row r="2744" spans="8:8" x14ac:dyDescent="0.35">
      <c r="H2744" s="35"/>
    </row>
    <row r="2745" spans="8:8" x14ac:dyDescent="0.35">
      <c r="H2745" s="35"/>
    </row>
    <row r="2746" spans="8:8" x14ac:dyDescent="0.35">
      <c r="H2746" s="35"/>
    </row>
    <row r="2747" spans="8:8" x14ac:dyDescent="0.35">
      <c r="H2747" s="35"/>
    </row>
    <row r="2748" spans="8:8" x14ac:dyDescent="0.35">
      <c r="H2748" s="35"/>
    </row>
    <row r="2749" spans="8:8" x14ac:dyDescent="0.35">
      <c r="H2749" s="35"/>
    </row>
    <row r="2750" spans="8:8" x14ac:dyDescent="0.35">
      <c r="H2750" s="35"/>
    </row>
    <row r="2751" spans="8:8" x14ac:dyDescent="0.35">
      <c r="H2751" s="35"/>
    </row>
    <row r="2752" spans="8:8" x14ac:dyDescent="0.35">
      <c r="H2752" s="35"/>
    </row>
    <row r="2753" spans="8:8" x14ac:dyDescent="0.35">
      <c r="H2753" s="35"/>
    </row>
    <row r="2754" spans="8:8" x14ac:dyDescent="0.35">
      <c r="H2754" s="35"/>
    </row>
    <row r="2755" spans="8:8" x14ac:dyDescent="0.35">
      <c r="H2755" s="35"/>
    </row>
    <row r="2756" spans="8:8" x14ac:dyDescent="0.35">
      <c r="H2756" s="35"/>
    </row>
    <row r="2757" spans="8:8" x14ac:dyDescent="0.35">
      <c r="H2757" s="35"/>
    </row>
    <row r="2758" spans="8:8" x14ac:dyDescent="0.35">
      <c r="H2758" s="35"/>
    </row>
    <row r="2759" spans="8:8" x14ac:dyDescent="0.35">
      <c r="H2759" s="35"/>
    </row>
    <row r="2760" spans="8:8" x14ac:dyDescent="0.35">
      <c r="H2760" s="35"/>
    </row>
    <row r="2761" spans="8:8" x14ac:dyDescent="0.35">
      <c r="H2761" s="35"/>
    </row>
    <row r="2762" spans="8:8" x14ac:dyDescent="0.35">
      <c r="H2762" s="35"/>
    </row>
    <row r="2763" spans="8:8" x14ac:dyDescent="0.35">
      <c r="H2763" s="35"/>
    </row>
    <row r="2764" spans="8:8" x14ac:dyDescent="0.35">
      <c r="H2764" s="35"/>
    </row>
    <row r="2765" spans="8:8" x14ac:dyDescent="0.35">
      <c r="H2765" s="35"/>
    </row>
    <row r="2766" spans="8:8" x14ac:dyDescent="0.35">
      <c r="H2766" s="35"/>
    </row>
    <row r="2767" spans="8:8" x14ac:dyDescent="0.35">
      <c r="H2767" s="35"/>
    </row>
    <row r="2768" spans="8:8" x14ac:dyDescent="0.35">
      <c r="H2768" s="35"/>
    </row>
    <row r="2769" spans="8:8" x14ac:dyDescent="0.35">
      <c r="H2769" s="35"/>
    </row>
    <row r="2770" spans="8:8" x14ac:dyDescent="0.35">
      <c r="H2770" s="35"/>
    </row>
    <row r="2771" spans="8:8" x14ac:dyDescent="0.35">
      <c r="H2771" s="35"/>
    </row>
    <row r="2772" spans="8:8" x14ac:dyDescent="0.35">
      <c r="H2772" s="35"/>
    </row>
    <row r="2773" spans="8:8" x14ac:dyDescent="0.35">
      <c r="H2773" s="35"/>
    </row>
    <row r="2774" spans="8:8" x14ac:dyDescent="0.35">
      <c r="H2774" s="35"/>
    </row>
    <row r="2775" spans="8:8" x14ac:dyDescent="0.35">
      <c r="H2775" s="35"/>
    </row>
    <row r="2776" spans="8:8" x14ac:dyDescent="0.35">
      <c r="H2776" s="35"/>
    </row>
    <row r="2777" spans="8:8" x14ac:dyDescent="0.35">
      <c r="H2777" s="35"/>
    </row>
    <row r="2778" spans="8:8" x14ac:dyDescent="0.35">
      <c r="H2778" s="35"/>
    </row>
    <row r="2779" spans="8:8" x14ac:dyDescent="0.35">
      <c r="H2779" s="35"/>
    </row>
    <row r="2780" spans="8:8" x14ac:dyDescent="0.35">
      <c r="H2780" s="35"/>
    </row>
    <row r="2781" spans="8:8" x14ac:dyDescent="0.35">
      <c r="H2781" s="35"/>
    </row>
    <row r="2782" spans="8:8" x14ac:dyDescent="0.35">
      <c r="H2782" s="35"/>
    </row>
    <row r="2783" spans="8:8" x14ac:dyDescent="0.35">
      <c r="H2783" s="35"/>
    </row>
    <row r="2784" spans="8:8" x14ac:dyDescent="0.35">
      <c r="H2784" s="35"/>
    </row>
    <row r="2785" spans="8:8" x14ac:dyDescent="0.35">
      <c r="H2785" s="35"/>
    </row>
    <row r="2786" spans="8:8" x14ac:dyDescent="0.35">
      <c r="H2786" s="35"/>
    </row>
    <row r="2787" spans="8:8" x14ac:dyDescent="0.35">
      <c r="H2787" s="35"/>
    </row>
    <row r="2788" spans="8:8" x14ac:dyDescent="0.35">
      <c r="H2788" s="35"/>
    </row>
    <row r="2789" spans="8:8" x14ac:dyDescent="0.35">
      <c r="H2789" s="35"/>
    </row>
    <row r="2790" spans="8:8" x14ac:dyDescent="0.35">
      <c r="H2790" s="35"/>
    </row>
    <row r="2791" spans="8:8" x14ac:dyDescent="0.35">
      <c r="H2791" s="35"/>
    </row>
    <row r="2792" spans="8:8" x14ac:dyDescent="0.35">
      <c r="H2792" s="35"/>
    </row>
    <row r="2793" spans="8:8" x14ac:dyDescent="0.35">
      <c r="H2793" s="35"/>
    </row>
    <row r="2794" spans="8:8" x14ac:dyDescent="0.35">
      <c r="H2794" s="35"/>
    </row>
    <row r="2795" spans="8:8" x14ac:dyDescent="0.35">
      <c r="H2795" s="35"/>
    </row>
    <row r="2796" spans="8:8" x14ac:dyDescent="0.35">
      <c r="H2796" s="35"/>
    </row>
    <row r="2797" spans="8:8" x14ac:dyDescent="0.35">
      <c r="H2797" s="35"/>
    </row>
    <row r="2798" spans="8:8" x14ac:dyDescent="0.35">
      <c r="H2798" s="35"/>
    </row>
    <row r="2799" spans="8:8" x14ac:dyDescent="0.35">
      <c r="H2799" s="35"/>
    </row>
    <row r="2800" spans="8:8" x14ac:dyDescent="0.35">
      <c r="H2800" s="35"/>
    </row>
    <row r="2801" spans="8:8" x14ac:dyDescent="0.35">
      <c r="H2801" s="35"/>
    </row>
    <row r="2802" spans="8:8" x14ac:dyDescent="0.35">
      <c r="H2802" s="35"/>
    </row>
    <row r="2803" spans="8:8" x14ac:dyDescent="0.35">
      <c r="H2803" s="35"/>
    </row>
    <row r="2804" spans="8:8" x14ac:dyDescent="0.35">
      <c r="H2804" s="35"/>
    </row>
    <row r="2805" spans="8:8" x14ac:dyDescent="0.35">
      <c r="H2805" s="35"/>
    </row>
    <row r="2806" spans="8:8" x14ac:dyDescent="0.35">
      <c r="H2806" s="35"/>
    </row>
    <row r="2807" spans="8:8" x14ac:dyDescent="0.35">
      <c r="H2807" s="35"/>
    </row>
    <row r="2808" spans="8:8" x14ac:dyDescent="0.35">
      <c r="H2808" s="35"/>
    </row>
    <row r="2809" spans="8:8" x14ac:dyDescent="0.35">
      <c r="H2809" s="35"/>
    </row>
    <row r="2810" spans="8:8" x14ac:dyDescent="0.35">
      <c r="H2810" s="35"/>
    </row>
    <row r="2811" spans="8:8" x14ac:dyDescent="0.35">
      <c r="H2811" s="35"/>
    </row>
    <row r="2812" spans="8:8" x14ac:dyDescent="0.35">
      <c r="H2812" s="35"/>
    </row>
    <row r="2813" spans="8:8" x14ac:dyDescent="0.35">
      <c r="H2813" s="35"/>
    </row>
    <row r="2814" spans="8:8" x14ac:dyDescent="0.35">
      <c r="H2814" s="35"/>
    </row>
    <row r="2815" spans="8:8" x14ac:dyDescent="0.35">
      <c r="H2815" s="35"/>
    </row>
    <row r="2816" spans="8:8" x14ac:dyDescent="0.35">
      <c r="H2816" s="35"/>
    </row>
    <row r="2817" spans="8:8" x14ac:dyDescent="0.35">
      <c r="H2817" s="35"/>
    </row>
    <row r="2818" spans="8:8" x14ac:dyDescent="0.35">
      <c r="H2818" s="35"/>
    </row>
    <row r="2819" spans="8:8" x14ac:dyDescent="0.35">
      <c r="H2819" s="35"/>
    </row>
    <row r="2820" spans="8:8" x14ac:dyDescent="0.35">
      <c r="H2820" s="35"/>
    </row>
    <row r="2821" spans="8:8" x14ac:dyDescent="0.35">
      <c r="H2821" s="35"/>
    </row>
    <row r="2822" spans="8:8" x14ac:dyDescent="0.35">
      <c r="H2822" s="35"/>
    </row>
    <row r="2823" spans="8:8" x14ac:dyDescent="0.35">
      <c r="H2823" s="35"/>
    </row>
    <row r="2824" spans="8:8" x14ac:dyDescent="0.35">
      <c r="H2824" s="35"/>
    </row>
    <row r="2825" spans="8:8" x14ac:dyDescent="0.35">
      <c r="H2825" s="35"/>
    </row>
    <row r="2826" spans="8:8" x14ac:dyDescent="0.35">
      <c r="H2826" s="35"/>
    </row>
    <row r="2827" spans="8:8" x14ac:dyDescent="0.35">
      <c r="H2827" s="35"/>
    </row>
    <row r="2828" spans="8:8" x14ac:dyDescent="0.35">
      <c r="H2828" s="35"/>
    </row>
    <row r="2829" spans="8:8" x14ac:dyDescent="0.35">
      <c r="H2829" s="35"/>
    </row>
    <row r="2830" spans="8:8" x14ac:dyDescent="0.35">
      <c r="H2830" s="35"/>
    </row>
    <row r="2831" spans="8:8" x14ac:dyDescent="0.35">
      <c r="H2831" s="35"/>
    </row>
    <row r="2832" spans="8:8" x14ac:dyDescent="0.35">
      <c r="H2832" s="35"/>
    </row>
    <row r="2833" spans="8:8" x14ac:dyDescent="0.35">
      <c r="H2833" s="35"/>
    </row>
    <row r="2834" spans="8:8" x14ac:dyDescent="0.35">
      <c r="H2834" s="35"/>
    </row>
    <row r="2835" spans="8:8" x14ac:dyDescent="0.35">
      <c r="H2835" s="35"/>
    </row>
    <row r="2836" spans="8:8" x14ac:dyDescent="0.35">
      <c r="H2836" s="35"/>
    </row>
    <row r="2837" spans="8:8" x14ac:dyDescent="0.35">
      <c r="H2837" s="35"/>
    </row>
    <row r="2838" spans="8:8" x14ac:dyDescent="0.35">
      <c r="H2838" s="35"/>
    </row>
    <row r="2839" spans="8:8" x14ac:dyDescent="0.35">
      <c r="H2839" s="35"/>
    </row>
    <row r="2840" spans="8:8" x14ac:dyDescent="0.35">
      <c r="H2840" s="35"/>
    </row>
    <row r="2841" spans="8:8" x14ac:dyDescent="0.35">
      <c r="H2841" s="35"/>
    </row>
    <row r="2842" spans="8:8" x14ac:dyDescent="0.35">
      <c r="H2842" s="35"/>
    </row>
    <row r="2843" spans="8:8" x14ac:dyDescent="0.35">
      <c r="H2843" s="35"/>
    </row>
    <row r="2844" spans="8:8" x14ac:dyDescent="0.35">
      <c r="H2844" s="35"/>
    </row>
    <row r="2845" spans="8:8" x14ac:dyDescent="0.35">
      <c r="H2845" s="35"/>
    </row>
    <row r="2846" spans="8:8" x14ac:dyDescent="0.35">
      <c r="H2846" s="35"/>
    </row>
    <row r="2847" spans="8:8" x14ac:dyDescent="0.35">
      <c r="H2847" s="35"/>
    </row>
    <row r="2848" spans="8:8" x14ac:dyDescent="0.35">
      <c r="H2848" s="35"/>
    </row>
    <row r="2849" spans="8:8" x14ac:dyDescent="0.35">
      <c r="H2849" s="35"/>
    </row>
    <row r="2850" spans="8:8" x14ac:dyDescent="0.35">
      <c r="H2850" s="35"/>
    </row>
    <row r="2851" spans="8:8" x14ac:dyDescent="0.35">
      <c r="H2851" s="35"/>
    </row>
    <row r="2852" spans="8:8" x14ac:dyDescent="0.35">
      <c r="H2852" s="35"/>
    </row>
    <row r="2853" spans="8:8" x14ac:dyDescent="0.35">
      <c r="H2853" s="35"/>
    </row>
    <row r="2854" spans="8:8" x14ac:dyDescent="0.35">
      <c r="H2854" s="35"/>
    </row>
    <row r="2855" spans="8:8" x14ac:dyDescent="0.35">
      <c r="H2855" s="35"/>
    </row>
    <row r="2856" spans="8:8" x14ac:dyDescent="0.35">
      <c r="H2856" s="35"/>
    </row>
    <row r="2857" spans="8:8" x14ac:dyDescent="0.35">
      <c r="H2857" s="35"/>
    </row>
    <row r="2858" spans="8:8" x14ac:dyDescent="0.35">
      <c r="H2858" s="35"/>
    </row>
    <row r="2859" spans="8:8" x14ac:dyDescent="0.35">
      <c r="H2859" s="35"/>
    </row>
    <row r="2860" spans="8:8" x14ac:dyDescent="0.35">
      <c r="H2860" s="35"/>
    </row>
    <row r="2861" spans="8:8" x14ac:dyDescent="0.35">
      <c r="H2861" s="35"/>
    </row>
    <row r="2862" spans="8:8" x14ac:dyDescent="0.35">
      <c r="H2862" s="35"/>
    </row>
    <row r="2863" spans="8:8" x14ac:dyDescent="0.35">
      <c r="H2863" s="35"/>
    </row>
    <row r="2864" spans="8:8" x14ac:dyDescent="0.35">
      <c r="H2864" s="35"/>
    </row>
    <row r="2865" spans="8:8" x14ac:dyDescent="0.35">
      <c r="H2865" s="35"/>
    </row>
    <row r="2866" spans="8:8" x14ac:dyDescent="0.35">
      <c r="H2866" s="35"/>
    </row>
    <row r="2867" spans="8:8" x14ac:dyDescent="0.35">
      <c r="H2867" s="35"/>
    </row>
    <row r="2868" spans="8:8" x14ac:dyDescent="0.35">
      <c r="H2868" s="35"/>
    </row>
    <row r="2869" spans="8:8" x14ac:dyDescent="0.35">
      <c r="H2869" s="35"/>
    </row>
    <row r="2870" spans="8:8" x14ac:dyDescent="0.35">
      <c r="H2870" s="35"/>
    </row>
    <row r="2871" spans="8:8" x14ac:dyDescent="0.35">
      <c r="H2871" s="35"/>
    </row>
    <row r="2872" spans="8:8" x14ac:dyDescent="0.35">
      <c r="H2872" s="35"/>
    </row>
    <row r="2873" spans="8:8" x14ac:dyDescent="0.35">
      <c r="H2873" s="35"/>
    </row>
    <row r="2874" spans="8:8" x14ac:dyDescent="0.35">
      <c r="H2874" s="35"/>
    </row>
    <row r="2875" spans="8:8" x14ac:dyDescent="0.35">
      <c r="H2875" s="35"/>
    </row>
    <row r="2876" spans="8:8" x14ac:dyDescent="0.35">
      <c r="H2876" s="35"/>
    </row>
    <row r="2877" spans="8:8" x14ac:dyDescent="0.35">
      <c r="H2877" s="35"/>
    </row>
    <row r="2878" spans="8:8" x14ac:dyDescent="0.35">
      <c r="H2878" s="35"/>
    </row>
    <row r="2879" spans="8:8" x14ac:dyDescent="0.35">
      <c r="H2879" s="35"/>
    </row>
    <row r="2880" spans="8:8" x14ac:dyDescent="0.35">
      <c r="H2880" s="35"/>
    </row>
    <row r="2881" spans="8:8" x14ac:dyDescent="0.35">
      <c r="H2881" s="35"/>
    </row>
    <row r="2882" spans="8:8" x14ac:dyDescent="0.35">
      <c r="H2882" s="35"/>
    </row>
    <row r="2883" spans="8:8" x14ac:dyDescent="0.35">
      <c r="H2883" s="35"/>
    </row>
    <row r="2884" spans="8:8" x14ac:dyDescent="0.35">
      <c r="H2884" s="35"/>
    </row>
    <row r="2885" spans="8:8" x14ac:dyDescent="0.35">
      <c r="H2885" s="35"/>
    </row>
    <row r="2886" spans="8:8" x14ac:dyDescent="0.35">
      <c r="H2886" s="35"/>
    </row>
    <row r="2887" spans="8:8" x14ac:dyDescent="0.35">
      <c r="H2887" s="35"/>
    </row>
    <row r="2888" spans="8:8" x14ac:dyDescent="0.35">
      <c r="H2888" s="35"/>
    </row>
    <row r="2889" spans="8:8" x14ac:dyDescent="0.35">
      <c r="H2889" s="35"/>
    </row>
    <row r="2890" spans="8:8" x14ac:dyDescent="0.35">
      <c r="H2890" s="35"/>
    </row>
    <row r="2891" spans="8:8" x14ac:dyDescent="0.35">
      <c r="H2891" s="35"/>
    </row>
    <row r="2892" spans="8:8" x14ac:dyDescent="0.35">
      <c r="H2892" s="35"/>
    </row>
    <row r="2893" spans="8:8" x14ac:dyDescent="0.35">
      <c r="H2893" s="35"/>
    </row>
    <row r="2894" spans="8:8" x14ac:dyDescent="0.35">
      <c r="H2894" s="35"/>
    </row>
    <row r="2895" spans="8:8" x14ac:dyDescent="0.35">
      <c r="H2895" s="35"/>
    </row>
    <row r="2896" spans="8:8" x14ac:dyDescent="0.35">
      <c r="H2896" s="35"/>
    </row>
    <row r="2897" spans="8:8" x14ac:dyDescent="0.35">
      <c r="H2897" s="35"/>
    </row>
    <row r="2898" spans="8:8" x14ac:dyDescent="0.35">
      <c r="H2898" s="35"/>
    </row>
    <row r="2899" spans="8:8" x14ac:dyDescent="0.35">
      <c r="H2899" s="35"/>
    </row>
    <row r="2900" spans="8:8" x14ac:dyDescent="0.35">
      <c r="H2900" s="35"/>
    </row>
    <row r="2901" spans="8:8" x14ac:dyDescent="0.35">
      <c r="H2901" s="35"/>
    </row>
    <row r="2902" spans="8:8" x14ac:dyDescent="0.35">
      <c r="H2902" s="35"/>
    </row>
    <row r="2903" spans="8:8" x14ac:dyDescent="0.35">
      <c r="H2903" s="35"/>
    </row>
    <row r="2904" spans="8:8" x14ac:dyDescent="0.35">
      <c r="H2904" s="35"/>
    </row>
    <row r="2905" spans="8:8" x14ac:dyDescent="0.35">
      <c r="H2905" s="35"/>
    </row>
    <row r="2906" spans="8:8" x14ac:dyDescent="0.35">
      <c r="H2906" s="35"/>
    </row>
    <row r="2907" spans="8:8" x14ac:dyDescent="0.35">
      <c r="H2907" s="35"/>
    </row>
    <row r="2908" spans="8:8" x14ac:dyDescent="0.35">
      <c r="H2908" s="35"/>
    </row>
    <row r="2909" spans="8:8" x14ac:dyDescent="0.35">
      <c r="H2909" s="35"/>
    </row>
    <row r="2910" spans="8:8" x14ac:dyDescent="0.35">
      <c r="H2910" s="35"/>
    </row>
    <row r="2911" spans="8:8" x14ac:dyDescent="0.35">
      <c r="H2911" s="35"/>
    </row>
    <row r="2912" spans="8:8" x14ac:dyDescent="0.35">
      <c r="H2912" s="35"/>
    </row>
    <row r="2913" spans="8:8" x14ac:dyDescent="0.35">
      <c r="H2913" s="35"/>
    </row>
    <row r="2914" spans="8:8" x14ac:dyDescent="0.35">
      <c r="H2914" s="35"/>
    </row>
    <row r="2915" spans="8:8" x14ac:dyDescent="0.35">
      <c r="H2915" s="35"/>
    </row>
    <row r="2916" spans="8:8" x14ac:dyDescent="0.35">
      <c r="H2916" s="35"/>
    </row>
    <row r="2917" spans="8:8" x14ac:dyDescent="0.35">
      <c r="H2917" s="35"/>
    </row>
    <row r="2918" spans="8:8" x14ac:dyDescent="0.35">
      <c r="H2918" s="35"/>
    </row>
    <row r="2919" spans="8:8" x14ac:dyDescent="0.35">
      <c r="H2919" s="35"/>
    </row>
    <row r="2920" spans="8:8" x14ac:dyDescent="0.35">
      <c r="H2920" s="35"/>
    </row>
    <row r="2921" spans="8:8" x14ac:dyDescent="0.35">
      <c r="H2921" s="35"/>
    </row>
    <row r="2922" spans="8:8" x14ac:dyDescent="0.35">
      <c r="H2922" s="35"/>
    </row>
    <row r="2923" spans="8:8" x14ac:dyDescent="0.35">
      <c r="H2923" s="35"/>
    </row>
    <row r="2924" spans="8:8" x14ac:dyDescent="0.35">
      <c r="H2924" s="35"/>
    </row>
    <row r="2925" spans="8:8" x14ac:dyDescent="0.35">
      <c r="H2925" s="35"/>
    </row>
    <row r="2926" spans="8:8" x14ac:dyDescent="0.35">
      <c r="H2926" s="35"/>
    </row>
    <row r="2927" spans="8:8" x14ac:dyDescent="0.35">
      <c r="H2927" s="35"/>
    </row>
    <row r="2928" spans="8:8" x14ac:dyDescent="0.35">
      <c r="H2928" s="35"/>
    </row>
    <row r="2929" spans="8:8" x14ac:dyDescent="0.35">
      <c r="H2929" s="35"/>
    </row>
    <row r="2930" spans="8:8" x14ac:dyDescent="0.35">
      <c r="H2930" s="35"/>
    </row>
    <row r="2931" spans="8:8" x14ac:dyDescent="0.35">
      <c r="H2931" s="35"/>
    </row>
    <row r="2932" spans="8:8" x14ac:dyDescent="0.35">
      <c r="H2932" s="35"/>
    </row>
    <row r="2933" spans="8:8" x14ac:dyDescent="0.35">
      <c r="H2933" s="35"/>
    </row>
    <row r="2934" spans="8:8" x14ac:dyDescent="0.35">
      <c r="H2934" s="35"/>
    </row>
    <row r="2935" spans="8:8" x14ac:dyDescent="0.35">
      <c r="H2935" s="35"/>
    </row>
    <row r="2936" spans="8:8" x14ac:dyDescent="0.35">
      <c r="H2936" s="35"/>
    </row>
    <row r="2937" spans="8:8" x14ac:dyDescent="0.35">
      <c r="H2937" s="35"/>
    </row>
    <row r="2938" spans="8:8" x14ac:dyDescent="0.35">
      <c r="H2938" s="35"/>
    </row>
    <row r="2939" spans="8:8" x14ac:dyDescent="0.35">
      <c r="H2939" s="35"/>
    </row>
    <row r="2940" spans="8:8" x14ac:dyDescent="0.35">
      <c r="H2940" s="35"/>
    </row>
    <row r="2941" spans="8:8" x14ac:dyDescent="0.35">
      <c r="H2941" s="35"/>
    </row>
    <row r="2942" spans="8:8" x14ac:dyDescent="0.35">
      <c r="H2942" s="35"/>
    </row>
    <row r="2943" spans="8:8" x14ac:dyDescent="0.35">
      <c r="H2943" s="35"/>
    </row>
    <row r="2944" spans="8:8" x14ac:dyDescent="0.35">
      <c r="H2944" s="35"/>
    </row>
    <row r="2945" spans="8:8" x14ac:dyDescent="0.35">
      <c r="H2945" s="35"/>
    </row>
    <row r="2946" spans="8:8" x14ac:dyDescent="0.35">
      <c r="H2946" s="35"/>
    </row>
    <row r="2947" spans="8:8" x14ac:dyDescent="0.35">
      <c r="H2947" s="35"/>
    </row>
    <row r="2948" spans="8:8" x14ac:dyDescent="0.35">
      <c r="H2948" s="35"/>
    </row>
    <row r="2949" spans="8:8" x14ac:dyDescent="0.35">
      <c r="H2949" s="35"/>
    </row>
    <row r="2950" spans="8:8" x14ac:dyDescent="0.35">
      <c r="H2950" s="35"/>
    </row>
    <row r="2951" spans="8:8" x14ac:dyDescent="0.35">
      <c r="H2951" s="35"/>
    </row>
    <row r="2952" spans="8:8" x14ac:dyDescent="0.35">
      <c r="H2952" s="35"/>
    </row>
    <row r="2953" spans="8:8" x14ac:dyDescent="0.35">
      <c r="H2953" s="35"/>
    </row>
    <row r="2954" spans="8:8" x14ac:dyDescent="0.35">
      <c r="H2954" s="35"/>
    </row>
    <row r="2955" spans="8:8" x14ac:dyDescent="0.35">
      <c r="H2955" s="35"/>
    </row>
    <row r="2956" spans="8:8" x14ac:dyDescent="0.35">
      <c r="H2956" s="35"/>
    </row>
    <row r="2957" spans="8:8" x14ac:dyDescent="0.35">
      <c r="H2957" s="35"/>
    </row>
    <row r="2958" spans="8:8" x14ac:dyDescent="0.35">
      <c r="H2958" s="35"/>
    </row>
    <row r="2959" spans="8:8" x14ac:dyDescent="0.35">
      <c r="H2959" s="35"/>
    </row>
    <row r="2960" spans="8:8" x14ac:dyDescent="0.35">
      <c r="H2960" s="35"/>
    </row>
    <row r="2961" spans="8:8" x14ac:dyDescent="0.35">
      <c r="H2961" s="35"/>
    </row>
    <row r="2962" spans="8:8" x14ac:dyDescent="0.35">
      <c r="H2962" s="35"/>
    </row>
    <row r="2963" spans="8:8" x14ac:dyDescent="0.35">
      <c r="H2963" s="35"/>
    </row>
    <row r="2964" spans="8:8" x14ac:dyDescent="0.35">
      <c r="H2964" s="35"/>
    </row>
    <row r="2965" spans="8:8" x14ac:dyDescent="0.35">
      <c r="H2965" s="35"/>
    </row>
    <row r="2966" spans="8:8" x14ac:dyDescent="0.35">
      <c r="H2966" s="35"/>
    </row>
    <row r="2967" spans="8:8" x14ac:dyDescent="0.35">
      <c r="H2967" s="35"/>
    </row>
    <row r="2968" spans="8:8" x14ac:dyDescent="0.35">
      <c r="H2968" s="35"/>
    </row>
    <row r="2969" spans="8:8" x14ac:dyDescent="0.35">
      <c r="H2969" s="35"/>
    </row>
    <row r="2970" spans="8:8" x14ac:dyDescent="0.35">
      <c r="H2970" s="35"/>
    </row>
    <row r="2971" spans="8:8" x14ac:dyDescent="0.35">
      <c r="H2971" s="35"/>
    </row>
    <row r="2972" spans="8:8" x14ac:dyDescent="0.35">
      <c r="H2972" s="35"/>
    </row>
    <row r="2973" spans="8:8" x14ac:dyDescent="0.35">
      <c r="H2973" s="35"/>
    </row>
    <row r="2974" spans="8:8" x14ac:dyDescent="0.35">
      <c r="H2974" s="35"/>
    </row>
    <row r="2975" spans="8:8" x14ac:dyDescent="0.35">
      <c r="H2975" s="35"/>
    </row>
    <row r="2976" spans="8:8" x14ac:dyDescent="0.35">
      <c r="H2976" s="35"/>
    </row>
    <row r="2977" spans="8:8" x14ac:dyDescent="0.35">
      <c r="H2977" s="35"/>
    </row>
    <row r="2978" spans="8:8" x14ac:dyDescent="0.35">
      <c r="H2978" s="35"/>
    </row>
    <row r="2979" spans="8:8" x14ac:dyDescent="0.35">
      <c r="H2979" s="35"/>
    </row>
    <row r="2980" spans="8:8" x14ac:dyDescent="0.35">
      <c r="H2980" s="35"/>
    </row>
    <row r="2981" spans="8:8" x14ac:dyDescent="0.35">
      <c r="H2981" s="35"/>
    </row>
    <row r="2982" spans="8:8" x14ac:dyDescent="0.35">
      <c r="H2982" s="35"/>
    </row>
    <row r="2983" spans="8:8" x14ac:dyDescent="0.35">
      <c r="H2983" s="35"/>
    </row>
    <row r="2984" spans="8:8" x14ac:dyDescent="0.35">
      <c r="H2984" s="35"/>
    </row>
    <row r="2985" spans="8:8" x14ac:dyDescent="0.35">
      <c r="H2985" s="35"/>
    </row>
    <row r="2986" spans="8:8" x14ac:dyDescent="0.35">
      <c r="H2986" s="35"/>
    </row>
    <row r="2987" spans="8:8" x14ac:dyDescent="0.35">
      <c r="H2987" s="35"/>
    </row>
    <row r="2988" spans="8:8" x14ac:dyDescent="0.35">
      <c r="H2988" s="35"/>
    </row>
    <row r="2989" spans="8:8" x14ac:dyDescent="0.35">
      <c r="H2989" s="35"/>
    </row>
    <row r="2990" spans="8:8" x14ac:dyDescent="0.35">
      <c r="H2990" s="35"/>
    </row>
    <row r="2991" spans="8:8" x14ac:dyDescent="0.35">
      <c r="H2991" s="35"/>
    </row>
    <row r="2992" spans="8:8" x14ac:dyDescent="0.35">
      <c r="H2992" s="35"/>
    </row>
    <row r="2993" spans="8:8" x14ac:dyDescent="0.35">
      <c r="H2993" s="35"/>
    </row>
    <row r="2994" spans="8:8" x14ac:dyDescent="0.35">
      <c r="H2994" s="35"/>
    </row>
    <row r="2995" spans="8:8" x14ac:dyDescent="0.35">
      <c r="H2995" s="35"/>
    </row>
    <row r="2996" spans="8:8" x14ac:dyDescent="0.35">
      <c r="H2996" s="35"/>
    </row>
    <row r="2997" spans="8:8" x14ac:dyDescent="0.35">
      <c r="H2997" s="35"/>
    </row>
    <row r="2998" spans="8:8" x14ac:dyDescent="0.35">
      <c r="H2998" s="35"/>
    </row>
    <row r="2999" spans="8:8" x14ac:dyDescent="0.35">
      <c r="H2999" s="35"/>
    </row>
    <row r="3000" spans="8:8" x14ac:dyDescent="0.35">
      <c r="H3000" s="35"/>
    </row>
    <row r="3001" spans="8:8" x14ac:dyDescent="0.35">
      <c r="H3001" s="35"/>
    </row>
    <row r="3002" spans="8:8" x14ac:dyDescent="0.35">
      <c r="H3002" s="35"/>
    </row>
    <row r="3003" spans="8:8" x14ac:dyDescent="0.35">
      <c r="H3003" s="35"/>
    </row>
    <row r="3004" spans="8:8" x14ac:dyDescent="0.35">
      <c r="H3004" s="35"/>
    </row>
    <row r="3005" spans="8:8" x14ac:dyDescent="0.35">
      <c r="H3005" s="35"/>
    </row>
    <row r="3006" spans="8:8" x14ac:dyDescent="0.35">
      <c r="H3006" s="35"/>
    </row>
    <row r="3007" spans="8:8" x14ac:dyDescent="0.35">
      <c r="H3007" s="35"/>
    </row>
    <row r="3008" spans="8:8" x14ac:dyDescent="0.35">
      <c r="H3008" s="35"/>
    </row>
    <row r="3009" spans="8:8" x14ac:dyDescent="0.35">
      <c r="H3009" s="35"/>
    </row>
    <row r="3010" spans="8:8" x14ac:dyDescent="0.35">
      <c r="H3010" s="35"/>
    </row>
    <row r="3011" spans="8:8" x14ac:dyDescent="0.35">
      <c r="H3011" s="35"/>
    </row>
    <row r="3012" spans="8:8" x14ac:dyDescent="0.35">
      <c r="H3012" s="35"/>
    </row>
    <row r="3013" spans="8:8" x14ac:dyDescent="0.35">
      <c r="H3013" s="35"/>
    </row>
    <row r="3014" spans="8:8" x14ac:dyDescent="0.35">
      <c r="H3014" s="35"/>
    </row>
    <row r="3015" spans="8:8" x14ac:dyDescent="0.35">
      <c r="H3015" s="35"/>
    </row>
    <row r="3016" spans="8:8" x14ac:dyDescent="0.35">
      <c r="H3016" s="35"/>
    </row>
    <row r="3017" spans="8:8" x14ac:dyDescent="0.35">
      <c r="H3017" s="35"/>
    </row>
    <row r="3018" spans="8:8" x14ac:dyDescent="0.35">
      <c r="H3018" s="35"/>
    </row>
    <row r="3019" spans="8:8" x14ac:dyDescent="0.35">
      <c r="H3019" s="35"/>
    </row>
    <row r="3020" spans="8:8" x14ac:dyDescent="0.35">
      <c r="H3020" s="35"/>
    </row>
    <row r="3021" spans="8:8" x14ac:dyDescent="0.35">
      <c r="H3021" s="35"/>
    </row>
    <row r="3022" spans="8:8" x14ac:dyDescent="0.35">
      <c r="H3022" s="35"/>
    </row>
    <row r="3023" spans="8:8" x14ac:dyDescent="0.35">
      <c r="H3023" s="35"/>
    </row>
    <row r="3024" spans="8:8" x14ac:dyDescent="0.35">
      <c r="H3024" s="35"/>
    </row>
    <row r="3025" spans="8:8" x14ac:dyDescent="0.35">
      <c r="H3025" s="35"/>
    </row>
    <row r="3026" spans="8:8" x14ac:dyDescent="0.35">
      <c r="H3026" s="35"/>
    </row>
    <row r="3027" spans="8:8" x14ac:dyDescent="0.35">
      <c r="H3027" s="35"/>
    </row>
    <row r="3028" spans="8:8" x14ac:dyDescent="0.35">
      <c r="H3028" s="35"/>
    </row>
    <row r="3029" spans="8:8" x14ac:dyDescent="0.35">
      <c r="H3029" s="35"/>
    </row>
    <row r="3030" spans="8:8" x14ac:dyDescent="0.35">
      <c r="H3030" s="35"/>
    </row>
    <row r="3031" spans="8:8" x14ac:dyDescent="0.35">
      <c r="H3031" s="35"/>
    </row>
    <row r="3032" spans="8:8" x14ac:dyDescent="0.35">
      <c r="H3032" s="35"/>
    </row>
    <row r="3033" spans="8:8" x14ac:dyDescent="0.35">
      <c r="H3033" s="35"/>
    </row>
    <row r="3034" spans="8:8" x14ac:dyDescent="0.35">
      <c r="H3034" s="35"/>
    </row>
    <row r="3035" spans="8:8" x14ac:dyDescent="0.35">
      <c r="H3035" s="35"/>
    </row>
    <row r="3036" spans="8:8" x14ac:dyDescent="0.35">
      <c r="H3036" s="35"/>
    </row>
    <row r="3037" spans="8:8" x14ac:dyDescent="0.35">
      <c r="H3037" s="35"/>
    </row>
    <row r="3038" spans="8:8" x14ac:dyDescent="0.35">
      <c r="H3038" s="35"/>
    </row>
    <row r="3039" spans="8:8" x14ac:dyDescent="0.35">
      <c r="H3039" s="35"/>
    </row>
    <row r="3040" spans="8:8" x14ac:dyDescent="0.35">
      <c r="H3040" s="35"/>
    </row>
    <row r="3041" spans="8:8" x14ac:dyDescent="0.35">
      <c r="H3041" s="35"/>
    </row>
    <row r="3042" spans="8:8" x14ac:dyDescent="0.35">
      <c r="H3042" s="35"/>
    </row>
    <row r="3043" spans="8:8" x14ac:dyDescent="0.35">
      <c r="H3043" s="35"/>
    </row>
    <row r="3044" spans="8:8" x14ac:dyDescent="0.35">
      <c r="H3044" s="35"/>
    </row>
    <row r="3045" spans="8:8" x14ac:dyDescent="0.35">
      <c r="H3045" s="35"/>
    </row>
    <row r="3046" spans="8:8" x14ac:dyDescent="0.35">
      <c r="H3046" s="35"/>
    </row>
    <row r="3047" spans="8:8" x14ac:dyDescent="0.35">
      <c r="H3047" s="35"/>
    </row>
    <row r="3048" spans="8:8" x14ac:dyDescent="0.35">
      <c r="H3048" s="35"/>
    </row>
    <row r="3049" spans="8:8" x14ac:dyDescent="0.35">
      <c r="H3049" s="35"/>
    </row>
    <row r="3050" spans="8:8" x14ac:dyDescent="0.35">
      <c r="H3050" s="35"/>
    </row>
    <row r="3051" spans="8:8" x14ac:dyDescent="0.35">
      <c r="H3051" s="35"/>
    </row>
    <row r="3052" spans="8:8" x14ac:dyDescent="0.35">
      <c r="H3052" s="35"/>
    </row>
    <row r="3053" spans="8:8" x14ac:dyDescent="0.35">
      <c r="H3053" s="35"/>
    </row>
    <row r="3054" spans="8:8" x14ac:dyDescent="0.35">
      <c r="H3054" s="35"/>
    </row>
    <row r="3055" spans="8:8" x14ac:dyDescent="0.35">
      <c r="H3055" s="35"/>
    </row>
    <row r="3056" spans="8:8" x14ac:dyDescent="0.35">
      <c r="H3056" s="35"/>
    </row>
    <row r="3057" spans="8:8" x14ac:dyDescent="0.35">
      <c r="H3057" s="35"/>
    </row>
    <row r="3058" spans="8:8" x14ac:dyDescent="0.35">
      <c r="H3058" s="35"/>
    </row>
    <row r="3059" spans="8:8" x14ac:dyDescent="0.35">
      <c r="H3059" s="35"/>
    </row>
    <row r="3060" spans="8:8" x14ac:dyDescent="0.35">
      <c r="H3060" s="35"/>
    </row>
    <row r="3061" spans="8:8" x14ac:dyDescent="0.35">
      <c r="H3061" s="35"/>
    </row>
    <row r="3062" spans="8:8" x14ac:dyDescent="0.35">
      <c r="H3062" s="35"/>
    </row>
    <row r="3063" spans="8:8" x14ac:dyDescent="0.35">
      <c r="H3063" s="35"/>
    </row>
    <row r="3064" spans="8:8" x14ac:dyDescent="0.35">
      <c r="H3064" s="35"/>
    </row>
    <row r="3065" spans="8:8" x14ac:dyDescent="0.35">
      <c r="H3065" s="35"/>
    </row>
    <row r="3066" spans="8:8" x14ac:dyDescent="0.35">
      <c r="H3066" s="35"/>
    </row>
    <row r="3067" spans="8:8" x14ac:dyDescent="0.35">
      <c r="H3067" s="35"/>
    </row>
    <row r="3068" spans="8:8" x14ac:dyDescent="0.35">
      <c r="H3068" s="35"/>
    </row>
    <row r="3069" spans="8:8" x14ac:dyDescent="0.35">
      <c r="H3069" s="35"/>
    </row>
    <row r="3070" spans="8:8" x14ac:dyDescent="0.35">
      <c r="H3070" s="35"/>
    </row>
    <row r="3071" spans="8:8" x14ac:dyDescent="0.35">
      <c r="H3071" s="35"/>
    </row>
    <row r="3072" spans="8:8" x14ac:dyDescent="0.35">
      <c r="H3072" s="35"/>
    </row>
    <row r="3073" spans="8:8" x14ac:dyDescent="0.35">
      <c r="H3073" s="35"/>
    </row>
    <row r="3074" spans="8:8" x14ac:dyDescent="0.35">
      <c r="H3074" s="35"/>
    </row>
    <row r="3075" spans="8:8" x14ac:dyDescent="0.35">
      <c r="H3075" s="35"/>
    </row>
    <row r="3076" spans="8:8" x14ac:dyDescent="0.35">
      <c r="H3076" s="35"/>
    </row>
    <row r="3077" spans="8:8" x14ac:dyDescent="0.35">
      <c r="H3077" s="35"/>
    </row>
    <row r="3078" spans="8:8" x14ac:dyDescent="0.35">
      <c r="H3078" s="35"/>
    </row>
    <row r="3079" spans="8:8" x14ac:dyDescent="0.35">
      <c r="H3079" s="35"/>
    </row>
    <row r="3080" spans="8:8" x14ac:dyDescent="0.35">
      <c r="H3080" s="35"/>
    </row>
    <row r="3081" spans="8:8" x14ac:dyDescent="0.35">
      <c r="H3081" s="35"/>
    </row>
    <row r="3082" spans="8:8" x14ac:dyDescent="0.35">
      <c r="H3082" s="35"/>
    </row>
    <row r="3083" spans="8:8" x14ac:dyDescent="0.35">
      <c r="H3083" s="35"/>
    </row>
    <row r="3084" spans="8:8" x14ac:dyDescent="0.35">
      <c r="H3084" s="35"/>
    </row>
    <row r="3085" spans="8:8" x14ac:dyDescent="0.35">
      <c r="H3085" s="35"/>
    </row>
    <row r="3086" spans="8:8" x14ac:dyDescent="0.35">
      <c r="H3086" s="35"/>
    </row>
    <row r="3087" spans="8:8" x14ac:dyDescent="0.35">
      <c r="H3087" s="35"/>
    </row>
    <row r="3088" spans="8:8" x14ac:dyDescent="0.35">
      <c r="H3088" s="35"/>
    </row>
    <row r="3089" spans="8:8" x14ac:dyDescent="0.35">
      <c r="H3089" s="35"/>
    </row>
    <row r="3090" spans="8:8" x14ac:dyDescent="0.35">
      <c r="H3090" s="35"/>
    </row>
    <row r="3091" spans="8:8" x14ac:dyDescent="0.35">
      <c r="H3091" s="35"/>
    </row>
    <row r="3092" spans="8:8" x14ac:dyDescent="0.35">
      <c r="H3092" s="35"/>
    </row>
    <row r="3093" spans="8:8" x14ac:dyDescent="0.35">
      <c r="H3093" s="35"/>
    </row>
    <row r="3094" spans="8:8" x14ac:dyDescent="0.35">
      <c r="H3094" s="35"/>
    </row>
    <row r="3095" spans="8:8" x14ac:dyDescent="0.35">
      <c r="H3095" s="35"/>
    </row>
    <row r="3096" spans="8:8" x14ac:dyDescent="0.35">
      <c r="H3096" s="35"/>
    </row>
    <row r="3097" spans="8:8" x14ac:dyDescent="0.35">
      <c r="H3097" s="35"/>
    </row>
    <row r="3098" spans="8:8" x14ac:dyDescent="0.35">
      <c r="H3098" s="35"/>
    </row>
    <row r="3099" spans="8:8" x14ac:dyDescent="0.35">
      <c r="H3099" s="35"/>
    </row>
    <row r="3100" spans="8:8" x14ac:dyDescent="0.35">
      <c r="H3100" s="35"/>
    </row>
    <row r="3101" spans="8:8" x14ac:dyDescent="0.35">
      <c r="H3101" s="35"/>
    </row>
    <row r="3102" spans="8:8" x14ac:dyDescent="0.35">
      <c r="H3102" s="35"/>
    </row>
    <row r="3103" spans="8:8" x14ac:dyDescent="0.35">
      <c r="H3103" s="35"/>
    </row>
    <row r="3104" spans="8:8" x14ac:dyDescent="0.35">
      <c r="H3104" s="35"/>
    </row>
    <row r="3105" spans="8:8" x14ac:dyDescent="0.35">
      <c r="H3105" s="35"/>
    </row>
    <row r="3106" spans="8:8" x14ac:dyDescent="0.35">
      <c r="H3106" s="35"/>
    </row>
    <row r="3107" spans="8:8" x14ac:dyDescent="0.35">
      <c r="H3107" s="35"/>
    </row>
    <row r="3108" spans="8:8" x14ac:dyDescent="0.35">
      <c r="H3108" s="35"/>
    </row>
    <row r="3109" spans="8:8" x14ac:dyDescent="0.35">
      <c r="H3109" s="35"/>
    </row>
    <row r="3110" spans="8:8" x14ac:dyDescent="0.35">
      <c r="H3110" s="35"/>
    </row>
    <row r="3111" spans="8:8" x14ac:dyDescent="0.35">
      <c r="H3111" s="35"/>
    </row>
    <row r="3112" spans="8:8" x14ac:dyDescent="0.35">
      <c r="H3112" s="35"/>
    </row>
    <row r="3113" spans="8:8" x14ac:dyDescent="0.35">
      <c r="H3113" s="35"/>
    </row>
    <row r="3114" spans="8:8" x14ac:dyDescent="0.35">
      <c r="H3114" s="35"/>
    </row>
    <row r="3115" spans="8:8" x14ac:dyDescent="0.35">
      <c r="H3115" s="35"/>
    </row>
    <row r="3116" spans="8:8" x14ac:dyDescent="0.35">
      <c r="H3116" s="35"/>
    </row>
    <row r="3117" spans="8:8" x14ac:dyDescent="0.35">
      <c r="H3117" s="35"/>
    </row>
    <row r="3118" spans="8:8" x14ac:dyDescent="0.35">
      <c r="H3118" s="35"/>
    </row>
    <row r="3119" spans="8:8" x14ac:dyDescent="0.35">
      <c r="H3119" s="35"/>
    </row>
    <row r="3120" spans="8:8" x14ac:dyDescent="0.35">
      <c r="H3120" s="35"/>
    </row>
    <row r="3121" spans="8:8" x14ac:dyDescent="0.35">
      <c r="H3121" s="35"/>
    </row>
    <row r="3122" spans="8:8" x14ac:dyDescent="0.35">
      <c r="H3122" s="35"/>
    </row>
    <row r="3123" spans="8:8" x14ac:dyDescent="0.35">
      <c r="H3123" s="35"/>
    </row>
    <row r="3124" spans="8:8" x14ac:dyDescent="0.35">
      <c r="H3124" s="35"/>
    </row>
    <row r="3125" spans="8:8" x14ac:dyDescent="0.35">
      <c r="H3125" s="35"/>
    </row>
    <row r="3126" spans="8:8" x14ac:dyDescent="0.35">
      <c r="H3126" s="35"/>
    </row>
    <row r="3127" spans="8:8" x14ac:dyDescent="0.35">
      <c r="H3127" s="35"/>
    </row>
    <row r="3128" spans="8:8" x14ac:dyDescent="0.35">
      <c r="H3128" s="35"/>
    </row>
    <row r="3129" spans="8:8" x14ac:dyDescent="0.35">
      <c r="H3129" s="35"/>
    </row>
    <row r="3130" spans="8:8" x14ac:dyDescent="0.35">
      <c r="H3130" s="35"/>
    </row>
    <row r="3131" spans="8:8" x14ac:dyDescent="0.35">
      <c r="H3131" s="35"/>
    </row>
    <row r="3132" spans="8:8" x14ac:dyDescent="0.35">
      <c r="H3132" s="35"/>
    </row>
    <row r="3133" spans="8:8" x14ac:dyDescent="0.35">
      <c r="H3133" s="35"/>
    </row>
    <row r="3134" spans="8:8" x14ac:dyDescent="0.35">
      <c r="H3134" s="35"/>
    </row>
    <row r="3135" spans="8:8" x14ac:dyDescent="0.35">
      <c r="H3135" s="35"/>
    </row>
    <row r="3136" spans="8:8" x14ac:dyDescent="0.35">
      <c r="H3136" s="35"/>
    </row>
    <row r="3137" spans="8:8" x14ac:dyDescent="0.35">
      <c r="H3137" s="35"/>
    </row>
    <row r="3138" spans="8:8" x14ac:dyDescent="0.35">
      <c r="H3138" s="35"/>
    </row>
    <row r="3139" spans="8:8" x14ac:dyDescent="0.35">
      <c r="H3139" s="35"/>
    </row>
    <row r="3140" spans="8:8" x14ac:dyDescent="0.35">
      <c r="H3140" s="35"/>
    </row>
    <row r="3141" spans="8:8" x14ac:dyDescent="0.35">
      <c r="H3141" s="35"/>
    </row>
    <row r="3142" spans="8:8" x14ac:dyDescent="0.35">
      <c r="H3142" s="35"/>
    </row>
    <row r="3143" spans="8:8" x14ac:dyDescent="0.35">
      <c r="H3143" s="35"/>
    </row>
    <row r="3144" spans="8:8" x14ac:dyDescent="0.35">
      <c r="H3144" s="35"/>
    </row>
    <row r="3145" spans="8:8" x14ac:dyDescent="0.35">
      <c r="H3145" s="35"/>
    </row>
    <row r="3146" spans="8:8" x14ac:dyDescent="0.35">
      <c r="H3146" s="35"/>
    </row>
    <row r="3147" spans="8:8" x14ac:dyDescent="0.35">
      <c r="H3147" s="35"/>
    </row>
    <row r="3148" spans="8:8" x14ac:dyDescent="0.35">
      <c r="H3148" s="35"/>
    </row>
    <row r="3149" spans="8:8" x14ac:dyDescent="0.35">
      <c r="H3149" s="35"/>
    </row>
    <row r="3150" spans="8:8" x14ac:dyDescent="0.35">
      <c r="H3150" s="35"/>
    </row>
    <row r="3151" spans="8:8" x14ac:dyDescent="0.35">
      <c r="H3151" s="35"/>
    </row>
    <row r="3152" spans="8:8" x14ac:dyDescent="0.35">
      <c r="H3152" s="35"/>
    </row>
    <row r="3153" spans="8:8" x14ac:dyDescent="0.35">
      <c r="H3153" s="35"/>
    </row>
    <row r="3154" spans="8:8" x14ac:dyDescent="0.35">
      <c r="H3154" s="35"/>
    </row>
    <row r="3155" spans="8:8" x14ac:dyDescent="0.35">
      <c r="H3155" s="35"/>
    </row>
    <row r="3156" spans="8:8" x14ac:dyDescent="0.35">
      <c r="H3156" s="35"/>
    </row>
    <row r="3157" spans="8:8" x14ac:dyDescent="0.35">
      <c r="H3157" s="35"/>
    </row>
    <row r="3158" spans="8:8" x14ac:dyDescent="0.35">
      <c r="H3158" s="35"/>
    </row>
    <row r="3159" spans="8:8" x14ac:dyDescent="0.35">
      <c r="H3159" s="35"/>
    </row>
    <row r="3160" spans="8:8" x14ac:dyDescent="0.35">
      <c r="H3160" s="35"/>
    </row>
    <row r="3161" spans="8:8" x14ac:dyDescent="0.35">
      <c r="H3161" s="35"/>
    </row>
    <row r="3162" spans="8:8" x14ac:dyDescent="0.35">
      <c r="H3162" s="35"/>
    </row>
    <row r="3163" spans="8:8" x14ac:dyDescent="0.35">
      <c r="H3163" s="35"/>
    </row>
    <row r="3164" spans="8:8" x14ac:dyDescent="0.35">
      <c r="H3164" s="35"/>
    </row>
    <row r="3165" spans="8:8" x14ac:dyDescent="0.35">
      <c r="H3165" s="35"/>
    </row>
    <row r="3166" spans="8:8" x14ac:dyDescent="0.35">
      <c r="H3166" s="35"/>
    </row>
    <row r="3167" spans="8:8" x14ac:dyDescent="0.35">
      <c r="H3167" s="35"/>
    </row>
    <row r="3168" spans="8:8" x14ac:dyDescent="0.35">
      <c r="H3168" s="35"/>
    </row>
    <row r="3169" spans="8:8" x14ac:dyDescent="0.35">
      <c r="H3169" s="35"/>
    </row>
    <row r="3170" spans="8:8" x14ac:dyDescent="0.35">
      <c r="H3170" s="35"/>
    </row>
    <row r="3171" spans="8:8" x14ac:dyDescent="0.35">
      <c r="H3171" s="35"/>
    </row>
    <row r="3172" spans="8:8" x14ac:dyDescent="0.35">
      <c r="H3172" s="35"/>
    </row>
    <row r="3173" spans="8:8" x14ac:dyDescent="0.35">
      <c r="H3173" s="35"/>
    </row>
    <row r="3174" spans="8:8" x14ac:dyDescent="0.35">
      <c r="H3174" s="35"/>
    </row>
    <row r="3175" spans="8:8" x14ac:dyDescent="0.35">
      <c r="H3175" s="35"/>
    </row>
    <row r="3176" spans="8:8" x14ac:dyDescent="0.35">
      <c r="H3176" s="35"/>
    </row>
    <row r="3177" spans="8:8" x14ac:dyDescent="0.35">
      <c r="H3177" s="35"/>
    </row>
    <row r="3178" spans="8:8" x14ac:dyDescent="0.35">
      <c r="H3178" s="35"/>
    </row>
    <row r="3179" spans="8:8" x14ac:dyDescent="0.35">
      <c r="H3179" s="35"/>
    </row>
    <row r="3180" spans="8:8" x14ac:dyDescent="0.35">
      <c r="H3180" s="35"/>
    </row>
    <row r="3181" spans="8:8" x14ac:dyDescent="0.35">
      <c r="H3181" s="35"/>
    </row>
    <row r="3182" spans="8:8" x14ac:dyDescent="0.35">
      <c r="H3182" s="35"/>
    </row>
    <row r="3183" spans="8:8" x14ac:dyDescent="0.35">
      <c r="H3183" s="35"/>
    </row>
    <row r="3184" spans="8:8" x14ac:dyDescent="0.35">
      <c r="H3184" s="35"/>
    </row>
    <row r="3185" spans="8:8" x14ac:dyDescent="0.35">
      <c r="H3185" s="35"/>
    </row>
    <row r="3186" spans="8:8" x14ac:dyDescent="0.35">
      <c r="H3186" s="35"/>
    </row>
    <row r="3187" spans="8:8" x14ac:dyDescent="0.35">
      <c r="H3187" s="35"/>
    </row>
    <row r="3188" spans="8:8" x14ac:dyDescent="0.35">
      <c r="H3188" s="35"/>
    </row>
    <row r="3189" spans="8:8" x14ac:dyDescent="0.35">
      <c r="H3189" s="35"/>
    </row>
    <row r="3190" spans="8:8" x14ac:dyDescent="0.35">
      <c r="H3190" s="35"/>
    </row>
    <row r="3191" spans="8:8" x14ac:dyDescent="0.35">
      <c r="H3191" s="35"/>
    </row>
    <row r="3192" spans="8:8" x14ac:dyDescent="0.35">
      <c r="H3192" s="35"/>
    </row>
    <row r="3193" spans="8:8" x14ac:dyDescent="0.35">
      <c r="H3193" s="35"/>
    </row>
    <row r="3194" spans="8:8" x14ac:dyDescent="0.35">
      <c r="H3194" s="35"/>
    </row>
    <row r="3195" spans="8:8" x14ac:dyDescent="0.35">
      <c r="H3195" s="35"/>
    </row>
    <row r="3196" spans="8:8" x14ac:dyDescent="0.35">
      <c r="H3196" s="35"/>
    </row>
    <row r="3197" spans="8:8" x14ac:dyDescent="0.35">
      <c r="H3197" s="35"/>
    </row>
    <row r="3198" spans="8:8" x14ac:dyDescent="0.35">
      <c r="H3198" s="35"/>
    </row>
    <row r="3199" spans="8:8" x14ac:dyDescent="0.35">
      <c r="H3199" s="35"/>
    </row>
    <row r="3200" spans="8:8" x14ac:dyDescent="0.35">
      <c r="H3200" s="35"/>
    </row>
    <row r="3201" spans="8:8" x14ac:dyDescent="0.35">
      <c r="H3201" s="35"/>
    </row>
    <row r="3202" spans="8:8" x14ac:dyDescent="0.35">
      <c r="H3202" s="35"/>
    </row>
    <row r="3203" spans="8:8" x14ac:dyDescent="0.35">
      <c r="H3203" s="35"/>
    </row>
    <row r="3204" spans="8:8" x14ac:dyDescent="0.35">
      <c r="H3204" s="35"/>
    </row>
    <row r="3205" spans="8:8" x14ac:dyDescent="0.35">
      <c r="H3205" s="35"/>
    </row>
    <row r="3206" spans="8:8" x14ac:dyDescent="0.35">
      <c r="H3206" s="35"/>
    </row>
    <row r="3207" spans="8:8" x14ac:dyDescent="0.35">
      <c r="H3207" s="35"/>
    </row>
    <row r="3208" spans="8:8" x14ac:dyDescent="0.35">
      <c r="H3208" s="35"/>
    </row>
    <row r="3209" spans="8:8" x14ac:dyDescent="0.35">
      <c r="H3209" s="35"/>
    </row>
    <row r="3210" spans="8:8" x14ac:dyDescent="0.35">
      <c r="H3210" s="35"/>
    </row>
    <row r="3211" spans="8:8" x14ac:dyDescent="0.35">
      <c r="H3211" s="35"/>
    </row>
    <row r="3212" spans="8:8" x14ac:dyDescent="0.35">
      <c r="H3212" s="35"/>
    </row>
    <row r="3213" spans="8:8" x14ac:dyDescent="0.35">
      <c r="H3213" s="35"/>
    </row>
    <row r="3214" spans="8:8" x14ac:dyDescent="0.35">
      <c r="H3214" s="35"/>
    </row>
    <row r="3215" spans="8:8" x14ac:dyDescent="0.35">
      <c r="H3215" s="35"/>
    </row>
    <row r="3216" spans="8:8" x14ac:dyDescent="0.35">
      <c r="H3216" s="35"/>
    </row>
    <row r="3217" spans="8:8" x14ac:dyDescent="0.35">
      <c r="H3217" s="35"/>
    </row>
    <row r="3218" spans="8:8" x14ac:dyDescent="0.35">
      <c r="H3218" s="35"/>
    </row>
    <row r="3219" spans="8:8" x14ac:dyDescent="0.35">
      <c r="H3219" s="35"/>
    </row>
    <row r="3220" spans="8:8" x14ac:dyDescent="0.35">
      <c r="H3220" s="35"/>
    </row>
    <row r="3221" spans="8:8" x14ac:dyDescent="0.35">
      <c r="H3221" s="35"/>
    </row>
    <row r="3222" spans="8:8" x14ac:dyDescent="0.35">
      <c r="H3222" s="35"/>
    </row>
    <row r="3223" spans="8:8" x14ac:dyDescent="0.35">
      <c r="H3223" s="35"/>
    </row>
    <row r="3224" spans="8:8" x14ac:dyDescent="0.35">
      <c r="H3224" s="35"/>
    </row>
    <row r="3225" spans="8:8" x14ac:dyDescent="0.35">
      <c r="H3225" s="35"/>
    </row>
    <row r="3226" spans="8:8" x14ac:dyDescent="0.35">
      <c r="H3226" s="35"/>
    </row>
    <row r="3227" spans="8:8" x14ac:dyDescent="0.35">
      <c r="H3227" s="35"/>
    </row>
    <row r="3228" spans="8:8" x14ac:dyDescent="0.35">
      <c r="H3228" s="35"/>
    </row>
    <row r="3229" spans="8:8" x14ac:dyDescent="0.35">
      <c r="H3229" s="35"/>
    </row>
    <row r="3230" spans="8:8" x14ac:dyDescent="0.35">
      <c r="H3230" s="35"/>
    </row>
    <row r="3231" spans="8:8" x14ac:dyDescent="0.35">
      <c r="H3231" s="35"/>
    </row>
    <row r="3232" spans="8:8" x14ac:dyDescent="0.35">
      <c r="H3232" s="35"/>
    </row>
    <row r="3233" spans="8:8" x14ac:dyDescent="0.35">
      <c r="H3233" s="35"/>
    </row>
    <row r="3234" spans="8:8" x14ac:dyDescent="0.35">
      <c r="H3234" s="35"/>
    </row>
    <row r="3235" spans="8:8" x14ac:dyDescent="0.35">
      <c r="H3235" s="35"/>
    </row>
    <row r="3236" spans="8:8" x14ac:dyDescent="0.35">
      <c r="H3236" s="35"/>
    </row>
    <row r="3237" spans="8:8" x14ac:dyDescent="0.35">
      <c r="H3237" s="35"/>
    </row>
    <row r="3238" spans="8:8" x14ac:dyDescent="0.35">
      <c r="H3238" s="35"/>
    </row>
    <row r="3239" spans="8:8" x14ac:dyDescent="0.35">
      <c r="H3239" s="35"/>
    </row>
    <row r="3240" spans="8:8" x14ac:dyDescent="0.35">
      <c r="H3240" s="35"/>
    </row>
    <row r="3241" spans="8:8" x14ac:dyDescent="0.35">
      <c r="H3241" s="35"/>
    </row>
    <row r="3242" spans="8:8" x14ac:dyDescent="0.35">
      <c r="H3242" s="35"/>
    </row>
    <row r="3243" spans="8:8" x14ac:dyDescent="0.35">
      <c r="H3243" s="35"/>
    </row>
    <row r="3244" spans="8:8" x14ac:dyDescent="0.35">
      <c r="H3244" s="35"/>
    </row>
    <row r="3245" spans="8:8" x14ac:dyDescent="0.35">
      <c r="H3245" s="35"/>
    </row>
    <row r="3246" spans="8:8" x14ac:dyDescent="0.35">
      <c r="H3246" s="35"/>
    </row>
    <row r="3247" spans="8:8" x14ac:dyDescent="0.35">
      <c r="H3247" s="35"/>
    </row>
    <row r="3248" spans="8:8" x14ac:dyDescent="0.35">
      <c r="H3248" s="35"/>
    </row>
    <row r="3249" spans="8:8" x14ac:dyDescent="0.35">
      <c r="H3249" s="35"/>
    </row>
    <row r="3250" spans="8:8" x14ac:dyDescent="0.35">
      <c r="H3250" s="35"/>
    </row>
    <row r="3251" spans="8:8" x14ac:dyDescent="0.35">
      <c r="H3251" s="35"/>
    </row>
    <row r="3252" spans="8:8" x14ac:dyDescent="0.35">
      <c r="H3252" s="35"/>
    </row>
    <row r="3253" spans="8:8" x14ac:dyDescent="0.35">
      <c r="H3253" s="35"/>
    </row>
    <row r="3254" spans="8:8" x14ac:dyDescent="0.35">
      <c r="H3254" s="35"/>
    </row>
    <row r="3255" spans="8:8" x14ac:dyDescent="0.35">
      <c r="H3255" s="35"/>
    </row>
    <row r="3256" spans="8:8" x14ac:dyDescent="0.35">
      <c r="H3256" s="35"/>
    </row>
    <row r="3257" spans="8:8" x14ac:dyDescent="0.35">
      <c r="H3257" s="35"/>
    </row>
    <row r="3258" spans="8:8" x14ac:dyDescent="0.35">
      <c r="H3258" s="35"/>
    </row>
    <row r="3259" spans="8:8" x14ac:dyDescent="0.35">
      <c r="H3259" s="35"/>
    </row>
    <row r="3260" spans="8:8" x14ac:dyDescent="0.35">
      <c r="H3260" s="35"/>
    </row>
    <row r="3261" spans="8:8" x14ac:dyDescent="0.35">
      <c r="H3261" s="35"/>
    </row>
    <row r="3262" spans="8:8" x14ac:dyDescent="0.35">
      <c r="H3262" s="35"/>
    </row>
    <row r="3263" spans="8:8" x14ac:dyDescent="0.35">
      <c r="H3263" s="35"/>
    </row>
    <row r="3264" spans="8:8" x14ac:dyDescent="0.35">
      <c r="H3264" s="35"/>
    </row>
    <row r="3265" spans="8:8" x14ac:dyDescent="0.35">
      <c r="H3265" s="35"/>
    </row>
    <row r="3266" spans="8:8" x14ac:dyDescent="0.35">
      <c r="H3266" s="35"/>
    </row>
    <row r="3267" spans="8:8" x14ac:dyDescent="0.35">
      <c r="H3267" s="35"/>
    </row>
    <row r="3268" spans="8:8" x14ac:dyDescent="0.35">
      <c r="H3268" s="35"/>
    </row>
    <row r="3269" spans="8:8" x14ac:dyDescent="0.35">
      <c r="H3269" s="35"/>
    </row>
    <row r="3270" spans="8:8" x14ac:dyDescent="0.35">
      <c r="H3270" s="35"/>
    </row>
    <row r="3271" spans="8:8" x14ac:dyDescent="0.35">
      <c r="H3271" s="35"/>
    </row>
    <row r="3272" spans="8:8" x14ac:dyDescent="0.35">
      <c r="H3272" s="35"/>
    </row>
    <row r="3273" spans="8:8" x14ac:dyDescent="0.35">
      <c r="H3273" s="35"/>
    </row>
    <row r="3274" spans="8:8" x14ac:dyDescent="0.35">
      <c r="H3274" s="35"/>
    </row>
    <row r="3275" spans="8:8" x14ac:dyDescent="0.35">
      <c r="H3275" s="35"/>
    </row>
    <row r="3276" spans="8:8" x14ac:dyDescent="0.35">
      <c r="H3276" s="35"/>
    </row>
    <row r="3277" spans="8:8" x14ac:dyDescent="0.35">
      <c r="H3277" s="35"/>
    </row>
    <row r="3278" spans="8:8" x14ac:dyDescent="0.35">
      <c r="H3278" s="35"/>
    </row>
    <row r="3279" spans="8:8" x14ac:dyDescent="0.35">
      <c r="H3279" s="35"/>
    </row>
    <row r="3280" spans="8:8" x14ac:dyDescent="0.35">
      <c r="H3280" s="35"/>
    </row>
    <row r="3281" spans="8:8" x14ac:dyDescent="0.35">
      <c r="H3281" s="35"/>
    </row>
    <row r="3282" spans="8:8" x14ac:dyDescent="0.35">
      <c r="H3282" s="35"/>
    </row>
    <row r="3283" spans="8:8" x14ac:dyDescent="0.35">
      <c r="H3283" s="35"/>
    </row>
    <row r="3284" spans="8:8" x14ac:dyDescent="0.35">
      <c r="H3284" s="35"/>
    </row>
    <row r="3285" spans="8:8" x14ac:dyDescent="0.35">
      <c r="H3285" s="35"/>
    </row>
    <row r="3286" spans="8:8" x14ac:dyDescent="0.35">
      <c r="H3286" s="35"/>
    </row>
    <row r="3287" spans="8:8" x14ac:dyDescent="0.35">
      <c r="H3287" s="35"/>
    </row>
    <row r="3288" spans="8:8" x14ac:dyDescent="0.35">
      <c r="H3288" s="35"/>
    </row>
    <row r="3289" spans="8:8" x14ac:dyDescent="0.35">
      <c r="H3289" s="35"/>
    </row>
    <row r="3290" spans="8:8" x14ac:dyDescent="0.35">
      <c r="H3290" s="35"/>
    </row>
    <row r="3291" spans="8:8" x14ac:dyDescent="0.35">
      <c r="H3291" s="35"/>
    </row>
    <row r="3292" spans="8:8" x14ac:dyDescent="0.35">
      <c r="H3292" s="35"/>
    </row>
    <row r="3293" spans="8:8" x14ac:dyDescent="0.35">
      <c r="H3293" s="35"/>
    </row>
    <row r="3294" spans="8:8" x14ac:dyDescent="0.35">
      <c r="H3294" s="35"/>
    </row>
    <row r="3295" spans="8:8" x14ac:dyDescent="0.35">
      <c r="H3295" s="35"/>
    </row>
    <row r="3296" spans="8:8" x14ac:dyDescent="0.35">
      <c r="H3296" s="35"/>
    </row>
    <row r="3297" spans="8:8" x14ac:dyDescent="0.35">
      <c r="H3297" s="35"/>
    </row>
    <row r="3298" spans="8:8" x14ac:dyDescent="0.35">
      <c r="H3298" s="35"/>
    </row>
    <row r="3299" spans="8:8" x14ac:dyDescent="0.35">
      <c r="H3299" s="35"/>
    </row>
    <row r="3300" spans="8:8" x14ac:dyDescent="0.35">
      <c r="H3300" s="35"/>
    </row>
    <row r="3301" spans="8:8" x14ac:dyDescent="0.35">
      <c r="H3301" s="35"/>
    </row>
    <row r="3302" spans="8:8" x14ac:dyDescent="0.35">
      <c r="H3302" s="35"/>
    </row>
    <row r="3303" spans="8:8" x14ac:dyDescent="0.35">
      <c r="H3303" s="35"/>
    </row>
    <row r="3304" spans="8:8" x14ac:dyDescent="0.35">
      <c r="H3304" s="35"/>
    </row>
    <row r="3305" spans="8:8" x14ac:dyDescent="0.35">
      <c r="H3305" s="35"/>
    </row>
    <row r="3306" spans="8:8" x14ac:dyDescent="0.35">
      <c r="H3306" s="35"/>
    </row>
    <row r="3307" spans="8:8" x14ac:dyDescent="0.35">
      <c r="H3307" s="35"/>
    </row>
    <row r="3308" spans="8:8" x14ac:dyDescent="0.35">
      <c r="H3308" s="35"/>
    </row>
    <row r="3309" spans="8:8" x14ac:dyDescent="0.35">
      <c r="H3309" s="35"/>
    </row>
    <row r="3310" spans="8:8" x14ac:dyDescent="0.35">
      <c r="H3310" s="35"/>
    </row>
    <row r="3311" spans="8:8" x14ac:dyDescent="0.35">
      <c r="H3311" s="35"/>
    </row>
    <row r="3312" spans="8:8" x14ac:dyDescent="0.35">
      <c r="H3312" s="35"/>
    </row>
    <row r="3313" spans="8:8" x14ac:dyDescent="0.35">
      <c r="H3313" s="35"/>
    </row>
    <row r="3314" spans="8:8" x14ac:dyDescent="0.35">
      <c r="H3314" s="35"/>
    </row>
    <row r="3315" spans="8:8" x14ac:dyDescent="0.35">
      <c r="H3315" s="35"/>
    </row>
    <row r="3316" spans="8:8" x14ac:dyDescent="0.35">
      <c r="H3316" s="35"/>
    </row>
    <row r="3317" spans="8:8" x14ac:dyDescent="0.35">
      <c r="H3317" s="35"/>
    </row>
    <row r="3318" spans="8:8" x14ac:dyDescent="0.35">
      <c r="H3318" s="35"/>
    </row>
    <row r="3319" spans="8:8" x14ac:dyDescent="0.35">
      <c r="H3319" s="35"/>
    </row>
    <row r="3320" spans="8:8" x14ac:dyDescent="0.35">
      <c r="H3320" s="35"/>
    </row>
    <row r="3321" spans="8:8" x14ac:dyDescent="0.35">
      <c r="H3321" s="35"/>
    </row>
    <row r="3322" spans="8:8" x14ac:dyDescent="0.35">
      <c r="H3322" s="35"/>
    </row>
    <row r="3323" spans="8:8" x14ac:dyDescent="0.35">
      <c r="H3323" s="35"/>
    </row>
    <row r="3324" spans="8:8" x14ac:dyDescent="0.35">
      <c r="H3324" s="35"/>
    </row>
    <row r="3325" spans="8:8" x14ac:dyDescent="0.35">
      <c r="H3325" s="35"/>
    </row>
    <row r="3326" spans="8:8" x14ac:dyDescent="0.35">
      <c r="H3326" s="35"/>
    </row>
    <row r="3327" spans="8:8" x14ac:dyDescent="0.35">
      <c r="H3327" s="35"/>
    </row>
    <row r="3328" spans="8:8" x14ac:dyDescent="0.35">
      <c r="H3328" s="35"/>
    </row>
    <row r="3329" spans="8:8" x14ac:dyDescent="0.35">
      <c r="H3329" s="35"/>
    </row>
    <row r="3330" spans="8:8" x14ac:dyDescent="0.35">
      <c r="H3330" s="35"/>
    </row>
    <row r="3331" spans="8:8" x14ac:dyDescent="0.35">
      <c r="H3331" s="35"/>
    </row>
    <row r="3332" spans="8:8" x14ac:dyDescent="0.35">
      <c r="H3332" s="35"/>
    </row>
    <row r="3333" spans="8:8" x14ac:dyDescent="0.35">
      <c r="H3333" s="35"/>
    </row>
    <row r="3334" spans="8:8" x14ac:dyDescent="0.35">
      <c r="H3334" s="35"/>
    </row>
    <row r="3335" spans="8:8" x14ac:dyDescent="0.35">
      <c r="H3335" s="35"/>
    </row>
    <row r="3336" spans="8:8" x14ac:dyDescent="0.35">
      <c r="H3336" s="35"/>
    </row>
    <row r="3337" spans="8:8" x14ac:dyDescent="0.35">
      <c r="H3337" s="35"/>
    </row>
    <row r="3338" spans="8:8" x14ac:dyDescent="0.35">
      <c r="H3338" s="35"/>
    </row>
    <row r="3339" spans="8:8" x14ac:dyDescent="0.35">
      <c r="H3339" s="35"/>
    </row>
    <row r="3340" spans="8:8" x14ac:dyDescent="0.35">
      <c r="H3340" s="35"/>
    </row>
    <row r="3341" spans="8:8" x14ac:dyDescent="0.35">
      <c r="H3341" s="35"/>
    </row>
    <row r="3342" spans="8:8" x14ac:dyDescent="0.35">
      <c r="H3342" s="35"/>
    </row>
    <row r="3343" spans="8:8" x14ac:dyDescent="0.35">
      <c r="H3343" s="35"/>
    </row>
    <row r="3344" spans="8:8" x14ac:dyDescent="0.35">
      <c r="H3344" s="35"/>
    </row>
    <row r="3345" spans="8:8" x14ac:dyDescent="0.35">
      <c r="H3345" s="35"/>
    </row>
    <row r="3346" spans="8:8" x14ac:dyDescent="0.35">
      <c r="H3346" s="35"/>
    </row>
    <row r="3347" spans="8:8" x14ac:dyDescent="0.35">
      <c r="H3347" s="35"/>
    </row>
    <row r="3348" spans="8:8" x14ac:dyDescent="0.35">
      <c r="H3348" s="35"/>
    </row>
    <row r="3349" spans="8:8" x14ac:dyDescent="0.35">
      <c r="H3349" s="35"/>
    </row>
    <row r="3350" spans="8:8" x14ac:dyDescent="0.35">
      <c r="H3350" s="35"/>
    </row>
    <row r="3351" spans="8:8" x14ac:dyDescent="0.35">
      <c r="H3351" s="35"/>
    </row>
    <row r="3352" spans="8:8" x14ac:dyDescent="0.35">
      <c r="H3352" s="35"/>
    </row>
    <row r="3353" spans="8:8" x14ac:dyDescent="0.35">
      <c r="H3353" s="35"/>
    </row>
    <row r="3354" spans="8:8" x14ac:dyDescent="0.35">
      <c r="H3354" s="35"/>
    </row>
    <row r="3355" spans="8:8" x14ac:dyDescent="0.35">
      <c r="H3355" s="35"/>
    </row>
    <row r="3356" spans="8:8" x14ac:dyDescent="0.35">
      <c r="H3356" s="35"/>
    </row>
    <row r="3357" spans="8:8" x14ac:dyDescent="0.35">
      <c r="H3357" s="35"/>
    </row>
    <row r="3358" spans="8:8" x14ac:dyDescent="0.35">
      <c r="H3358" s="35"/>
    </row>
    <row r="3359" spans="8:8" x14ac:dyDescent="0.35">
      <c r="H3359" s="35"/>
    </row>
    <row r="3360" spans="8:8" x14ac:dyDescent="0.35">
      <c r="H3360" s="35"/>
    </row>
    <row r="3361" spans="8:8" x14ac:dyDescent="0.35">
      <c r="H3361" s="35"/>
    </row>
    <row r="3362" spans="8:8" x14ac:dyDescent="0.35">
      <c r="H3362" s="35"/>
    </row>
    <row r="3363" spans="8:8" x14ac:dyDescent="0.35">
      <c r="H3363" s="35"/>
    </row>
    <row r="3364" spans="8:8" x14ac:dyDescent="0.35">
      <c r="H3364" s="35"/>
    </row>
    <row r="3365" spans="8:8" x14ac:dyDescent="0.35">
      <c r="H3365" s="35"/>
    </row>
    <row r="3366" spans="8:8" x14ac:dyDescent="0.35">
      <c r="H3366" s="35"/>
    </row>
    <row r="3367" spans="8:8" x14ac:dyDescent="0.35">
      <c r="H3367" s="35"/>
    </row>
    <row r="3368" spans="8:8" x14ac:dyDescent="0.35">
      <c r="H3368" s="35"/>
    </row>
    <row r="3369" spans="8:8" x14ac:dyDescent="0.35">
      <c r="H3369" s="35"/>
    </row>
    <row r="3370" spans="8:8" x14ac:dyDescent="0.35">
      <c r="H3370" s="35"/>
    </row>
    <row r="3371" spans="8:8" x14ac:dyDescent="0.35">
      <c r="H3371" s="35"/>
    </row>
    <row r="3372" spans="8:8" x14ac:dyDescent="0.35">
      <c r="H3372" s="35"/>
    </row>
    <row r="3373" spans="8:8" x14ac:dyDescent="0.35">
      <c r="H3373" s="35"/>
    </row>
    <row r="3374" spans="8:8" x14ac:dyDescent="0.35">
      <c r="H3374" s="35"/>
    </row>
    <row r="3375" spans="8:8" x14ac:dyDescent="0.35">
      <c r="H3375" s="35"/>
    </row>
    <row r="3376" spans="8:8" x14ac:dyDescent="0.35">
      <c r="H3376" s="35"/>
    </row>
    <row r="3377" spans="8:8" x14ac:dyDescent="0.35">
      <c r="H3377" s="35"/>
    </row>
    <row r="3378" spans="8:8" x14ac:dyDescent="0.35">
      <c r="H3378" s="35"/>
    </row>
    <row r="3379" spans="8:8" x14ac:dyDescent="0.35">
      <c r="H3379" s="35"/>
    </row>
    <row r="3380" spans="8:8" x14ac:dyDescent="0.35">
      <c r="H3380" s="35"/>
    </row>
    <row r="3381" spans="8:8" x14ac:dyDescent="0.35">
      <c r="H3381" s="35"/>
    </row>
    <row r="3382" spans="8:8" x14ac:dyDescent="0.35">
      <c r="H3382" s="35"/>
    </row>
    <row r="3383" spans="8:8" x14ac:dyDescent="0.35">
      <c r="H3383" s="35"/>
    </row>
    <row r="3384" spans="8:8" x14ac:dyDescent="0.35">
      <c r="H3384" s="35"/>
    </row>
    <row r="3385" spans="8:8" x14ac:dyDescent="0.35">
      <c r="H3385" s="35"/>
    </row>
    <row r="3386" spans="8:8" x14ac:dyDescent="0.35">
      <c r="H3386" s="35"/>
    </row>
    <row r="3387" spans="8:8" x14ac:dyDescent="0.35">
      <c r="H3387" s="35"/>
    </row>
    <row r="3388" spans="8:8" x14ac:dyDescent="0.35">
      <c r="H3388" s="35"/>
    </row>
    <row r="3389" spans="8:8" x14ac:dyDescent="0.35">
      <c r="H3389" s="35"/>
    </row>
    <row r="3390" spans="8:8" x14ac:dyDescent="0.35">
      <c r="H3390" s="35"/>
    </row>
    <row r="3391" spans="8:8" x14ac:dyDescent="0.35">
      <c r="H3391" s="35"/>
    </row>
    <row r="3392" spans="8:8" x14ac:dyDescent="0.35">
      <c r="H3392" s="35"/>
    </row>
    <row r="3393" spans="8:8" x14ac:dyDescent="0.35">
      <c r="H3393" s="35"/>
    </row>
    <row r="3394" spans="8:8" x14ac:dyDescent="0.35">
      <c r="H3394" s="35"/>
    </row>
    <row r="3395" spans="8:8" x14ac:dyDescent="0.35">
      <c r="H3395" s="35"/>
    </row>
    <row r="3396" spans="8:8" x14ac:dyDescent="0.35">
      <c r="H3396" s="35"/>
    </row>
    <row r="3397" spans="8:8" x14ac:dyDescent="0.35">
      <c r="H3397" s="35"/>
    </row>
    <row r="3398" spans="8:8" x14ac:dyDescent="0.35">
      <c r="H3398" s="35"/>
    </row>
    <row r="3399" spans="8:8" x14ac:dyDescent="0.35">
      <c r="H3399" s="35"/>
    </row>
    <row r="3400" spans="8:8" x14ac:dyDescent="0.35">
      <c r="H3400" s="35"/>
    </row>
    <row r="3401" spans="8:8" x14ac:dyDescent="0.35">
      <c r="H3401" s="35"/>
    </row>
    <row r="3402" spans="8:8" x14ac:dyDescent="0.35">
      <c r="H3402" s="35"/>
    </row>
    <row r="3403" spans="8:8" x14ac:dyDescent="0.35">
      <c r="H3403" s="35"/>
    </row>
    <row r="3404" spans="8:8" x14ac:dyDescent="0.35">
      <c r="H3404" s="35"/>
    </row>
    <row r="3405" spans="8:8" x14ac:dyDescent="0.35">
      <c r="H3405" s="35"/>
    </row>
    <row r="3406" spans="8:8" x14ac:dyDescent="0.35">
      <c r="H3406" s="35"/>
    </row>
    <row r="3407" spans="8:8" x14ac:dyDescent="0.35">
      <c r="H3407" s="35"/>
    </row>
    <row r="3408" spans="8:8" x14ac:dyDescent="0.35">
      <c r="H3408" s="35"/>
    </row>
    <row r="3409" spans="8:8" x14ac:dyDescent="0.35">
      <c r="H3409" s="35"/>
    </row>
    <row r="3410" spans="8:8" x14ac:dyDescent="0.35">
      <c r="H3410" s="35"/>
    </row>
    <row r="3411" spans="8:8" x14ac:dyDescent="0.35">
      <c r="H3411" s="35"/>
    </row>
    <row r="3412" spans="8:8" x14ac:dyDescent="0.35">
      <c r="H3412" s="35"/>
    </row>
    <row r="3413" spans="8:8" x14ac:dyDescent="0.35">
      <c r="H3413" s="35"/>
    </row>
    <row r="3414" spans="8:8" x14ac:dyDescent="0.35">
      <c r="H3414" s="35"/>
    </row>
    <row r="3415" spans="8:8" x14ac:dyDescent="0.35">
      <c r="H3415" s="35"/>
    </row>
    <row r="3416" spans="8:8" x14ac:dyDescent="0.35">
      <c r="H3416" s="35"/>
    </row>
    <row r="3417" spans="8:8" x14ac:dyDescent="0.35">
      <c r="H3417" s="35"/>
    </row>
    <row r="3418" spans="8:8" x14ac:dyDescent="0.35">
      <c r="H3418" s="35"/>
    </row>
    <row r="3419" spans="8:8" x14ac:dyDescent="0.35">
      <c r="H3419" s="35"/>
    </row>
    <row r="3420" spans="8:8" x14ac:dyDescent="0.35">
      <c r="H3420" s="35"/>
    </row>
    <row r="3421" spans="8:8" x14ac:dyDescent="0.35">
      <c r="H3421" s="35"/>
    </row>
    <row r="3422" spans="8:8" x14ac:dyDescent="0.35">
      <c r="H3422" s="35"/>
    </row>
    <row r="3423" spans="8:8" x14ac:dyDescent="0.35">
      <c r="H3423" s="35"/>
    </row>
    <row r="3424" spans="8:8" x14ac:dyDescent="0.35">
      <c r="H3424" s="35"/>
    </row>
    <row r="3425" spans="8:8" x14ac:dyDescent="0.35">
      <c r="H3425" s="35"/>
    </row>
    <row r="3426" spans="8:8" x14ac:dyDescent="0.35">
      <c r="H3426" s="35"/>
    </row>
    <row r="3427" spans="8:8" x14ac:dyDescent="0.35">
      <c r="H3427" s="35"/>
    </row>
    <row r="3428" spans="8:8" x14ac:dyDescent="0.35">
      <c r="H3428" s="35"/>
    </row>
    <row r="3429" spans="8:8" x14ac:dyDescent="0.35">
      <c r="H3429" s="35"/>
    </row>
    <row r="3430" spans="8:8" x14ac:dyDescent="0.35">
      <c r="H3430" s="35"/>
    </row>
    <row r="3431" spans="8:8" x14ac:dyDescent="0.35">
      <c r="H3431" s="35"/>
    </row>
    <row r="3432" spans="8:8" x14ac:dyDescent="0.35">
      <c r="H3432" s="35"/>
    </row>
    <row r="3433" spans="8:8" x14ac:dyDescent="0.35">
      <c r="H3433" s="35"/>
    </row>
    <row r="3434" spans="8:8" x14ac:dyDescent="0.35">
      <c r="H3434" s="35"/>
    </row>
    <row r="3435" spans="8:8" x14ac:dyDescent="0.35">
      <c r="H3435" s="35"/>
    </row>
    <row r="3436" spans="8:8" x14ac:dyDescent="0.35">
      <c r="H3436" s="35"/>
    </row>
    <row r="3437" spans="8:8" x14ac:dyDescent="0.35">
      <c r="H3437" s="35"/>
    </row>
    <row r="3438" spans="8:8" x14ac:dyDescent="0.35">
      <c r="H3438" s="35"/>
    </row>
    <row r="3439" spans="8:8" x14ac:dyDescent="0.35">
      <c r="H3439" s="35"/>
    </row>
    <row r="3440" spans="8:8" x14ac:dyDescent="0.35">
      <c r="H3440" s="35"/>
    </row>
    <row r="3441" spans="8:8" x14ac:dyDescent="0.35">
      <c r="H3441" s="35"/>
    </row>
    <row r="3442" spans="8:8" x14ac:dyDescent="0.35">
      <c r="H3442" s="35"/>
    </row>
    <row r="3443" spans="8:8" x14ac:dyDescent="0.35">
      <c r="H3443" s="35"/>
    </row>
    <row r="3444" spans="8:8" x14ac:dyDescent="0.35">
      <c r="H3444" s="35"/>
    </row>
    <row r="3445" spans="8:8" x14ac:dyDescent="0.35">
      <c r="H3445" s="35"/>
    </row>
    <row r="3446" spans="8:8" x14ac:dyDescent="0.35">
      <c r="H3446" s="35"/>
    </row>
    <row r="3447" spans="8:8" x14ac:dyDescent="0.35">
      <c r="H3447" s="35"/>
    </row>
    <row r="3448" spans="8:8" x14ac:dyDescent="0.35">
      <c r="H3448" s="35"/>
    </row>
    <row r="3449" spans="8:8" x14ac:dyDescent="0.35">
      <c r="H3449" s="35"/>
    </row>
    <row r="3450" spans="8:8" x14ac:dyDescent="0.35">
      <c r="H3450" s="35"/>
    </row>
    <row r="3451" spans="8:8" x14ac:dyDescent="0.35">
      <c r="H3451" s="35"/>
    </row>
    <row r="3452" spans="8:8" x14ac:dyDescent="0.35">
      <c r="H3452" s="35"/>
    </row>
    <row r="3453" spans="8:8" x14ac:dyDescent="0.35">
      <c r="H3453" s="35"/>
    </row>
    <row r="3454" spans="8:8" x14ac:dyDescent="0.35">
      <c r="H3454" s="35"/>
    </row>
    <row r="3455" spans="8:8" x14ac:dyDescent="0.35">
      <c r="H3455" s="35"/>
    </row>
    <row r="3456" spans="8:8" x14ac:dyDescent="0.35">
      <c r="H3456" s="35"/>
    </row>
    <row r="3457" spans="8:8" x14ac:dyDescent="0.35">
      <c r="H3457" s="35"/>
    </row>
    <row r="3458" spans="8:8" x14ac:dyDescent="0.35">
      <c r="H3458" s="35"/>
    </row>
    <row r="3459" spans="8:8" x14ac:dyDescent="0.35">
      <c r="H3459" s="35"/>
    </row>
    <row r="3460" spans="8:8" x14ac:dyDescent="0.35">
      <c r="H3460" s="35"/>
    </row>
    <row r="3461" spans="8:8" x14ac:dyDescent="0.35">
      <c r="H3461" s="35"/>
    </row>
    <row r="3462" spans="8:8" x14ac:dyDescent="0.35">
      <c r="H3462" s="35"/>
    </row>
    <row r="3463" spans="8:8" x14ac:dyDescent="0.35">
      <c r="H3463" s="35"/>
    </row>
    <row r="3464" spans="8:8" x14ac:dyDescent="0.35">
      <c r="H3464" s="35"/>
    </row>
    <row r="3465" spans="8:8" x14ac:dyDescent="0.35">
      <c r="H3465" s="35"/>
    </row>
    <row r="3466" spans="8:8" x14ac:dyDescent="0.35">
      <c r="H3466" s="35"/>
    </row>
    <row r="3467" spans="8:8" x14ac:dyDescent="0.35">
      <c r="H3467" s="35"/>
    </row>
    <row r="3468" spans="8:8" x14ac:dyDescent="0.35">
      <c r="H3468" s="35"/>
    </row>
    <row r="3469" spans="8:8" x14ac:dyDescent="0.35">
      <c r="H3469" s="35"/>
    </row>
    <row r="3470" spans="8:8" x14ac:dyDescent="0.35">
      <c r="H3470" s="35"/>
    </row>
    <row r="3471" spans="8:8" x14ac:dyDescent="0.35">
      <c r="H3471" s="35"/>
    </row>
    <row r="3472" spans="8:8" x14ac:dyDescent="0.35">
      <c r="H3472" s="35"/>
    </row>
    <row r="3473" spans="8:8" x14ac:dyDescent="0.35">
      <c r="H3473" s="35"/>
    </row>
    <row r="3474" spans="8:8" x14ac:dyDescent="0.35">
      <c r="H3474" s="35"/>
    </row>
    <row r="3475" spans="8:8" x14ac:dyDescent="0.35">
      <c r="H3475" s="35"/>
    </row>
    <row r="3476" spans="8:8" x14ac:dyDescent="0.35">
      <c r="H3476" s="35"/>
    </row>
    <row r="3477" spans="8:8" x14ac:dyDescent="0.35">
      <c r="H3477" s="35"/>
    </row>
    <row r="3478" spans="8:8" x14ac:dyDescent="0.35">
      <c r="H3478" s="35"/>
    </row>
    <row r="3479" spans="8:8" x14ac:dyDescent="0.35">
      <c r="H3479" s="35"/>
    </row>
    <row r="3480" spans="8:8" x14ac:dyDescent="0.35">
      <c r="H3480" s="35"/>
    </row>
    <row r="3481" spans="8:8" x14ac:dyDescent="0.35">
      <c r="H3481" s="35"/>
    </row>
    <row r="3482" spans="8:8" x14ac:dyDescent="0.35">
      <c r="H3482" s="35"/>
    </row>
    <row r="3483" spans="8:8" x14ac:dyDescent="0.35">
      <c r="H3483" s="35"/>
    </row>
    <row r="3484" spans="8:8" x14ac:dyDescent="0.35">
      <c r="H3484" s="35"/>
    </row>
    <row r="3485" spans="8:8" x14ac:dyDescent="0.35">
      <c r="H3485" s="35"/>
    </row>
    <row r="3486" spans="8:8" x14ac:dyDescent="0.35">
      <c r="H3486" s="35"/>
    </row>
    <row r="3487" spans="8:8" x14ac:dyDescent="0.35">
      <c r="H3487" s="35"/>
    </row>
    <row r="3488" spans="8:8" x14ac:dyDescent="0.35">
      <c r="H3488" s="35"/>
    </row>
    <row r="3489" spans="8:8" x14ac:dyDescent="0.35">
      <c r="H3489" s="35"/>
    </row>
    <row r="3490" spans="8:8" x14ac:dyDescent="0.35">
      <c r="H3490" s="35"/>
    </row>
    <row r="3491" spans="8:8" x14ac:dyDescent="0.35">
      <c r="H3491" s="35"/>
    </row>
    <row r="3492" spans="8:8" x14ac:dyDescent="0.35">
      <c r="H3492" s="35"/>
    </row>
    <row r="3493" spans="8:8" x14ac:dyDescent="0.35">
      <c r="H3493" s="35"/>
    </row>
    <row r="3494" spans="8:8" x14ac:dyDescent="0.35">
      <c r="H3494" s="35"/>
    </row>
    <row r="3495" spans="8:8" x14ac:dyDescent="0.35">
      <c r="H3495" s="35"/>
    </row>
    <row r="3496" spans="8:8" x14ac:dyDescent="0.35">
      <c r="H3496" s="35"/>
    </row>
    <row r="3497" spans="8:8" x14ac:dyDescent="0.35">
      <c r="H3497" s="35"/>
    </row>
    <row r="3498" spans="8:8" x14ac:dyDescent="0.35">
      <c r="H3498" s="35"/>
    </row>
    <row r="3499" spans="8:8" x14ac:dyDescent="0.35">
      <c r="H3499" s="35"/>
    </row>
    <row r="3500" spans="8:8" x14ac:dyDescent="0.35">
      <c r="H3500" s="35"/>
    </row>
    <row r="3501" spans="8:8" x14ac:dyDescent="0.35">
      <c r="H3501" s="35"/>
    </row>
    <row r="3502" spans="8:8" x14ac:dyDescent="0.35">
      <c r="H3502" s="35"/>
    </row>
    <row r="3503" spans="8:8" x14ac:dyDescent="0.35">
      <c r="H3503" s="35"/>
    </row>
    <row r="3504" spans="8:8" x14ac:dyDescent="0.35">
      <c r="H3504" s="35"/>
    </row>
    <row r="3505" spans="8:8" x14ac:dyDescent="0.35">
      <c r="H3505" s="35"/>
    </row>
    <row r="3506" spans="8:8" x14ac:dyDescent="0.35">
      <c r="H3506" s="35"/>
    </row>
    <row r="3507" spans="8:8" x14ac:dyDescent="0.35">
      <c r="H3507" s="35"/>
    </row>
    <row r="3508" spans="8:8" x14ac:dyDescent="0.35">
      <c r="H3508" s="35"/>
    </row>
    <row r="3509" spans="8:8" x14ac:dyDescent="0.35">
      <c r="H3509" s="35"/>
    </row>
    <row r="3510" spans="8:8" x14ac:dyDescent="0.35">
      <c r="H3510" s="35"/>
    </row>
    <row r="3511" spans="8:8" x14ac:dyDescent="0.35">
      <c r="H3511" s="35"/>
    </row>
    <row r="3512" spans="8:8" x14ac:dyDescent="0.35">
      <c r="H3512" s="35"/>
    </row>
    <row r="3513" spans="8:8" x14ac:dyDescent="0.35">
      <c r="H3513" s="35"/>
    </row>
    <row r="3514" spans="8:8" x14ac:dyDescent="0.35">
      <c r="H3514" s="35"/>
    </row>
    <row r="3515" spans="8:8" x14ac:dyDescent="0.35">
      <c r="H3515" s="35"/>
    </row>
    <row r="3516" spans="8:8" x14ac:dyDescent="0.35">
      <c r="H3516" s="35"/>
    </row>
    <row r="3517" spans="8:8" x14ac:dyDescent="0.35">
      <c r="H3517" s="35"/>
    </row>
    <row r="3518" spans="8:8" x14ac:dyDescent="0.35">
      <c r="H3518" s="35"/>
    </row>
    <row r="3519" spans="8:8" x14ac:dyDescent="0.35">
      <c r="H3519" s="35"/>
    </row>
    <row r="3520" spans="8:8" x14ac:dyDescent="0.35">
      <c r="H3520" s="35"/>
    </row>
    <row r="3521" spans="8:8" x14ac:dyDescent="0.35">
      <c r="H3521" s="35"/>
    </row>
    <row r="3522" spans="8:8" x14ac:dyDescent="0.35">
      <c r="H3522" s="35"/>
    </row>
    <row r="3523" spans="8:8" x14ac:dyDescent="0.35">
      <c r="H3523" s="35"/>
    </row>
    <row r="3524" spans="8:8" x14ac:dyDescent="0.35">
      <c r="H3524" s="35"/>
    </row>
    <row r="3525" spans="8:8" x14ac:dyDescent="0.35">
      <c r="H3525" s="35"/>
    </row>
    <row r="3526" spans="8:8" x14ac:dyDescent="0.35">
      <c r="H3526" s="35"/>
    </row>
    <row r="3527" spans="8:8" x14ac:dyDescent="0.35">
      <c r="H3527" s="35"/>
    </row>
    <row r="3528" spans="8:8" x14ac:dyDescent="0.35">
      <c r="H3528" s="35"/>
    </row>
    <row r="3529" spans="8:8" x14ac:dyDescent="0.35">
      <c r="H3529" s="35"/>
    </row>
    <row r="3530" spans="8:8" x14ac:dyDescent="0.35">
      <c r="H3530" s="35"/>
    </row>
    <row r="3531" spans="8:8" x14ac:dyDescent="0.35">
      <c r="H3531" s="35"/>
    </row>
    <row r="3532" spans="8:8" x14ac:dyDescent="0.35">
      <c r="H3532" s="35"/>
    </row>
    <row r="3533" spans="8:8" x14ac:dyDescent="0.35">
      <c r="H3533" s="35"/>
    </row>
    <row r="3534" spans="8:8" x14ac:dyDescent="0.35">
      <c r="H3534" s="35"/>
    </row>
    <row r="3535" spans="8:8" x14ac:dyDescent="0.35">
      <c r="H3535" s="35"/>
    </row>
    <row r="3536" spans="8:8" x14ac:dyDescent="0.35">
      <c r="H3536" s="35"/>
    </row>
    <row r="3537" spans="8:8" x14ac:dyDescent="0.35">
      <c r="H3537" s="35"/>
    </row>
    <row r="3538" spans="8:8" x14ac:dyDescent="0.35">
      <c r="H3538" s="35"/>
    </row>
    <row r="3539" spans="8:8" x14ac:dyDescent="0.35">
      <c r="H3539" s="35"/>
    </row>
    <row r="3540" spans="8:8" x14ac:dyDescent="0.35">
      <c r="H3540" s="35"/>
    </row>
    <row r="3541" spans="8:8" x14ac:dyDescent="0.35">
      <c r="H3541" s="35"/>
    </row>
    <row r="3542" spans="8:8" x14ac:dyDescent="0.35">
      <c r="H3542" s="35"/>
    </row>
    <row r="3543" spans="8:8" x14ac:dyDescent="0.35">
      <c r="H3543" s="35"/>
    </row>
    <row r="3544" spans="8:8" x14ac:dyDescent="0.35">
      <c r="H3544" s="35"/>
    </row>
    <row r="3545" spans="8:8" x14ac:dyDescent="0.35">
      <c r="H3545" s="35"/>
    </row>
    <row r="3546" spans="8:8" x14ac:dyDescent="0.35">
      <c r="H3546" s="35"/>
    </row>
    <row r="3547" spans="8:8" x14ac:dyDescent="0.35">
      <c r="H3547" s="35"/>
    </row>
    <row r="3548" spans="8:8" x14ac:dyDescent="0.35">
      <c r="H3548" s="35"/>
    </row>
    <row r="3549" spans="8:8" x14ac:dyDescent="0.35">
      <c r="H3549" s="35"/>
    </row>
    <row r="3550" spans="8:8" x14ac:dyDescent="0.35">
      <c r="H3550" s="35"/>
    </row>
    <row r="3551" spans="8:8" x14ac:dyDescent="0.35">
      <c r="H3551" s="35"/>
    </row>
    <row r="3552" spans="8:8" x14ac:dyDescent="0.35">
      <c r="H3552" s="35"/>
    </row>
    <row r="3553" spans="8:8" x14ac:dyDescent="0.35">
      <c r="H3553" s="35"/>
    </row>
    <row r="3554" spans="8:8" x14ac:dyDescent="0.35">
      <c r="H3554" s="35"/>
    </row>
    <row r="3555" spans="8:8" x14ac:dyDescent="0.35">
      <c r="H3555" s="35"/>
    </row>
    <row r="3556" spans="8:8" x14ac:dyDescent="0.35">
      <c r="H3556" s="35"/>
    </row>
    <row r="3557" spans="8:8" x14ac:dyDescent="0.35">
      <c r="H3557" s="35"/>
    </row>
    <row r="3558" spans="8:8" x14ac:dyDescent="0.35">
      <c r="H3558" s="35"/>
    </row>
    <row r="3559" spans="8:8" x14ac:dyDescent="0.35">
      <c r="H3559" s="35"/>
    </row>
    <row r="3560" spans="8:8" x14ac:dyDescent="0.35">
      <c r="H3560" s="35"/>
    </row>
    <row r="3561" spans="8:8" x14ac:dyDescent="0.35">
      <c r="H3561" s="35"/>
    </row>
    <row r="3562" spans="8:8" x14ac:dyDescent="0.35">
      <c r="H3562" s="35"/>
    </row>
    <row r="3563" spans="8:8" x14ac:dyDescent="0.35">
      <c r="H3563" s="35"/>
    </row>
    <row r="3564" spans="8:8" x14ac:dyDescent="0.35">
      <c r="H3564" s="35"/>
    </row>
    <row r="3565" spans="8:8" x14ac:dyDescent="0.35">
      <c r="H3565" s="35"/>
    </row>
    <row r="3566" spans="8:8" x14ac:dyDescent="0.35">
      <c r="H3566" s="35"/>
    </row>
    <row r="3567" spans="8:8" x14ac:dyDescent="0.35">
      <c r="H3567" s="35"/>
    </row>
    <row r="3568" spans="8:8" x14ac:dyDescent="0.35">
      <c r="H3568" s="35"/>
    </row>
    <row r="3569" spans="8:8" x14ac:dyDescent="0.35">
      <c r="H3569" s="35"/>
    </row>
    <row r="3570" spans="8:8" x14ac:dyDescent="0.35">
      <c r="H3570" s="35"/>
    </row>
    <row r="3571" spans="8:8" x14ac:dyDescent="0.35">
      <c r="H3571" s="35"/>
    </row>
    <row r="3572" spans="8:8" x14ac:dyDescent="0.35">
      <c r="H3572" s="35"/>
    </row>
    <row r="3573" spans="8:8" x14ac:dyDescent="0.35">
      <c r="H3573" s="35"/>
    </row>
    <row r="3574" spans="8:8" x14ac:dyDescent="0.35">
      <c r="H3574" s="35"/>
    </row>
    <row r="3575" spans="8:8" x14ac:dyDescent="0.35">
      <c r="H3575" s="35"/>
    </row>
    <row r="3576" spans="8:8" x14ac:dyDescent="0.35">
      <c r="H3576" s="35"/>
    </row>
    <row r="3577" spans="8:8" x14ac:dyDescent="0.35">
      <c r="H3577" s="35"/>
    </row>
    <row r="3578" spans="8:8" x14ac:dyDescent="0.35">
      <c r="H3578" s="35"/>
    </row>
    <row r="3579" spans="8:8" x14ac:dyDescent="0.35">
      <c r="H3579" s="35"/>
    </row>
    <row r="3580" spans="8:8" x14ac:dyDescent="0.35">
      <c r="H3580" s="35"/>
    </row>
    <row r="3581" spans="8:8" x14ac:dyDescent="0.35">
      <c r="H3581" s="35"/>
    </row>
    <row r="3582" spans="8:8" x14ac:dyDescent="0.35">
      <c r="H3582" s="35"/>
    </row>
    <row r="3583" spans="8:8" x14ac:dyDescent="0.35">
      <c r="H3583" s="35"/>
    </row>
    <row r="3584" spans="8:8" x14ac:dyDescent="0.35">
      <c r="H3584" s="35"/>
    </row>
    <row r="3585" spans="8:8" x14ac:dyDescent="0.35">
      <c r="H3585" s="35"/>
    </row>
    <row r="3586" spans="8:8" x14ac:dyDescent="0.35">
      <c r="H3586" s="35"/>
    </row>
    <row r="3587" spans="8:8" x14ac:dyDescent="0.35">
      <c r="H3587" s="35"/>
    </row>
    <row r="3588" spans="8:8" x14ac:dyDescent="0.35">
      <c r="H3588" s="35"/>
    </row>
    <row r="3589" spans="8:8" x14ac:dyDescent="0.35">
      <c r="H3589" s="35"/>
    </row>
    <row r="3590" spans="8:8" x14ac:dyDescent="0.35">
      <c r="H3590" s="35"/>
    </row>
    <row r="3591" spans="8:8" x14ac:dyDescent="0.35">
      <c r="H3591" s="35"/>
    </row>
    <row r="3592" spans="8:8" x14ac:dyDescent="0.35">
      <c r="H3592" s="35"/>
    </row>
    <row r="3593" spans="8:8" x14ac:dyDescent="0.35">
      <c r="H3593" s="35"/>
    </row>
    <row r="3594" spans="8:8" x14ac:dyDescent="0.35">
      <c r="H3594" s="35"/>
    </row>
    <row r="3595" spans="8:8" x14ac:dyDescent="0.35">
      <c r="H3595" s="35"/>
    </row>
    <row r="3596" spans="8:8" x14ac:dyDescent="0.35">
      <c r="H3596" s="35"/>
    </row>
    <row r="3597" spans="8:8" x14ac:dyDescent="0.35">
      <c r="H3597" s="35"/>
    </row>
    <row r="3598" spans="8:8" x14ac:dyDescent="0.35">
      <c r="H3598" s="35"/>
    </row>
    <row r="3599" spans="8:8" x14ac:dyDescent="0.35">
      <c r="H3599" s="35"/>
    </row>
    <row r="3600" spans="8:8" x14ac:dyDescent="0.35">
      <c r="H3600" s="35"/>
    </row>
    <row r="3601" spans="8:8" x14ac:dyDescent="0.35">
      <c r="H3601" s="35"/>
    </row>
    <row r="3602" spans="8:8" x14ac:dyDescent="0.35">
      <c r="H3602" s="35"/>
    </row>
    <row r="3603" spans="8:8" x14ac:dyDescent="0.35">
      <c r="H3603" s="35"/>
    </row>
    <row r="3604" spans="8:8" x14ac:dyDescent="0.35">
      <c r="H3604" s="35"/>
    </row>
    <row r="3605" spans="8:8" x14ac:dyDescent="0.35">
      <c r="H3605" s="35"/>
    </row>
    <row r="3606" spans="8:8" x14ac:dyDescent="0.35">
      <c r="H3606" s="35"/>
    </row>
    <row r="3607" spans="8:8" x14ac:dyDescent="0.35">
      <c r="H3607" s="35"/>
    </row>
    <row r="3608" spans="8:8" x14ac:dyDescent="0.35">
      <c r="H3608" s="35"/>
    </row>
    <row r="3609" spans="8:8" x14ac:dyDescent="0.35">
      <c r="H3609" s="35"/>
    </row>
    <row r="3610" spans="8:8" x14ac:dyDescent="0.35">
      <c r="H3610" s="35"/>
    </row>
    <row r="3611" spans="8:8" x14ac:dyDescent="0.35">
      <c r="H3611" s="35"/>
    </row>
    <row r="3612" spans="8:8" x14ac:dyDescent="0.35">
      <c r="H3612" s="35"/>
    </row>
    <row r="3613" spans="8:8" x14ac:dyDescent="0.35">
      <c r="H3613" s="35"/>
    </row>
    <row r="3614" spans="8:8" x14ac:dyDescent="0.35">
      <c r="H3614" s="35"/>
    </row>
    <row r="3615" spans="8:8" x14ac:dyDescent="0.35">
      <c r="H3615" s="35"/>
    </row>
    <row r="3616" spans="8:8" x14ac:dyDescent="0.35">
      <c r="H3616" s="35"/>
    </row>
    <row r="3617" spans="8:8" x14ac:dyDescent="0.35">
      <c r="H3617" s="35"/>
    </row>
    <row r="3618" spans="8:8" x14ac:dyDescent="0.35">
      <c r="H3618" s="35"/>
    </row>
    <row r="3619" spans="8:8" x14ac:dyDescent="0.35">
      <c r="H3619" s="35"/>
    </row>
    <row r="3620" spans="8:8" x14ac:dyDescent="0.35">
      <c r="H3620" s="35"/>
    </row>
    <row r="3621" spans="8:8" x14ac:dyDescent="0.35">
      <c r="H3621" s="35"/>
    </row>
    <row r="3622" spans="8:8" x14ac:dyDescent="0.35">
      <c r="H3622" s="35"/>
    </row>
    <row r="3623" spans="8:8" x14ac:dyDescent="0.35">
      <c r="H3623" s="35"/>
    </row>
    <row r="3624" spans="8:8" x14ac:dyDescent="0.35">
      <c r="H3624" s="35"/>
    </row>
    <row r="3625" spans="8:8" x14ac:dyDescent="0.35">
      <c r="H3625" s="35"/>
    </row>
    <row r="3626" spans="8:8" x14ac:dyDescent="0.35">
      <c r="H3626" s="35"/>
    </row>
    <row r="3627" spans="8:8" x14ac:dyDescent="0.35">
      <c r="H3627" s="35"/>
    </row>
    <row r="3628" spans="8:8" x14ac:dyDescent="0.35">
      <c r="H3628" s="35"/>
    </row>
    <row r="3629" spans="8:8" x14ac:dyDescent="0.35">
      <c r="H3629" s="35"/>
    </row>
    <row r="3630" spans="8:8" x14ac:dyDescent="0.35">
      <c r="H3630" s="35"/>
    </row>
    <row r="3631" spans="8:8" x14ac:dyDescent="0.35">
      <c r="H3631" s="35"/>
    </row>
    <row r="3632" spans="8:8" x14ac:dyDescent="0.35">
      <c r="H3632" s="35"/>
    </row>
    <row r="3633" spans="8:8" x14ac:dyDescent="0.35">
      <c r="H3633" s="35"/>
    </row>
    <row r="3634" spans="8:8" x14ac:dyDescent="0.35">
      <c r="H3634" s="35"/>
    </row>
    <row r="3635" spans="8:8" x14ac:dyDescent="0.35">
      <c r="H3635" s="35"/>
    </row>
    <row r="3636" spans="8:8" x14ac:dyDescent="0.35">
      <c r="H3636" s="35"/>
    </row>
    <row r="3637" spans="8:8" x14ac:dyDescent="0.35">
      <c r="H3637" s="35"/>
    </row>
    <row r="3638" spans="8:8" x14ac:dyDescent="0.35">
      <c r="H3638" s="35"/>
    </row>
    <row r="3639" spans="8:8" x14ac:dyDescent="0.35">
      <c r="H3639" s="35"/>
    </row>
    <row r="3640" spans="8:8" x14ac:dyDescent="0.35">
      <c r="H3640" s="35"/>
    </row>
    <row r="3641" spans="8:8" x14ac:dyDescent="0.35">
      <c r="H3641" s="35"/>
    </row>
    <row r="3642" spans="8:8" x14ac:dyDescent="0.35">
      <c r="H3642" s="35"/>
    </row>
    <row r="3643" spans="8:8" x14ac:dyDescent="0.35">
      <c r="H3643" s="35"/>
    </row>
    <row r="3644" spans="8:8" x14ac:dyDescent="0.35">
      <c r="H3644" s="35"/>
    </row>
    <row r="3645" spans="8:8" x14ac:dyDescent="0.35">
      <c r="H3645" s="35"/>
    </row>
    <row r="3646" spans="8:8" x14ac:dyDescent="0.35">
      <c r="H3646" s="35"/>
    </row>
    <row r="3647" spans="8:8" x14ac:dyDescent="0.35">
      <c r="H3647" s="35"/>
    </row>
    <row r="3648" spans="8:8" x14ac:dyDescent="0.35">
      <c r="H3648" s="35"/>
    </row>
    <row r="3649" spans="8:8" x14ac:dyDescent="0.35">
      <c r="H3649" s="35"/>
    </row>
    <row r="3650" spans="8:8" x14ac:dyDescent="0.35">
      <c r="H3650" s="35"/>
    </row>
    <row r="3651" spans="8:8" x14ac:dyDescent="0.35">
      <c r="H3651" s="35"/>
    </row>
    <row r="3652" spans="8:8" x14ac:dyDescent="0.35">
      <c r="H3652" s="35"/>
    </row>
    <row r="3653" spans="8:8" x14ac:dyDescent="0.35">
      <c r="H3653" s="35"/>
    </row>
    <row r="3654" spans="8:8" x14ac:dyDescent="0.35">
      <c r="H3654" s="35"/>
    </row>
    <row r="3655" spans="8:8" x14ac:dyDescent="0.35">
      <c r="H3655" s="35"/>
    </row>
    <row r="3656" spans="8:8" x14ac:dyDescent="0.35">
      <c r="H3656" s="35"/>
    </row>
    <row r="3657" spans="8:8" x14ac:dyDescent="0.35">
      <c r="H3657" s="35"/>
    </row>
    <row r="3658" spans="8:8" x14ac:dyDescent="0.35">
      <c r="H3658" s="35"/>
    </row>
    <row r="3659" spans="8:8" x14ac:dyDescent="0.35">
      <c r="H3659" s="35"/>
    </row>
    <row r="3660" spans="8:8" x14ac:dyDescent="0.35">
      <c r="H3660" s="35"/>
    </row>
    <row r="3661" spans="8:8" x14ac:dyDescent="0.35">
      <c r="H3661" s="35"/>
    </row>
    <row r="3662" spans="8:8" x14ac:dyDescent="0.35">
      <c r="H3662" s="35"/>
    </row>
    <row r="3663" spans="8:8" x14ac:dyDescent="0.35">
      <c r="H3663" s="35"/>
    </row>
    <row r="3664" spans="8:8" x14ac:dyDescent="0.35">
      <c r="H3664" s="35"/>
    </row>
    <row r="3665" spans="8:8" x14ac:dyDescent="0.35">
      <c r="H3665" s="35"/>
    </row>
    <row r="3666" spans="8:8" x14ac:dyDescent="0.35">
      <c r="H3666" s="35"/>
    </row>
    <row r="3667" spans="8:8" x14ac:dyDescent="0.35">
      <c r="H3667" s="35"/>
    </row>
    <row r="3668" spans="8:8" x14ac:dyDescent="0.35">
      <c r="H3668" s="35"/>
    </row>
    <row r="3669" spans="8:8" x14ac:dyDescent="0.35">
      <c r="H3669" s="35"/>
    </row>
    <row r="3670" spans="8:8" x14ac:dyDescent="0.35">
      <c r="H3670" s="35"/>
    </row>
    <row r="3671" spans="8:8" x14ac:dyDescent="0.35">
      <c r="H3671" s="35"/>
    </row>
    <row r="3672" spans="8:8" x14ac:dyDescent="0.35">
      <c r="H3672" s="35"/>
    </row>
    <row r="3673" spans="8:8" x14ac:dyDescent="0.35">
      <c r="H3673" s="35"/>
    </row>
    <row r="3674" spans="8:8" x14ac:dyDescent="0.35">
      <c r="H3674" s="35"/>
    </row>
    <row r="3675" spans="8:8" x14ac:dyDescent="0.35">
      <c r="H3675" s="35"/>
    </row>
    <row r="3676" spans="8:8" x14ac:dyDescent="0.35">
      <c r="H3676" s="35"/>
    </row>
    <row r="3677" spans="8:8" x14ac:dyDescent="0.35">
      <c r="H3677" s="35"/>
    </row>
    <row r="3678" spans="8:8" x14ac:dyDescent="0.35">
      <c r="H3678" s="35"/>
    </row>
    <row r="3679" spans="8:8" x14ac:dyDescent="0.35">
      <c r="H3679" s="35"/>
    </row>
    <row r="3680" spans="8:8" x14ac:dyDescent="0.35">
      <c r="H3680" s="35"/>
    </row>
    <row r="3681" spans="8:8" x14ac:dyDescent="0.35">
      <c r="H3681" s="35"/>
    </row>
    <row r="3682" spans="8:8" x14ac:dyDescent="0.35">
      <c r="H3682" s="35"/>
    </row>
    <row r="3683" spans="8:8" x14ac:dyDescent="0.35">
      <c r="H3683" s="35"/>
    </row>
    <row r="3684" spans="8:8" x14ac:dyDescent="0.35">
      <c r="H3684" s="35"/>
    </row>
    <row r="3685" spans="8:8" x14ac:dyDescent="0.35">
      <c r="H3685" s="35"/>
    </row>
    <row r="3686" spans="8:8" x14ac:dyDescent="0.35">
      <c r="H3686" s="35"/>
    </row>
    <row r="3687" spans="8:8" x14ac:dyDescent="0.35">
      <c r="H3687" s="35"/>
    </row>
    <row r="3688" spans="8:8" x14ac:dyDescent="0.35">
      <c r="H3688" s="35"/>
    </row>
    <row r="3689" spans="8:8" x14ac:dyDescent="0.35">
      <c r="H3689" s="35"/>
    </row>
    <row r="3690" spans="8:8" x14ac:dyDescent="0.35">
      <c r="H3690" s="35"/>
    </row>
    <row r="3691" spans="8:8" x14ac:dyDescent="0.35">
      <c r="H3691" s="35"/>
    </row>
    <row r="3692" spans="8:8" x14ac:dyDescent="0.35">
      <c r="H3692" s="35"/>
    </row>
    <row r="3693" spans="8:8" x14ac:dyDescent="0.35">
      <c r="H3693" s="35"/>
    </row>
    <row r="3694" spans="8:8" x14ac:dyDescent="0.35">
      <c r="H3694" s="35"/>
    </row>
    <row r="3695" spans="8:8" x14ac:dyDescent="0.35">
      <c r="H3695" s="35"/>
    </row>
    <row r="3696" spans="8:8" x14ac:dyDescent="0.35">
      <c r="H3696" s="35"/>
    </row>
    <row r="3697" spans="8:8" x14ac:dyDescent="0.35">
      <c r="H3697" s="35"/>
    </row>
    <row r="3698" spans="8:8" x14ac:dyDescent="0.35">
      <c r="H3698" s="35"/>
    </row>
    <row r="3699" spans="8:8" x14ac:dyDescent="0.35">
      <c r="H3699" s="35"/>
    </row>
    <row r="3700" spans="8:8" x14ac:dyDescent="0.35">
      <c r="H3700" s="35"/>
    </row>
    <row r="3701" spans="8:8" x14ac:dyDescent="0.35">
      <c r="H3701" s="35"/>
    </row>
    <row r="3702" spans="8:8" x14ac:dyDescent="0.35">
      <c r="H3702" s="35"/>
    </row>
    <row r="3703" spans="8:8" x14ac:dyDescent="0.35">
      <c r="H3703" s="35"/>
    </row>
    <row r="3704" spans="8:8" x14ac:dyDescent="0.35">
      <c r="H3704" s="35"/>
    </row>
    <row r="3705" spans="8:8" x14ac:dyDescent="0.35">
      <c r="H3705" s="35"/>
    </row>
    <row r="3706" spans="8:8" x14ac:dyDescent="0.35">
      <c r="H3706" s="35"/>
    </row>
    <row r="3707" spans="8:8" x14ac:dyDescent="0.35">
      <c r="H3707" s="35"/>
    </row>
    <row r="3708" spans="8:8" x14ac:dyDescent="0.35">
      <c r="H3708" s="35"/>
    </row>
    <row r="3709" spans="8:8" x14ac:dyDescent="0.35">
      <c r="H3709" s="35"/>
    </row>
    <row r="3710" spans="8:8" x14ac:dyDescent="0.35">
      <c r="H3710" s="35"/>
    </row>
    <row r="3711" spans="8:8" x14ac:dyDescent="0.35">
      <c r="H3711" s="35"/>
    </row>
    <row r="3712" spans="8:8" x14ac:dyDescent="0.35">
      <c r="H3712" s="35"/>
    </row>
    <row r="3713" spans="8:8" x14ac:dyDescent="0.35">
      <c r="H3713" s="35"/>
    </row>
    <row r="3714" spans="8:8" x14ac:dyDescent="0.35">
      <c r="H3714" s="35"/>
    </row>
    <row r="3715" spans="8:8" x14ac:dyDescent="0.35">
      <c r="H3715" s="35"/>
    </row>
    <row r="3716" spans="8:8" x14ac:dyDescent="0.35">
      <c r="H3716" s="35"/>
    </row>
    <row r="3717" spans="8:8" x14ac:dyDescent="0.35">
      <c r="H3717" s="35"/>
    </row>
    <row r="3718" spans="8:8" x14ac:dyDescent="0.35">
      <c r="H3718" s="35"/>
    </row>
    <row r="3719" spans="8:8" x14ac:dyDescent="0.35">
      <c r="H3719" s="35"/>
    </row>
    <row r="3720" spans="8:8" x14ac:dyDescent="0.35">
      <c r="H3720" s="35"/>
    </row>
    <row r="3721" spans="8:8" x14ac:dyDescent="0.35">
      <c r="H3721" s="35"/>
    </row>
    <row r="3722" spans="8:8" x14ac:dyDescent="0.35">
      <c r="H3722" s="35"/>
    </row>
    <row r="3723" spans="8:8" x14ac:dyDescent="0.35">
      <c r="H3723" s="35"/>
    </row>
    <row r="3724" spans="8:8" x14ac:dyDescent="0.35">
      <c r="H3724" s="35"/>
    </row>
    <row r="3725" spans="8:8" x14ac:dyDescent="0.35">
      <c r="H3725" s="35"/>
    </row>
    <row r="3726" spans="8:8" x14ac:dyDescent="0.35">
      <c r="H3726" s="35"/>
    </row>
    <row r="3727" spans="8:8" x14ac:dyDescent="0.35">
      <c r="H3727" s="35"/>
    </row>
    <row r="3728" spans="8:8" x14ac:dyDescent="0.35">
      <c r="H3728" s="35"/>
    </row>
    <row r="3729" spans="8:8" x14ac:dyDescent="0.35">
      <c r="H3729" s="35"/>
    </row>
    <row r="3730" spans="8:8" x14ac:dyDescent="0.35">
      <c r="H3730" s="35"/>
    </row>
    <row r="3731" spans="8:8" x14ac:dyDescent="0.35">
      <c r="H3731" s="35"/>
    </row>
    <row r="3732" spans="8:8" x14ac:dyDescent="0.35">
      <c r="H3732" s="35"/>
    </row>
    <row r="3733" spans="8:8" x14ac:dyDescent="0.35">
      <c r="H3733" s="35"/>
    </row>
    <row r="3734" spans="8:8" x14ac:dyDescent="0.35">
      <c r="H3734" s="35"/>
    </row>
    <row r="3735" spans="8:8" x14ac:dyDescent="0.35">
      <c r="H3735" s="35"/>
    </row>
    <row r="3736" spans="8:8" x14ac:dyDescent="0.35">
      <c r="H3736" s="35"/>
    </row>
    <row r="3737" spans="8:8" x14ac:dyDescent="0.35">
      <c r="H3737" s="35"/>
    </row>
    <row r="3738" spans="8:8" x14ac:dyDescent="0.35">
      <c r="H3738" s="35"/>
    </row>
    <row r="3739" spans="8:8" x14ac:dyDescent="0.35">
      <c r="H3739" s="35"/>
    </row>
    <row r="3740" spans="8:8" x14ac:dyDescent="0.35">
      <c r="H3740" s="35"/>
    </row>
    <row r="3741" spans="8:8" x14ac:dyDescent="0.35">
      <c r="H3741" s="35"/>
    </row>
    <row r="3742" spans="8:8" x14ac:dyDescent="0.35">
      <c r="H3742" s="35"/>
    </row>
    <row r="3743" spans="8:8" x14ac:dyDescent="0.35">
      <c r="H3743" s="35"/>
    </row>
    <row r="3744" spans="8:8" x14ac:dyDescent="0.35">
      <c r="H3744" s="35"/>
    </row>
    <row r="3745" spans="8:8" x14ac:dyDescent="0.35">
      <c r="H3745" s="35"/>
    </row>
    <row r="3746" spans="8:8" x14ac:dyDescent="0.35">
      <c r="H3746" s="35"/>
    </row>
    <row r="3747" spans="8:8" x14ac:dyDescent="0.35">
      <c r="H3747" s="35"/>
    </row>
    <row r="3748" spans="8:8" x14ac:dyDescent="0.35">
      <c r="H3748" s="35"/>
    </row>
    <row r="3749" spans="8:8" x14ac:dyDescent="0.35">
      <c r="H3749" s="35"/>
    </row>
    <row r="3750" spans="8:8" x14ac:dyDescent="0.35">
      <c r="H3750" s="35"/>
    </row>
    <row r="3751" spans="8:8" x14ac:dyDescent="0.35">
      <c r="H3751" s="35"/>
    </row>
    <row r="3752" spans="8:8" x14ac:dyDescent="0.35">
      <c r="H3752" s="35"/>
    </row>
    <row r="3753" spans="8:8" x14ac:dyDescent="0.35">
      <c r="H3753" s="35"/>
    </row>
    <row r="3754" spans="8:8" x14ac:dyDescent="0.35">
      <c r="H3754" s="35"/>
    </row>
    <row r="3755" spans="8:8" x14ac:dyDescent="0.35">
      <c r="H3755" s="35"/>
    </row>
    <row r="3756" spans="8:8" x14ac:dyDescent="0.35">
      <c r="H3756" s="35"/>
    </row>
    <row r="3757" spans="8:8" x14ac:dyDescent="0.35">
      <c r="H3757" s="35"/>
    </row>
    <row r="3758" spans="8:8" x14ac:dyDescent="0.35">
      <c r="H3758" s="35"/>
    </row>
    <row r="3759" spans="8:8" x14ac:dyDescent="0.35">
      <c r="H3759" s="35"/>
    </row>
    <row r="3760" spans="8:8" x14ac:dyDescent="0.35">
      <c r="H3760" s="35"/>
    </row>
    <row r="3761" spans="8:8" x14ac:dyDescent="0.35">
      <c r="H3761" s="35"/>
    </row>
    <row r="3762" spans="8:8" x14ac:dyDescent="0.35">
      <c r="H3762" s="35"/>
    </row>
    <row r="3763" spans="8:8" x14ac:dyDescent="0.35">
      <c r="H3763" s="35"/>
    </row>
    <row r="3764" spans="8:8" x14ac:dyDescent="0.35">
      <c r="H3764" s="35"/>
    </row>
    <row r="3765" spans="8:8" x14ac:dyDescent="0.35">
      <c r="H3765" s="35"/>
    </row>
    <row r="3766" spans="8:8" x14ac:dyDescent="0.35">
      <c r="H3766" s="35"/>
    </row>
    <row r="3767" spans="8:8" x14ac:dyDescent="0.35">
      <c r="H3767" s="35"/>
    </row>
    <row r="3768" spans="8:8" x14ac:dyDescent="0.35">
      <c r="H3768" s="35"/>
    </row>
    <row r="3769" spans="8:8" x14ac:dyDescent="0.35">
      <c r="H3769" s="35"/>
    </row>
    <row r="3770" spans="8:8" x14ac:dyDescent="0.35">
      <c r="H3770" s="35"/>
    </row>
    <row r="3771" spans="8:8" x14ac:dyDescent="0.35">
      <c r="H3771" s="35"/>
    </row>
    <row r="3772" spans="8:8" x14ac:dyDescent="0.35">
      <c r="H3772" s="35"/>
    </row>
    <row r="3773" spans="8:8" x14ac:dyDescent="0.35">
      <c r="H3773" s="35"/>
    </row>
    <row r="3774" spans="8:8" x14ac:dyDescent="0.35">
      <c r="H3774" s="35"/>
    </row>
    <row r="3775" spans="8:8" x14ac:dyDescent="0.35">
      <c r="H3775" s="35"/>
    </row>
    <row r="3776" spans="8:8" x14ac:dyDescent="0.35">
      <c r="H3776" s="35"/>
    </row>
    <row r="3777" spans="8:8" x14ac:dyDescent="0.35">
      <c r="H3777" s="35"/>
    </row>
    <row r="3778" spans="8:8" x14ac:dyDescent="0.35">
      <c r="H3778" s="35"/>
    </row>
    <row r="3779" spans="8:8" x14ac:dyDescent="0.35">
      <c r="H3779" s="35"/>
    </row>
    <row r="3780" spans="8:8" x14ac:dyDescent="0.35">
      <c r="H3780" s="35"/>
    </row>
    <row r="3781" spans="8:8" x14ac:dyDescent="0.35">
      <c r="H3781" s="35"/>
    </row>
    <row r="3782" spans="8:8" x14ac:dyDescent="0.35">
      <c r="H3782" s="35"/>
    </row>
    <row r="3783" spans="8:8" x14ac:dyDescent="0.35">
      <c r="H3783" s="35"/>
    </row>
    <row r="3784" spans="8:8" x14ac:dyDescent="0.35">
      <c r="H3784" s="35"/>
    </row>
    <row r="3785" spans="8:8" x14ac:dyDescent="0.35">
      <c r="H3785" s="35"/>
    </row>
    <row r="3786" spans="8:8" x14ac:dyDescent="0.35">
      <c r="H3786" s="35"/>
    </row>
    <row r="3787" spans="8:8" x14ac:dyDescent="0.35">
      <c r="H3787" s="35"/>
    </row>
    <row r="3788" spans="8:8" x14ac:dyDescent="0.35">
      <c r="H3788" s="35"/>
    </row>
    <row r="3789" spans="8:8" x14ac:dyDescent="0.35">
      <c r="H3789" s="35"/>
    </row>
    <row r="3790" spans="8:8" x14ac:dyDescent="0.35">
      <c r="H3790" s="35"/>
    </row>
    <row r="3791" spans="8:8" x14ac:dyDescent="0.35">
      <c r="H3791" s="35"/>
    </row>
    <row r="3792" spans="8:8" x14ac:dyDescent="0.35">
      <c r="H3792" s="35"/>
    </row>
    <row r="3793" spans="8:8" x14ac:dyDescent="0.35">
      <c r="H3793" s="35"/>
    </row>
    <row r="3794" spans="8:8" x14ac:dyDescent="0.35">
      <c r="H3794" s="35"/>
    </row>
    <row r="3795" spans="8:8" x14ac:dyDescent="0.35">
      <c r="H3795" s="35"/>
    </row>
    <row r="3796" spans="8:8" x14ac:dyDescent="0.35">
      <c r="H3796" s="35"/>
    </row>
    <row r="3797" spans="8:8" x14ac:dyDescent="0.35">
      <c r="H3797" s="35"/>
    </row>
    <row r="3798" spans="8:8" x14ac:dyDescent="0.35">
      <c r="H3798" s="35"/>
    </row>
    <row r="3799" spans="8:8" x14ac:dyDescent="0.35">
      <c r="H3799" s="35"/>
    </row>
    <row r="3800" spans="8:8" x14ac:dyDescent="0.35">
      <c r="H3800" s="35"/>
    </row>
    <row r="3801" spans="8:8" x14ac:dyDescent="0.35">
      <c r="H3801" s="35"/>
    </row>
    <row r="3802" spans="8:8" x14ac:dyDescent="0.35">
      <c r="H3802" s="35"/>
    </row>
    <row r="3803" spans="8:8" x14ac:dyDescent="0.35">
      <c r="H3803" s="35"/>
    </row>
    <row r="3804" spans="8:8" x14ac:dyDescent="0.35">
      <c r="H3804" s="35"/>
    </row>
    <row r="3805" spans="8:8" x14ac:dyDescent="0.35">
      <c r="H3805" s="35"/>
    </row>
    <row r="3806" spans="8:8" x14ac:dyDescent="0.35">
      <c r="H3806" s="35"/>
    </row>
    <row r="3807" spans="8:8" x14ac:dyDescent="0.35">
      <c r="H3807" s="35"/>
    </row>
    <row r="3808" spans="8:8" x14ac:dyDescent="0.35">
      <c r="H3808" s="35"/>
    </row>
    <row r="3809" spans="8:8" x14ac:dyDescent="0.35">
      <c r="H3809" s="35"/>
    </row>
    <row r="3810" spans="8:8" x14ac:dyDescent="0.35">
      <c r="H3810" s="35"/>
    </row>
    <row r="3811" spans="8:8" x14ac:dyDescent="0.35">
      <c r="H3811" s="35"/>
    </row>
    <row r="3812" spans="8:8" x14ac:dyDescent="0.35">
      <c r="H3812" s="35"/>
    </row>
    <row r="3813" spans="8:8" x14ac:dyDescent="0.35">
      <c r="H3813" s="35"/>
    </row>
    <row r="3814" spans="8:8" x14ac:dyDescent="0.35">
      <c r="H3814" s="35"/>
    </row>
    <row r="3815" spans="8:8" x14ac:dyDescent="0.35">
      <c r="H3815" s="35"/>
    </row>
    <row r="3816" spans="8:8" x14ac:dyDescent="0.35">
      <c r="H3816" s="35"/>
    </row>
    <row r="3817" spans="8:8" x14ac:dyDescent="0.35">
      <c r="H3817" s="35"/>
    </row>
    <row r="3818" spans="8:8" x14ac:dyDescent="0.35">
      <c r="H3818" s="35"/>
    </row>
    <row r="3819" spans="8:8" x14ac:dyDescent="0.35">
      <c r="H3819" s="35"/>
    </row>
    <row r="3820" spans="8:8" x14ac:dyDescent="0.35">
      <c r="H3820" s="35"/>
    </row>
    <row r="3821" spans="8:8" x14ac:dyDescent="0.35">
      <c r="H3821" s="35"/>
    </row>
    <row r="3822" spans="8:8" x14ac:dyDescent="0.35">
      <c r="H3822" s="35"/>
    </row>
    <row r="3823" spans="8:8" x14ac:dyDescent="0.35">
      <c r="H3823" s="35"/>
    </row>
    <row r="3824" spans="8:8" x14ac:dyDescent="0.35">
      <c r="H3824" s="35"/>
    </row>
    <row r="3825" spans="8:8" x14ac:dyDescent="0.35">
      <c r="H3825" s="35"/>
    </row>
    <row r="3826" spans="8:8" x14ac:dyDescent="0.35">
      <c r="H3826" s="35"/>
    </row>
    <row r="3827" spans="8:8" x14ac:dyDescent="0.35">
      <c r="H3827" s="35"/>
    </row>
    <row r="3828" spans="8:8" x14ac:dyDescent="0.35">
      <c r="H3828" s="35"/>
    </row>
    <row r="3829" spans="8:8" x14ac:dyDescent="0.35">
      <c r="H3829" s="35"/>
    </row>
    <row r="3830" spans="8:8" x14ac:dyDescent="0.35">
      <c r="H3830" s="35"/>
    </row>
    <row r="3831" spans="8:8" x14ac:dyDescent="0.35">
      <c r="H3831" s="35"/>
    </row>
    <row r="3832" spans="8:8" x14ac:dyDescent="0.35">
      <c r="H3832" s="35"/>
    </row>
    <row r="3833" spans="8:8" x14ac:dyDescent="0.35">
      <c r="H3833" s="35"/>
    </row>
    <row r="3834" spans="8:8" x14ac:dyDescent="0.35">
      <c r="H3834" s="35"/>
    </row>
    <row r="3835" spans="8:8" x14ac:dyDescent="0.35">
      <c r="H3835" s="35"/>
    </row>
    <row r="3836" spans="8:8" x14ac:dyDescent="0.35">
      <c r="H3836" s="35"/>
    </row>
    <row r="3837" spans="8:8" x14ac:dyDescent="0.35">
      <c r="H3837" s="35"/>
    </row>
    <row r="3838" spans="8:8" x14ac:dyDescent="0.35">
      <c r="H3838" s="35"/>
    </row>
    <row r="3839" spans="8:8" x14ac:dyDescent="0.35">
      <c r="H3839" s="35"/>
    </row>
    <row r="3840" spans="8:8" x14ac:dyDescent="0.35">
      <c r="H3840" s="35"/>
    </row>
    <row r="3841" spans="8:8" x14ac:dyDescent="0.35">
      <c r="H3841" s="35"/>
    </row>
    <row r="3842" spans="8:8" x14ac:dyDescent="0.35">
      <c r="H3842" s="35"/>
    </row>
    <row r="3843" spans="8:8" x14ac:dyDescent="0.35">
      <c r="H3843" s="35"/>
    </row>
    <row r="3844" spans="8:8" x14ac:dyDescent="0.35">
      <c r="H3844" s="35"/>
    </row>
    <row r="3845" spans="8:8" x14ac:dyDescent="0.35">
      <c r="H3845" s="35"/>
    </row>
    <row r="3846" spans="8:8" x14ac:dyDescent="0.35">
      <c r="H3846" s="35"/>
    </row>
    <row r="3847" spans="8:8" x14ac:dyDescent="0.35">
      <c r="H3847" s="35"/>
    </row>
    <row r="3848" spans="8:8" x14ac:dyDescent="0.35">
      <c r="H3848" s="35"/>
    </row>
    <row r="3849" spans="8:8" x14ac:dyDescent="0.35">
      <c r="H3849" s="35"/>
    </row>
    <row r="3850" spans="8:8" x14ac:dyDescent="0.35">
      <c r="H3850" s="35"/>
    </row>
    <row r="3851" spans="8:8" x14ac:dyDescent="0.35">
      <c r="H3851" s="35"/>
    </row>
    <row r="3852" spans="8:8" x14ac:dyDescent="0.35">
      <c r="H3852" s="35"/>
    </row>
    <row r="3853" spans="8:8" x14ac:dyDescent="0.35">
      <c r="H3853" s="35"/>
    </row>
    <row r="3854" spans="8:8" x14ac:dyDescent="0.35">
      <c r="H3854" s="35"/>
    </row>
    <row r="3855" spans="8:8" x14ac:dyDescent="0.35">
      <c r="H3855" s="35"/>
    </row>
    <row r="3856" spans="8:8" x14ac:dyDescent="0.35">
      <c r="H3856" s="35"/>
    </row>
    <row r="3857" spans="8:8" x14ac:dyDescent="0.35">
      <c r="H3857" s="35"/>
    </row>
    <row r="3858" spans="8:8" x14ac:dyDescent="0.35">
      <c r="H3858" s="35"/>
    </row>
    <row r="3859" spans="8:8" x14ac:dyDescent="0.35">
      <c r="H3859" s="35"/>
    </row>
    <row r="3860" spans="8:8" x14ac:dyDescent="0.35">
      <c r="H3860" s="35"/>
    </row>
    <row r="3861" spans="8:8" x14ac:dyDescent="0.35">
      <c r="H3861" s="35"/>
    </row>
    <row r="3862" spans="8:8" x14ac:dyDescent="0.35">
      <c r="H3862" s="35"/>
    </row>
    <row r="3863" spans="8:8" x14ac:dyDescent="0.35">
      <c r="H3863" s="35"/>
    </row>
    <row r="3864" spans="8:8" x14ac:dyDescent="0.35">
      <c r="H3864" s="35"/>
    </row>
    <row r="3865" spans="8:8" x14ac:dyDescent="0.35">
      <c r="H3865" s="35"/>
    </row>
    <row r="3866" spans="8:8" x14ac:dyDescent="0.35">
      <c r="H3866" s="35"/>
    </row>
    <row r="3867" spans="8:8" x14ac:dyDescent="0.35">
      <c r="H3867" s="35"/>
    </row>
    <row r="3868" spans="8:8" x14ac:dyDescent="0.35">
      <c r="H3868" s="35"/>
    </row>
    <row r="3869" spans="8:8" x14ac:dyDescent="0.35">
      <c r="H3869" s="35"/>
    </row>
    <row r="3870" spans="8:8" x14ac:dyDescent="0.35">
      <c r="H3870" s="35"/>
    </row>
    <row r="3871" spans="8:8" x14ac:dyDescent="0.35">
      <c r="H3871" s="35"/>
    </row>
    <row r="3872" spans="8:8" x14ac:dyDescent="0.35">
      <c r="H3872" s="35"/>
    </row>
    <row r="3873" spans="8:8" x14ac:dyDescent="0.35">
      <c r="H3873" s="35"/>
    </row>
    <row r="3874" spans="8:8" x14ac:dyDescent="0.35">
      <c r="H3874" s="35"/>
    </row>
    <row r="3875" spans="8:8" x14ac:dyDescent="0.35">
      <c r="H3875" s="35"/>
    </row>
    <row r="3876" spans="8:8" x14ac:dyDescent="0.35">
      <c r="H3876" s="35"/>
    </row>
    <row r="3877" spans="8:8" x14ac:dyDescent="0.35">
      <c r="H3877" s="35"/>
    </row>
    <row r="3878" spans="8:8" x14ac:dyDescent="0.35">
      <c r="H3878" s="35"/>
    </row>
    <row r="3879" spans="8:8" x14ac:dyDescent="0.35">
      <c r="H3879" s="35"/>
    </row>
    <row r="3880" spans="8:8" x14ac:dyDescent="0.35">
      <c r="H3880" s="35"/>
    </row>
    <row r="3881" spans="8:8" x14ac:dyDescent="0.35">
      <c r="H3881" s="35"/>
    </row>
    <row r="3882" spans="8:8" x14ac:dyDescent="0.35">
      <c r="H3882" s="35"/>
    </row>
    <row r="3883" spans="8:8" x14ac:dyDescent="0.35">
      <c r="H3883" s="35"/>
    </row>
    <row r="3884" spans="8:8" x14ac:dyDescent="0.35">
      <c r="H3884" s="35"/>
    </row>
    <row r="3885" spans="8:8" x14ac:dyDescent="0.35">
      <c r="H3885" s="35"/>
    </row>
    <row r="3886" spans="8:8" x14ac:dyDescent="0.35">
      <c r="H3886" s="35"/>
    </row>
    <row r="3887" spans="8:8" x14ac:dyDescent="0.35">
      <c r="H3887" s="35"/>
    </row>
    <row r="3888" spans="8:8" x14ac:dyDescent="0.35">
      <c r="H3888" s="35"/>
    </row>
    <row r="3889" spans="8:8" x14ac:dyDescent="0.35">
      <c r="H3889" s="35"/>
    </row>
    <row r="3890" spans="8:8" x14ac:dyDescent="0.35">
      <c r="H3890" s="35"/>
    </row>
    <row r="3891" spans="8:8" x14ac:dyDescent="0.35">
      <c r="H3891" s="35"/>
    </row>
    <row r="3892" spans="8:8" x14ac:dyDescent="0.35">
      <c r="H3892" s="35"/>
    </row>
    <row r="3893" spans="8:8" x14ac:dyDescent="0.35">
      <c r="H3893" s="35"/>
    </row>
    <row r="3894" spans="8:8" x14ac:dyDescent="0.35">
      <c r="H3894" s="35"/>
    </row>
    <row r="3895" spans="8:8" x14ac:dyDescent="0.35">
      <c r="H3895" s="35"/>
    </row>
    <row r="3896" spans="8:8" x14ac:dyDescent="0.35">
      <c r="H3896" s="35"/>
    </row>
    <row r="3897" spans="8:8" x14ac:dyDescent="0.35">
      <c r="H3897" s="35"/>
    </row>
    <row r="3898" spans="8:8" x14ac:dyDescent="0.35">
      <c r="H3898" s="35"/>
    </row>
    <row r="3899" spans="8:8" x14ac:dyDescent="0.35">
      <c r="H3899" s="35"/>
    </row>
    <row r="3900" spans="8:8" x14ac:dyDescent="0.35">
      <c r="H3900" s="35"/>
    </row>
    <row r="3901" spans="8:8" x14ac:dyDescent="0.35">
      <c r="H3901" s="35"/>
    </row>
    <row r="3902" spans="8:8" x14ac:dyDescent="0.35">
      <c r="H3902" s="35"/>
    </row>
    <row r="3903" spans="8:8" x14ac:dyDescent="0.35">
      <c r="H3903" s="35"/>
    </row>
    <row r="3904" spans="8:8" x14ac:dyDescent="0.35">
      <c r="H3904" s="35"/>
    </row>
    <row r="3905" spans="8:8" x14ac:dyDescent="0.35">
      <c r="H3905" s="35"/>
    </row>
    <row r="3906" spans="8:8" x14ac:dyDescent="0.35">
      <c r="H3906" s="35"/>
    </row>
    <row r="3907" spans="8:8" x14ac:dyDescent="0.35">
      <c r="H3907" s="35"/>
    </row>
    <row r="3908" spans="8:8" x14ac:dyDescent="0.35">
      <c r="H3908" s="35"/>
    </row>
    <row r="3909" spans="8:8" x14ac:dyDescent="0.35">
      <c r="H3909" s="35"/>
    </row>
    <row r="3910" spans="8:8" x14ac:dyDescent="0.35">
      <c r="H3910" s="35"/>
    </row>
    <row r="3911" spans="8:8" x14ac:dyDescent="0.35">
      <c r="H3911" s="35"/>
    </row>
    <row r="3912" spans="8:8" x14ac:dyDescent="0.35">
      <c r="H3912" s="35"/>
    </row>
    <row r="3913" spans="8:8" x14ac:dyDescent="0.35">
      <c r="H3913" s="35"/>
    </row>
    <row r="3914" spans="8:8" x14ac:dyDescent="0.35">
      <c r="H3914" s="35"/>
    </row>
    <row r="3915" spans="8:8" x14ac:dyDescent="0.35">
      <c r="H3915" s="35"/>
    </row>
    <row r="3916" spans="8:8" x14ac:dyDescent="0.35">
      <c r="H3916" s="35"/>
    </row>
    <row r="3917" spans="8:8" x14ac:dyDescent="0.35">
      <c r="H3917" s="35"/>
    </row>
    <row r="3918" spans="8:8" x14ac:dyDescent="0.35">
      <c r="H3918" s="35"/>
    </row>
    <row r="3919" spans="8:8" x14ac:dyDescent="0.35">
      <c r="H3919" s="35"/>
    </row>
    <row r="3920" spans="8:8" x14ac:dyDescent="0.35">
      <c r="H3920" s="35"/>
    </row>
    <row r="3921" spans="8:8" x14ac:dyDescent="0.35">
      <c r="H3921" s="35"/>
    </row>
    <row r="3922" spans="8:8" x14ac:dyDescent="0.35">
      <c r="H3922" s="35"/>
    </row>
    <row r="3923" spans="8:8" x14ac:dyDescent="0.35">
      <c r="H3923" s="35"/>
    </row>
    <row r="3924" spans="8:8" x14ac:dyDescent="0.35">
      <c r="H3924" s="35"/>
    </row>
    <row r="3925" spans="8:8" x14ac:dyDescent="0.35">
      <c r="H3925" s="35"/>
    </row>
    <row r="3926" spans="8:8" x14ac:dyDescent="0.35">
      <c r="H3926" s="35"/>
    </row>
    <row r="3927" spans="8:8" x14ac:dyDescent="0.35">
      <c r="H3927" s="35"/>
    </row>
    <row r="3928" spans="8:8" x14ac:dyDescent="0.35">
      <c r="H3928" s="35"/>
    </row>
    <row r="3929" spans="8:8" x14ac:dyDescent="0.35">
      <c r="H3929" s="35"/>
    </row>
    <row r="3930" spans="8:8" x14ac:dyDescent="0.35">
      <c r="H3930" s="35"/>
    </row>
    <row r="3931" spans="8:8" x14ac:dyDescent="0.35">
      <c r="H3931" s="35"/>
    </row>
    <row r="3932" spans="8:8" x14ac:dyDescent="0.35">
      <c r="H3932" s="35"/>
    </row>
    <row r="3933" spans="8:8" x14ac:dyDescent="0.35">
      <c r="H3933" s="35"/>
    </row>
    <row r="3934" spans="8:8" x14ac:dyDescent="0.35">
      <c r="H3934" s="35"/>
    </row>
    <row r="3935" spans="8:8" x14ac:dyDescent="0.35">
      <c r="H3935" s="35"/>
    </row>
    <row r="3936" spans="8:8" x14ac:dyDescent="0.35">
      <c r="H3936" s="35"/>
    </row>
    <row r="3937" spans="8:8" x14ac:dyDescent="0.35">
      <c r="H3937" s="35"/>
    </row>
    <row r="3938" spans="8:8" x14ac:dyDescent="0.35">
      <c r="H3938" s="35"/>
    </row>
    <row r="3939" spans="8:8" x14ac:dyDescent="0.35">
      <c r="H3939" s="35"/>
    </row>
    <row r="3940" spans="8:8" x14ac:dyDescent="0.35">
      <c r="H3940" s="35"/>
    </row>
    <row r="3941" spans="8:8" x14ac:dyDescent="0.35">
      <c r="H3941" s="35"/>
    </row>
    <row r="3942" spans="8:8" x14ac:dyDescent="0.35">
      <c r="H3942" s="35"/>
    </row>
    <row r="3943" spans="8:8" x14ac:dyDescent="0.35">
      <c r="H3943" s="35"/>
    </row>
    <row r="3944" spans="8:8" x14ac:dyDescent="0.35">
      <c r="H3944" s="35"/>
    </row>
    <row r="3945" spans="8:8" x14ac:dyDescent="0.35">
      <c r="H3945" s="35"/>
    </row>
    <row r="3946" spans="8:8" x14ac:dyDescent="0.35">
      <c r="H3946" s="35"/>
    </row>
    <row r="3947" spans="8:8" x14ac:dyDescent="0.35">
      <c r="H3947" s="35"/>
    </row>
    <row r="3948" spans="8:8" x14ac:dyDescent="0.35">
      <c r="H3948" s="35"/>
    </row>
    <row r="3949" spans="8:8" x14ac:dyDescent="0.35">
      <c r="H3949" s="35"/>
    </row>
    <row r="3950" spans="8:8" x14ac:dyDescent="0.35">
      <c r="H3950" s="35"/>
    </row>
    <row r="3951" spans="8:8" x14ac:dyDescent="0.35">
      <c r="H3951" s="35"/>
    </row>
    <row r="3952" spans="8:8" x14ac:dyDescent="0.35">
      <c r="H3952" s="35"/>
    </row>
    <row r="3953" spans="8:8" x14ac:dyDescent="0.35">
      <c r="H3953" s="35"/>
    </row>
    <row r="3954" spans="8:8" x14ac:dyDescent="0.35">
      <c r="H3954" s="35"/>
    </row>
    <row r="3955" spans="8:8" x14ac:dyDescent="0.35">
      <c r="H3955" s="35"/>
    </row>
    <row r="3956" spans="8:8" x14ac:dyDescent="0.35">
      <c r="H3956" s="35"/>
    </row>
    <row r="3957" spans="8:8" x14ac:dyDescent="0.35">
      <c r="H3957" s="35"/>
    </row>
    <row r="3958" spans="8:8" x14ac:dyDescent="0.35">
      <c r="H3958" s="35"/>
    </row>
    <row r="3959" spans="8:8" x14ac:dyDescent="0.35">
      <c r="H3959" s="35"/>
    </row>
    <row r="3960" spans="8:8" x14ac:dyDescent="0.35">
      <c r="H3960" s="35"/>
    </row>
    <row r="3961" spans="8:8" x14ac:dyDescent="0.35">
      <c r="H3961" s="35"/>
    </row>
    <row r="3962" spans="8:8" x14ac:dyDescent="0.35">
      <c r="H3962" s="35"/>
    </row>
    <row r="3963" spans="8:8" x14ac:dyDescent="0.35">
      <c r="H3963" s="35"/>
    </row>
    <row r="3964" spans="8:8" x14ac:dyDescent="0.35">
      <c r="H3964" s="35"/>
    </row>
    <row r="3965" spans="8:8" x14ac:dyDescent="0.35">
      <c r="H3965" s="35"/>
    </row>
    <row r="3966" spans="8:8" x14ac:dyDescent="0.35">
      <c r="H3966" s="35"/>
    </row>
    <row r="3967" spans="8:8" x14ac:dyDescent="0.35">
      <c r="H3967" s="35"/>
    </row>
    <row r="3968" spans="8:8" x14ac:dyDescent="0.35">
      <c r="H3968" s="35"/>
    </row>
    <row r="3969" spans="8:8" x14ac:dyDescent="0.35">
      <c r="H3969" s="35"/>
    </row>
    <row r="3970" spans="8:8" x14ac:dyDescent="0.35">
      <c r="H3970" s="35"/>
    </row>
    <row r="3971" spans="8:8" x14ac:dyDescent="0.35">
      <c r="H3971" s="35"/>
    </row>
    <row r="3972" spans="8:8" x14ac:dyDescent="0.35">
      <c r="H3972" s="35"/>
    </row>
    <row r="3973" spans="8:8" x14ac:dyDescent="0.35">
      <c r="H3973" s="35"/>
    </row>
    <row r="3974" spans="8:8" x14ac:dyDescent="0.35">
      <c r="H3974" s="35"/>
    </row>
    <row r="3975" spans="8:8" x14ac:dyDescent="0.35">
      <c r="H3975" s="35"/>
    </row>
    <row r="3976" spans="8:8" x14ac:dyDescent="0.35">
      <c r="H3976" s="35"/>
    </row>
    <row r="3977" spans="8:8" x14ac:dyDescent="0.35">
      <c r="H3977" s="35"/>
    </row>
    <row r="3978" spans="8:8" x14ac:dyDescent="0.35">
      <c r="H3978" s="35"/>
    </row>
    <row r="3979" spans="8:8" x14ac:dyDescent="0.35">
      <c r="H3979" s="35"/>
    </row>
    <row r="3980" spans="8:8" x14ac:dyDescent="0.35">
      <c r="H3980" s="35"/>
    </row>
    <row r="3981" spans="8:8" x14ac:dyDescent="0.35">
      <c r="H3981" s="35"/>
    </row>
    <row r="3982" spans="8:8" x14ac:dyDescent="0.35">
      <c r="H3982" s="35"/>
    </row>
    <row r="3983" spans="8:8" x14ac:dyDescent="0.35">
      <c r="H3983" s="35"/>
    </row>
    <row r="3984" spans="8:8" x14ac:dyDescent="0.35">
      <c r="H3984" s="35"/>
    </row>
    <row r="3985" spans="8:8" x14ac:dyDescent="0.35">
      <c r="H3985" s="35"/>
    </row>
    <row r="3986" spans="8:8" x14ac:dyDescent="0.35">
      <c r="H3986" s="35"/>
    </row>
    <row r="3987" spans="8:8" x14ac:dyDescent="0.35">
      <c r="H3987" s="35"/>
    </row>
    <row r="3988" spans="8:8" x14ac:dyDescent="0.35">
      <c r="H3988" s="35"/>
    </row>
    <row r="3989" spans="8:8" x14ac:dyDescent="0.35">
      <c r="H3989" s="35"/>
    </row>
    <row r="3990" spans="8:8" x14ac:dyDescent="0.35">
      <c r="H3990" s="35"/>
    </row>
    <row r="3991" spans="8:8" x14ac:dyDescent="0.35">
      <c r="H3991" s="35"/>
    </row>
    <row r="3992" spans="8:8" x14ac:dyDescent="0.35">
      <c r="H3992" s="35"/>
    </row>
    <row r="3993" spans="8:8" x14ac:dyDescent="0.35">
      <c r="H3993" s="35"/>
    </row>
    <row r="3994" spans="8:8" x14ac:dyDescent="0.35">
      <c r="H3994" s="35"/>
    </row>
    <row r="3995" spans="8:8" x14ac:dyDescent="0.35">
      <c r="H3995" s="35"/>
    </row>
    <row r="3996" spans="8:8" x14ac:dyDescent="0.35">
      <c r="H3996" s="35"/>
    </row>
    <row r="3997" spans="8:8" x14ac:dyDescent="0.35">
      <c r="H3997" s="35"/>
    </row>
    <row r="3998" spans="8:8" x14ac:dyDescent="0.35">
      <c r="H3998" s="35"/>
    </row>
    <row r="3999" spans="8:8" x14ac:dyDescent="0.35">
      <c r="H3999" s="35"/>
    </row>
    <row r="4000" spans="8:8" x14ac:dyDescent="0.35">
      <c r="H4000" s="35"/>
    </row>
    <row r="4001" spans="8:8" x14ac:dyDescent="0.35">
      <c r="H4001" s="35"/>
    </row>
    <row r="4002" spans="8:8" x14ac:dyDescent="0.35">
      <c r="H4002" s="35"/>
    </row>
    <row r="4003" spans="8:8" x14ac:dyDescent="0.35">
      <c r="H4003" s="35"/>
    </row>
    <row r="4004" spans="8:8" x14ac:dyDescent="0.35">
      <c r="H4004" s="35"/>
    </row>
    <row r="4005" spans="8:8" x14ac:dyDescent="0.35">
      <c r="H4005" s="35"/>
    </row>
    <row r="4006" spans="8:8" x14ac:dyDescent="0.35">
      <c r="H4006" s="35"/>
    </row>
    <row r="4007" spans="8:8" x14ac:dyDescent="0.35">
      <c r="H4007" s="35"/>
    </row>
    <row r="4008" spans="8:8" x14ac:dyDescent="0.35">
      <c r="H4008" s="35"/>
    </row>
    <row r="4009" spans="8:8" x14ac:dyDescent="0.35">
      <c r="H4009" s="35"/>
    </row>
    <row r="4010" spans="8:8" x14ac:dyDescent="0.35">
      <c r="H4010" s="35"/>
    </row>
    <row r="4011" spans="8:8" x14ac:dyDescent="0.35">
      <c r="H4011" s="35"/>
    </row>
    <row r="4012" spans="8:8" x14ac:dyDescent="0.35">
      <c r="H4012" s="35"/>
    </row>
    <row r="4013" spans="8:8" x14ac:dyDescent="0.35">
      <c r="H4013" s="35"/>
    </row>
    <row r="4014" spans="8:8" x14ac:dyDescent="0.35">
      <c r="H4014" s="35"/>
    </row>
    <row r="4015" spans="8:8" x14ac:dyDescent="0.35">
      <c r="H4015" s="35"/>
    </row>
    <row r="4016" spans="8:8" x14ac:dyDescent="0.35">
      <c r="H4016" s="35"/>
    </row>
    <row r="4017" spans="8:8" x14ac:dyDescent="0.35">
      <c r="H4017" s="35"/>
    </row>
    <row r="4018" spans="8:8" x14ac:dyDescent="0.35">
      <c r="H4018" s="35"/>
    </row>
    <row r="4019" spans="8:8" x14ac:dyDescent="0.35">
      <c r="H4019" s="35"/>
    </row>
    <row r="4020" spans="8:8" x14ac:dyDescent="0.35">
      <c r="H4020" s="35"/>
    </row>
    <row r="4021" spans="8:8" x14ac:dyDescent="0.35">
      <c r="H4021" s="35"/>
    </row>
    <row r="4022" spans="8:8" x14ac:dyDescent="0.35">
      <c r="H4022" s="35"/>
    </row>
    <row r="4023" spans="8:8" x14ac:dyDescent="0.35">
      <c r="H4023" s="35"/>
    </row>
    <row r="4024" spans="8:8" x14ac:dyDescent="0.35">
      <c r="H4024" s="35"/>
    </row>
    <row r="4025" spans="8:8" x14ac:dyDescent="0.35">
      <c r="H4025" s="35"/>
    </row>
    <row r="4026" spans="8:8" x14ac:dyDescent="0.35">
      <c r="H4026" s="35"/>
    </row>
    <row r="4027" spans="8:8" x14ac:dyDescent="0.35">
      <c r="H4027" s="35"/>
    </row>
    <row r="4028" spans="8:8" x14ac:dyDescent="0.35">
      <c r="H4028" s="35"/>
    </row>
    <row r="4029" spans="8:8" x14ac:dyDescent="0.35">
      <c r="H4029" s="35"/>
    </row>
    <row r="4030" spans="8:8" x14ac:dyDescent="0.35">
      <c r="H4030" s="35"/>
    </row>
    <row r="4031" spans="8:8" x14ac:dyDescent="0.35">
      <c r="H4031" s="35"/>
    </row>
    <row r="4032" spans="8:8" x14ac:dyDescent="0.35">
      <c r="H4032" s="35"/>
    </row>
    <row r="4033" spans="8:8" x14ac:dyDescent="0.35">
      <c r="H4033" s="35"/>
    </row>
    <row r="4034" spans="8:8" x14ac:dyDescent="0.35">
      <c r="H4034" s="35"/>
    </row>
    <row r="4035" spans="8:8" x14ac:dyDescent="0.35">
      <c r="H4035" s="35"/>
    </row>
    <row r="4036" spans="8:8" x14ac:dyDescent="0.35">
      <c r="H4036" s="35"/>
    </row>
    <row r="4037" spans="8:8" x14ac:dyDescent="0.35">
      <c r="H4037" s="35"/>
    </row>
    <row r="4038" spans="8:8" x14ac:dyDescent="0.35">
      <c r="H4038" s="35"/>
    </row>
    <row r="4039" spans="8:8" x14ac:dyDescent="0.35">
      <c r="H4039" s="35"/>
    </row>
    <row r="4040" spans="8:8" x14ac:dyDescent="0.35">
      <c r="H4040" s="35"/>
    </row>
    <row r="4041" spans="8:8" x14ac:dyDescent="0.35">
      <c r="H4041" s="35"/>
    </row>
    <row r="4042" spans="8:8" x14ac:dyDescent="0.35">
      <c r="H4042" s="35"/>
    </row>
    <row r="4043" spans="8:8" x14ac:dyDescent="0.35">
      <c r="H4043" s="35"/>
    </row>
    <row r="4044" spans="8:8" x14ac:dyDescent="0.35">
      <c r="H4044" s="35"/>
    </row>
    <row r="4045" spans="8:8" x14ac:dyDescent="0.35">
      <c r="H4045" s="35"/>
    </row>
    <row r="4046" spans="8:8" x14ac:dyDescent="0.35">
      <c r="H4046" s="35"/>
    </row>
    <row r="4047" spans="8:8" x14ac:dyDescent="0.35">
      <c r="H4047" s="35"/>
    </row>
    <row r="4048" spans="8:8" x14ac:dyDescent="0.35">
      <c r="H4048" s="35"/>
    </row>
    <row r="4049" spans="8:8" x14ac:dyDescent="0.35">
      <c r="H4049" s="35"/>
    </row>
    <row r="4050" spans="8:8" x14ac:dyDescent="0.35">
      <c r="H4050" s="35"/>
    </row>
    <row r="4051" spans="8:8" x14ac:dyDescent="0.35">
      <c r="H4051" s="35"/>
    </row>
    <row r="4052" spans="8:8" x14ac:dyDescent="0.35">
      <c r="H4052" s="35"/>
    </row>
    <row r="4053" spans="8:8" x14ac:dyDescent="0.35">
      <c r="H4053" s="35"/>
    </row>
    <row r="4054" spans="8:8" x14ac:dyDescent="0.35">
      <c r="H4054" s="35"/>
    </row>
    <row r="4055" spans="8:8" x14ac:dyDescent="0.35">
      <c r="H4055" s="35"/>
    </row>
    <row r="4056" spans="8:8" x14ac:dyDescent="0.35">
      <c r="H4056" s="35"/>
    </row>
    <row r="4057" spans="8:8" x14ac:dyDescent="0.35">
      <c r="H4057" s="35"/>
    </row>
    <row r="4058" spans="8:8" x14ac:dyDescent="0.35">
      <c r="H4058" s="35"/>
    </row>
    <row r="4059" spans="8:8" x14ac:dyDescent="0.35">
      <c r="H4059" s="35"/>
    </row>
    <row r="4060" spans="8:8" x14ac:dyDescent="0.35">
      <c r="H4060" s="35"/>
    </row>
    <row r="4061" spans="8:8" x14ac:dyDescent="0.35">
      <c r="H4061" s="35"/>
    </row>
    <row r="4062" spans="8:8" x14ac:dyDescent="0.35">
      <c r="H4062" s="35"/>
    </row>
    <row r="4063" spans="8:8" x14ac:dyDescent="0.35">
      <c r="H4063" s="35"/>
    </row>
    <row r="4064" spans="8:8" x14ac:dyDescent="0.35">
      <c r="H4064" s="35"/>
    </row>
    <row r="4065" spans="8:8" x14ac:dyDescent="0.35">
      <c r="H4065" s="35"/>
    </row>
    <row r="4066" spans="8:8" x14ac:dyDescent="0.35">
      <c r="H4066" s="35"/>
    </row>
    <row r="4067" spans="8:8" x14ac:dyDescent="0.35">
      <c r="H4067" s="35"/>
    </row>
    <row r="4068" spans="8:8" x14ac:dyDescent="0.35">
      <c r="H4068" s="35"/>
    </row>
    <row r="4069" spans="8:8" x14ac:dyDescent="0.35">
      <c r="H4069" s="35"/>
    </row>
    <row r="4070" spans="8:8" x14ac:dyDescent="0.35">
      <c r="H4070" s="35"/>
    </row>
    <row r="4071" spans="8:8" x14ac:dyDescent="0.35">
      <c r="H4071" s="35"/>
    </row>
    <row r="4072" spans="8:8" x14ac:dyDescent="0.35">
      <c r="H4072" s="35"/>
    </row>
    <row r="4073" spans="8:8" x14ac:dyDescent="0.35">
      <c r="H4073" s="35"/>
    </row>
    <row r="4074" spans="8:8" x14ac:dyDescent="0.35">
      <c r="H4074" s="35"/>
    </row>
    <row r="4075" spans="8:8" x14ac:dyDescent="0.35">
      <c r="H4075" s="35"/>
    </row>
    <row r="4076" spans="8:8" x14ac:dyDescent="0.35">
      <c r="H4076" s="35"/>
    </row>
    <row r="4077" spans="8:8" x14ac:dyDescent="0.35">
      <c r="H4077" s="35"/>
    </row>
    <row r="4078" spans="8:8" x14ac:dyDescent="0.35">
      <c r="H4078" s="35"/>
    </row>
    <row r="4079" spans="8:8" x14ac:dyDescent="0.35">
      <c r="H4079" s="35"/>
    </row>
    <row r="4080" spans="8:8" x14ac:dyDescent="0.35">
      <c r="H4080" s="35"/>
    </row>
    <row r="4081" spans="8:8" x14ac:dyDescent="0.35">
      <c r="H4081" s="35"/>
    </row>
    <row r="4082" spans="8:8" x14ac:dyDescent="0.35">
      <c r="H4082" s="35"/>
    </row>
    <row r="4083" spans="8:8" x14ac:dyDescent="0.35">
      <c r="H4083" s="35"/>
    </row>
    <row r="4084" spans="8:8" x14ac:dyDescent="0.35">
      <c r="H4084" s="35"/>
    </row>
    <row r="4085" spans="8:8" x14ac:dyDescent="0.35">
      <c r="H4085" s="35"/>
    </row>
    <row r="4086" spans="8:8" x14ac:dyDescent="0.35">
      <c r="H4086" s="35"/>
    </row>
    <row r="4087" spans="8:8" x14ac:dyDescent="0.35">
      <c r="H4087" s="35"/>
    </row>
    <row r="4088" spans="8:8" x14ac:dyDescent="0.35">
      <c r="H4088" s="35"/>
    </row>
    <row r="4089" spans="8:8" x14ac:dyDescent="0.35">
      <c r="H4089" s="35"/>
    </row>
    <row r="4090" spans="8:8" x14ac:dyDescent="0.35">
      <c r="H4090" s="35"/>
    </row>
    <row r="4091" spans="8:8" x14ac:dyDescent="0.35">
      <c r="H4091" s="35"/>
    </row>
    <row r="4092" spans="8:8" x14ac:dyDescent="0.35">
      <c r="H4092" s="35"/>
    </row>
    <row r="4093" spans="8:8" x14ac:dyDescent="0.35">
      <c r="H4093" s="35"/>
    </row>
    <row r="4094" spans="8:8" x14ac:dyDescent="0.35">
      <c r="H4094" s="35"/>
    </row>
    <row r="4095" spans="8:8" x14ac:dyDescent="0.35">
      <c r="H4095" s="35"/>
    </row>
    <row r="4096" spans="8:8" x14ac:dyDescent="0.35">
      <c r="H4096" s="35"/>
    </row>
    <row r="4097" spans="8:8" x14ac:dyDescent="0.35">
      <c r="H4097" s="35"/>
    </row>
    <row r="4098" spans="8:8" x14ac:dyDescent="0.35">
      <c r="H4098" s="35"/>
    </row>
    <row r="4099" spans="8:8" x14ac:dyDescent="0.35">
      <c r="H4099" s="35"/>
    </row>
    <row r="4100" spans="8:8" x14ac:dyDescent="0.35">
      <c r="H4100" s="35"/>
    </row>
    <row r="4101" spans="8:8" x14ac:dyDescent="0.35">
      <c r="H4101" s="35"/>
    </row>
    <row r="4102" spans="8:8" x14ac:dyDescent="0.35">
      <c r="H4102" s="35"/>
    </row>
    <row r="4103" spans="8:8" x14ac:dyDescent="0.35">
      <c r="H4103" s="35"/>
    </row>
    <row r="4104" spans="8:8" x14ac:dyDescent="0.35">
      <c r="H4104" s="35"/>
    </row>
    <row r="4105" spans="8:8" x14ac:dyDescent="0.35">
      <c r="H4105" s="35"/>
    </row>
    <row r="4106" spans="8:8" x14ac:dyDescent="0.35">
      <c r="H4106" s="35"/>
    </row>
    <row r="4107" spans="8:8" x14ac:dyDescent="0.35">
      <c r="H4107" s="35"/>
    </row>
    <row r="4108" spans="8:8" x14ac:dyDescent="0.35">
      <c r="H4108" s="35"/>
    </row>
    <row r="4109" spans="8:8" x14ac:dyDescent="0.35">
      <c r="H4109" s="35"/>
    </row>
    <row r="4110" spans="8:8" x14ac:dyDescent="0.35">
      <c r="H4110" s="35"/>
    </row>
    <row r="4111" spans="8:8" x14ac:dyDescent="0.35">
      <c r="H4111" s="35"/>
    </row>
    <row r="4112" spans="8:8" x14ac:dyDescent="0.35">
      <c r="H4112" s="35"/>
    </row>
    <row r="4113" spans="8:8" x14ac:dyDescent="0.35">
      <c r="H4113" s="35"/>
    </row>
    <row r="4114" spans="8:8" x14ac:dyDescent="0.35">
      <c r="H4114" s="35"/>
    </row>
    <row r="4115" spans="8:8" x14ac:dyDescent="0.35">
      <c r="H4115" s="35"/>
    </row>
    <row r="4116" spans="8:8" x14ac:dyDescent="0.35">
      <c r="H4116" s="35"/>
    </row>
    <row r="4117" spans="8:8" x14ac:dyDescent="0.35">
      <c r="H4117" s="35"/>
    </row>
    <row r="4118" spans="8:8" x14ac:dyDescent="0.35">
      <c r="H4118" s="35"/>
    </row>
    <row r="4119" spans="8:8" x14ac:dyDescent="0.35">
      <c r="H4119" s="35"/>
    </row>
    <row r="4120" spans="8:8" x14ac:dyDescent="0.35">
      <c r="H4120" s="35"/>
    </row>
    <row r="4121" spans="8:8" x14ac:dyDescent="0.35">
      <c r="H4121" s="35"/>
    </row>
    <row r="4122" spans="8:8" x14ac:dyDescent="0.35">
      <c r="H4122" s="35"/>
    </row>
    <row r="4123" spans="8:8" x14ac:dyDescent="0.35">
      <c r="H4123" s="35"/>
    </row>
    <row r="4124" spans="8:8" x14ac:dyDescent="0.35">
      <c r="H4124" s="35"/>
    </row>
    <row r="4125" spans="8:8" x14ac:dyDescent="0.35">
      <c r="H4125" s="35"/>
    </row>
    <row r="4126" spans="8:8" x14ac:dyDescent="0.35">
      <c r="H4126" s="35"/>
    </row>
    <row r="4127" spans="8:8" x14ac:dyDescent="0.35">
      <c r="H4127" s="35"/>
    </row>
    <row r="4128" spans="8:8" x14ac:dyDescent="0.35">
      <c r="H4128" s="35"/>
    </row>
    <row r="4129" spans="8:8" x14ac:dyDescent="0.35">
      <c r="H4129" s="35"/>
    </row>
    <row r="4130" spans="8:8" x14ac:dyDescent="0.35">
      <c r="H4130" s="35"/>
    </row>
    <row r="4131" spans="8:8" x14ac:dyDescent="0.35">
      <c r="H4131" s="35"/>
    </row>
    <row r="4132" spans="8:8" x14ac:dyDescent="0.35">
      <c r="H4132" s="35"/>
    </row>
    <row r="4133" spans="8:8" x14ac:dyDescent="0.35">
      <c r="H4133" s="35"/>
    </row>
    <row r="4134" spans="8:8" x14ac:dyDescent="0.35">
      <c r="H4134" s="35"/>
    </row>
    <row r="4135" spans="8:8" x14ac:dyDescent="0.35">
      <c r="H4135" s="35"/>
    </row>
    <row r="4136" spans="8:8" x14ac:dyDescent="0.35">
      <c r="H4136" s="35"/>
    </row>
    <row r="4137" spans="8:8" x14ac:dyDescent="0.35">
      <c r="H4137" s="35"/>
    </row>
    <row r="4138" spans="8:8" x14ac:dyDescent="0.35">
      <c r="H4138" s="35"/>
    </row>
    <row r="4139" spans="8:8" x14ac:dyDescent="0.35">
      <c r="H4139" s="35"/>
    </row>
    <row r="4140" spans="8:8" x14ac:dyDescent="0.35">
      <c r="H4140" s="35"/>
    </row>
    <row r="4141" spans="8:8" x14ac:dyDescent="0.35">
      <c r="H4141" s="35"/>
    </row>
    <row r="4142" spans="8:8" x14ac:dyDescent="0.35">
      <c r="H4142" s="35"/>
    </row>
    <row r="4143" spans="8:8" x14ac:dyDescent="0.35">
      <c r="H4143" s="35"/>
    </row>
    <row r="4144" spans="8:8" x14ac:dyDescent="0.35">
      <c r="H4144" s="35"/>
    </row>
    <row r="4145" spans="8:8" x14ac:dyDescent="0.35">
      <c r="H4145" s="35"/>
    </row>
    <row r="4146" spans="8:8" x14ac:dyDescent="0.35">
      <c r="H4146" s="35"/>
    </row>
    <row r="4147" spans="8:8" x14ac:dyDescent="0.35">
      <c r="H4147" s="35"/>
    </row>
    <row r="4148" spans="8:8" x14ac:dyDescent="0.35">
      <c r="H4148" s="35"/>
    </row>
    <row r="4149" spans="8:8" x14ac:dyDescent="0.35">
      <c r="H4149" s="35"/>
    </row>
    <row r="4150" spans="8:8" x14ac:dyDescent="0.35">
      <c r="H4150" s="35"/>
    </row>
    <row r="4151" spans="8:8" x14ac:dyDescent="0.35">
      <c r="H4151" s="35"/>
    </row>
    <row r="4152" spans="8:8" x14ac:dyDescent="0.35">
      <c r="H4152" s="35"/>
    </row>
    <row r="4153" spans="8:8" x14ac:dyDescent="0.35">
      <c r="H4153" s="35"/>
    </row>
    <row r="4154" spans="8:8" x14ac:dyDescent="0.35">
      <c r="H4154" s="35"/>
    </row>
    <row r="4155" spans="8:8" x14ac:dyDescent="0.35">
      <c r="H4155" s="35"/>
    </row>
    <row r="4156" spans="8:8" x14ac:dyDescent="0.35">
      <c r="H4156" s="35"/>
    </row>
    <row r="4157" spans="8:8" x14ac:dyDescent="0.35">
      <c r="H4157" s="35"/>
    </row>
    <row r="4158" spans="8:8" x14ac:dyDescent="0.35">
      <c r="H4158" s="35"/>
    </row>
    <row r="4159" spans="8:8" x14ac:dyDescent="0.35">
      <c r="H4159" s="35"/>
    </row>
    <row r="4160" spans="8:8" x14ac:dyDescent="0.35">
      <c r="H4160" s="35"/>
    </row>
    <row r="4161" spans="8:8" x14ac:dyDescent="0.35">
      <c r="H4161" s="35"/>
    </row>
    <row r="4162" spans="8:8" x14ac:dyDescent="0.35">
      <c r="H4162" s="35"/>
    </row>
    <row r="4163" spans="8:8" x14ac:dyDescent="0.35">
      <c r="H4163" s="35"/>
    </row>
    <row r="4164" spans="8:8" x14ac:dyDescent="0.35">
      <c r="H4164" s="35"/>
    </row>
    <row r="4165" spans="8:8" x14ac:dyDescent="0.35">
      <c r="H4165" s="35"/>
    </row>
    <row r="4166" spans="8:8" x14ac:dyDescent="0.35">
      <c r="H4166" s="35"/>
    </row>
    <row r="4167" spans="8:8" x14ac:dyDescent="0.35">
      <c r="H4167" s="35"/>
    </row>
    <row r="4168" spans="8:8" x14ac:dyDescent="0.35">
      <c r="H4168" s="35"/>
    </row>
    <row r="4169" spans="8:8" x14ac:dyDescent="0.35">
      <c r="H4169" s="35"/>
    </row>
    <row r="4170" spans="8:8" x14ac:dyDescent="0.35">
      <c r="H4170" s="35"/>
    </row>
    <row r="4171" spans="8:8" x14ac:dyDescent="0.35">
      <c r="H4171" s="35"/>
    </row>
    <row r="4172" spans="8:8" x14ac:dyDescent="0.35">
      <c r="H4172" s="35"/>
    </row>
    <row r="4173" spans="8:8" x14ac:dyDescent="0.35">
      <c r="H4173" s="35"/>
    </row>
    <row r="4174" spans="8:8" x14ac:dyDescent="0.35">
      <c r="H4174" s="35"/>
    </row>
    <row r="4175" spans="8:8" x14ac:dyDescent="0.35">
      <c r="H4175" s="35"/>
    </row>
    <row r="4176" spans="8:8" x14ac:dyDescent="0.35">
      <c r="H4176" s="35"/>
    </row>
    <row r="4177" spans="8:8" x14ac:dyDescent="0.35">
      <c r="H4177" s="35"/>
    </row>
    <row r="4178" spans="8:8" x14ac:dyDescent="0.35">
      <c r="H4178" s="35"/>
    </row>
    <row r="4179" spans="8:8" x14ac:dyDescent="0.35">
      <c r="H4179" s="35"/>
    </row>
    <row r="4180" spans="8:8" x14ac:dyDescent="0.35">
      <c r="H4180" s="35"/>
    </row>
    <row r="4181" spans="8:8" x14ac:dyDescent="0.35">
      <c r="H4181" s="35"/>
    </row>
    <row r="4182" spans="8:8" x14ac:dyDescent="0.35">
      <c r="H4182" s="35"/>
    </row>
    <row r="4183" spans="8:8" x14ac:dyDescent="0.35">
      <c r="H4183" s="35"/>
    </row>
    <row r="4184" spans="8:8" x14ac:dyDescent="0.35">
      <c r="H4184" s="35"/>
    </row>
    <row r="4185" spans="8:8" x14ac:dyDescent="0.35">
      <c r="H4185" s="35"/>
    </row>
    <row r="4186" spans="8:8" x14ac:dyDescent="0.35">
      <c r="H4186" s="35"/>
    </row>
    <row r="4187" spans="8:8" x14ac:dyDescent="0.35">
      <c r="H4187" s="35"/>
    </row>
    <row r="4188" spans="8:8" x14ac:dyDescent="0.35">
      <c r="H4188" s="35"/>
    </row>
    <row r="4189" spans="8:8" x14ac:dyDescent="0.35">
      <c r="H4189" s="35"/>
    </row>
    <row r="4190" spans="8:8" x14ac:dyDescent="0.35">
      <c r="H4190" s="35"/>
    </row>
    <row r="4191" spans="8:8" x14ac:dyDescent="0.35">
      <c r="H4191" s="35"/>
    </row>
    <row r="4192" spans="8:8" x14ac:dyDescent="0.35">
      <c r="H4192" s="35"/>
    </row>
    <row r="4193" spans="8:8" x14ac:dyDescent="0.35">
      <c r="H4193" s="35"/>
    </row>
    <row r="4194" spans="8:8" x14ac:dyDescent="0.35">
      <c r="H4194" s="35"/>
    </row>
    <row r="4195" spans="8:8" x14ac:dyDescent="0.35">
      <c r="H4195" s="35"/>
    </row>
    <row r="4196" spans="8:8" x14ac:dyDescent="0.35">
      <c r="H4196" s="35"/>
    </row>
    <row r="4197" spans="8:8" x14ac:dyDescent="0.35">
      <c r="H4197" s="35"/>
    </row>
    <row r="4198" spans="8:8" x14ac:dyDescent="0.35">
      <c r="H4198" s="35"/>
    </row>
    <row r="4199" spans="8:8" x14ac:dyDescent="0.35">
      <c r="H4199" s="35"/>
    </row>
    <row r="4200" spans="8:8" x14ac:dyDescent="0.35">
      <c r="H4200" s="35"/>
    </row>
    <row r="4201" spans="8:8" x14ac:dyDescent="0.35">
      <c r="H4201" s="35"/>
    </row>
    <row r="4202" spans="8:8" x14ac:dyDescent="0.35">
      <c r="H4202" s="35"/>
    </row>
    <row r="4203" spans="8:8" x14ac:dyDescent="0.35">
      <c r="H4203" s="35"/>
    </row>
    <row r="4204" spans="8:8" x14ac:dyDescent="0.35">
      <c r="H4204" s="35"/>
    </row>
    <row r="4205" spans="8:8" x14ac:dyDescent="0.35">
      <c r="H4205" s="35"/>
    </row>
    <row r="4206" spans="8:8" x14ac:dyDescent="0.35">
      <c r="H4206" s="35"/>
    </row>
    <row r="4207" spans="8:8" x14ac:dyDescent="0.35">
      <c r="H4207" s="35"/>
    </row>
    <row r="4208" spans="8:8" x14ac:dyDescent="0.35">
      <c r="H4208" s="35"/>
    </row>
    <row r="4209" spans="8:8" x14ac:dyDescent="0.35">
      <c r="H4209" s="35"/>
    </row>
    <row r="4210" spans="8:8" x14ac:dyDescent="0.35">
      <c r="H4210" s="35"/>
    </row>
    <row r="4211" spans="8:8" x14ac:dyDescent="0.35">
      <c r="H4211" s="35"/>
    </row>
    <row r="4212" spans="8:8" x14ac:dyDescent="0.35">
      <c r="H4212" s="35"/>
    </row>
    <row r="4213" spans="8:8" x14ac:dyDescent="0.35">
      <c r="H4213" s="35"/>
    </row>
    <row r="4214" spans="8:8" x14ac:dyDescent="0.35">
      <c r="H4214" s="35"/>
    </row>
    <row r="4215" spans="8:8" x14ac:dyDescent="0.35">
      <c r="H4215" s="35"/>
    </row>
    <row r="4216" spans="8:8" x14ac:dyDescent="0.35">
      <c r="H4216" s="35"/>
    </row>
    <row r="4217" spans="8:8" x14ac:dyDescent="0.35">
      <c r="H4217" s="35"/>
    </row>
    <row r="4218" spans="8:8" x14ac:dyDescent="0.35">
      <c r="H4218" s="35"/>
    </row>
    <row r="4219" spans="8:8" x14ac:dyDescent="0.35">
      <c r="H4219" s="35"/>
    </row>
    <row r="4220" spans="8:8" x14ac:dyDescent="0.35">
      <c r="H4220" s="35"/>
    </row>
    <row r="4221" spans="8:8" x14ac:dyDescent="0.35">
      <c r="H4221" s="35"/>
    </row>
    <row r="4222" spans="8:8" x14ac:dyDescent="0.35">
      <c r="H4222" s="35"/>
    </row>
    <row r="4223" spans="8:8" x14ac:dyDescent="0.35">
      <c r="H4223" s="35"/>
    </row>
    <row r="4224" spans="8:8" x14ac:dyDescent="0.35">
      <c r="H4224" s="35"/>
    </row>
    <row r="4225" spans="8:8" x14ac:dyDescent="0.35">
      <c r="H4225" s="35"/>
    </row>
    <row r="4226" spans="8:8" x14ac:dyDescent="0.35">
      <c r="H4226" s="35"/>
    </row>
    <row r="4227" spans="8:8" x14ac:dyDescent="0.35">
      <c r="H4227" s="35"/>
    </row>
    <row r="4228" spans="8:8" x14ac:dyDescent="0.35">
      <c r="H4228" s="35"/>
    </row>
    <row r="4229" spans="8:8" x14ac:dyDescent="0.35">
      <c r="H4229" s="35"/>
    </row>
    <row r="4230" spans="8:8" x14ac:dyDescent="0.35">
      <c r="H4230" s="35"/>
    </row>
    <row r="4231" spans="8:8" x14ac:dyDescent="0.35">
      <c r="H4231" s="35"/>
    </row>
    <row r="4232" spans="8:8" x14ac:dyDescent="0.35">
      <c r="H4232" s="35"/>
    </row>
    <row r="4233" spans="8:8" x14ac:dyDescent="0.35">
      <c r="H4233" s="35"/>
    </row>
    <row r="4234" spans="8:8" x14ac:dyDescent="0.35">
      <c r="H4234" s="35"/>
    </row>
    <row r="4235" spans="8:8" x14ac:dyDescent="0.35">
      <c r="H4235" s="35"/>
    </row>
    <row r="4236" spans="8:8" x14ac:dyDescent="0.35">
      <c r="H4236" s="35"/>
    </row>
    <row r="4237" spans="8:8" x14ac:dyDescent="0.35">
      <c r="H4237" s="35"/>
    </row>
    <row r="4238" spans="8:8" x14ac:dyDescent="0.35">
      <c r="H4238" s="35"/>
    </row>
    <row r="4239" spans="8:8" x14ac:dyDescent="0.35">
      <c r="H4239" s="35"/>
    </row>
    <row r="4240" spans="8:8" x14ac:dyDescent="0.35">
      <c r="H4240" s="35"/>
    </row>
    <row r="4241" spans="8:8" x14ac:dyDescent="0.35">
      <c r="H4241" s="35"/>
    </row>
    <row r="4242" spans="8:8" x14ac:dyDescent="0.35">
      <c r="H4242" s="35"/>
    </row>
    <row r="4243" spans="8:8" x14ac:dyDescent="0.35">
      <c r="H4243" s="35"/>
    </row>
    <row r="4244" spans="8:8" x14ac:dyDescent="0.35">
      <c r="H4244" s="35"/>
    </row>
    <row r="4245" spans="8:8" x14ac:dyDescent="0.35">
      <c r="H4245" s="35"/>
    </row>
    <row r="4246" spans="8:8" x14ac:dyDescent="0.35">
      <c r="H4246" s="35"/>
    </row>
    <row r="4247" spans="8:8" x14ac:dyDescent="0.35">
      <c r="H4247" s="35"/>
    </row>
    <row r="4248" spans="8:8" x14ac:dyDescent="0.35">
      <c r="H4248" s="35"/>
    </row>
    <row r="4249" spans="8:8" x14ac:dyDescent="0.35">
      <c r="H4249" s="35"/>
    </row>
    <row r="4250" spans="8:8" x14ac:dyDescent="0.35">
      <c r="H4250" s="35"/>
    </row>
    <row r="4251" spans="8:8" x14ac:dyDescent="0.35">
      <c r="H4251" s="35"/>
    </row>
    <row r="4252" spans="8:8" x14ac:dyDescent="0.35">
      <c r="H4252" s="35"/>
    </row>
    <row r="4253" spans="8:8" x14ac:dyDescent="0.35">
      <c r="H4253" s="35"/>
    </row>
    <row r="4254" spans="8:8" x14ac:dyDescent="0.35">
      <c r="H4254" s="35"/>
    </row>
    <row r="4255" spans="8:8" x14ac:dyDescent="0.35">
      <c r="H4255" s="35"/>
    </row>
    <row r="4256" spans="8:8" x14ac:dyDescent="0.35">
      <c r="H4256" s="35"/>
    </row>
    <row r="4257" spans="8:8" x14ac:dyDescent="0.35">
      <c r="H4257" s="35"/>
    </row>
    <row r="4258" spans="8:8" x14ac:dyDescent="0.35">
      <c r="H4258" s="35"/>
    </row>
    <row r="4259" spans="8:8" x14ac:dyDescent="0.35">
      <c r="H4259" s="35"/>
    </row>
    <row r="4260" spans="8:8" x14ac:dyDescent="0.35">
      <c r="H4260" s="35"/>
    </row>
    <row r="4261" spans="8:8" x14ac:dyDescent="0.35">
      <c r="H4261" s="35"/>
    </row>
    <row r="4262" spans="8:8" x14ac:dyDescent="0.35">
      <c r="H4262" s="35"/>
    </row>
    <row r="4263" spans="8:8" x14ac:dyDescent="0.35">
      <c r="H4263" s="35"/>
    </row>
    <row r="4264" spans="8:8" x14ac:dyDescent="0.35">
      <c r="H4264" s="35"/>
    </row>
    <row r="4265" spans="8:8" x14ac:dyDescent="0.35">
      <c r="H4265" s="35"/>
    </row>
    <row r="4266" spans="8:8" x14ac:dyDescent="0.35">
      <c r="H4266" s="35"/>
    </row>
    <row r="4267" spans="8:8" x14ac:dyDescent="0.35">
      <c r="H4267" s="35"/>
    </row>
    <row r="4268" spans="8:8" x14ac:dyDescent="0.35">
      <c r="H4268" s="35"/>
    </row>
    <row r="4269" spans="8:8" x14ac:dyDescent="0.35">
      <c r="H4269" s="35"/>
    </row>
    <row r="4270" spans="8:8" x14ac:dyDescent="0.35">
      <c r="H4270" s="35"/>
    </row>
    <row r="4271" spans="8:8" x14ac:dyDescent="0.35">
      <c r="H4271" s="35"/>
    </row>
    <row r="4272" spans="8:8" x14ac:dyDescent="0.35">
      <c r="H4272" s="35"/>
    </row>
    <row r="4273" spans="8:8" x14ac:dyDescent="0.35">
      <c r="H4273" s="35"/>
    </row>
    <row r="4274" spans="8:8" x14ac:dyDescent="0.35">
      <c r="H4274" s="35"/>
    </row>
    <row r="4275" spans="8:8" x14ac:dyDescent="0.35">
      <c r="H4275" s="35"/>
    </row>
    <row r="4276" spans="8:8" x14ac:dyDescent="0.35">
      <c r="H4276" s="35"/>
    </row>
    <row r="4277" spans="8:8" x14ac:dyDescent="0.35">
      <c r="H4277" s="35"/>
    </row>
    <row r="4278" spans="8:8" x14ac:dyDescent="0.35">
      <c r="H4278" s="35"/>
    </row>
    <row r="4279" spans="8:8" x14ac:dyDescent="0.35">
      <c r="H4279" s="35"/>
    </row>
    <row r="4280" spans="8:8" x14ac:dyDescent="0.35">
      <c r="H4280" s="35"/>
    </row>
    <row r="4281" spans="8:8" x14ac:dyDescent="0.35">
      <c r="H4281" s="35"/>
    </row>
    <row r="4282" spans="8:8" x14ac:dyDescent="0.35">
      <c r="H4282" s="35"/>
    </row>
    <row r="4283" spans="8:8" x14ac:dyDescent="0.35">
      <c r="H4283" s="35"/>
    </row>
    <row r="4284" spans="8:8" x14ac:dyDescent="0.35">
      <c r="H4284" s="35"/>
    </row>
    <row r="4285" spans="8:8" x14ac:dyDescent="0.35">
      <c r="H4285" s="35"/>
    </row>
    <row r="4286" spans="8:8" x14ac:dyDescent="0.35">
      <c r="H4286" s="35"/>
    </row>
    <row r="4287" spans="8:8" x14ac:dyDescent="0.35">
      <c r="H4287" s="35"/>
    </row>
    <row r="4288" spans="8:8" x14ac:dyDescent="0.35">
      <c r="H4288" s="35"/>
    </row>
    <row r="4289" spans="8:8" x14ac:dyDescent="0.35">
      <c r="H4289" s="35"/>
    </row>
    <row r="4290" spans="8:8" x14ac:dyDescent="0.35">
      <c r="H4290" s="35"/>
    </row>
    <row r="4291" spans="8:8" x14ac:dyDescent="0.35">
      <c r="H4291" s="35"/>
    </row>
    <row r="4292" spans="8:8" x14ac:dyDescent="0.35">
      <c r="H4292" s="35"/>
    </row>
    <row r="4293" spans="8:8" x14ac:dyDescent="0.35">
      <c r="H4293" s="35"/>
    </row>
    <row r="4294" spans="8:8" x14ac:dyDescent="0.35">
      <c r="H4294" s="35"/>
    </row>
    <row r="4295" spans="8:8" x14ac:dyDescent="0.35">
      <c r="H4295" s="35"/>
    </row>
    <row r="4296" spans="8:8" x14ac:dyDescent="0.35">
      <c r="H4296" s="35"/>
    </row>
    <row r="4297" spans="8:8" x14ac:dyDescent="0.35">
      <c r="H4297" s="35"/>
    </row>
    <row r="4298" spans="8:8" x14ac:dyDescent="0.35">
      <c r="H4298" s="35"/>
    </row>
    <row r="4299" spans="8:8" x14ac:dyDescent="0.35">
      <c r="H4299" s="35"/>
    </row>
    <row r="4300" spans="8:8" x14ac:dyDescent="0.35">
      <c r="H4300" s="35"/>
    </row>
    <row r="4301" spans="8:8" x14ac:dyDescent="0.35">
      <c r="H4301" s="35"/>
    </row>
    <row r="4302" spans="8:8" x14ac:dyDescent="0.35">
      <c r="H4302" s="35"/>
    </row>
    <row r="4303" spans="8:8" x14ac:dyDescent="0.35">
      <c r="H4303" s="35"/>
    </row>
    <row r="4304" spans="8:8" x14ac:dyDescent="0.35">
      <c r="H4304" s="35"/>
    </row>
    <row r="4305" spans="8:8" x14ac:dyDescent="0.35">
      <c r="H4305" s="35"/>
    </row>
    <row r="4306" spans="8:8" x14ac:dyDescent="0.35">
      <c r="H4306" s="35"/>
    </row>
    <row r="4307" spans="8:8" x14ac:dyDescent="0.35">
      <c r="H4307" s="35"/>
    </row>
    <row r="4308" spans="8:8" x14ac:dyDescent="0.35">
      <c r="H4308" s="35"/>
    </row>
    <row r="4309" spans="8:8" x14ac:dyDescent="0.35">
      <c r="H4309" s="35"/>
    </row>
    <row r="4310" spans="8:8" x14ac:dyDescent="0.35">
      <c r="H4310" s="35"/>
    </row>
    <row r="4311" spans="8:8" x14ac:dyDescent="0.35">
      <c r="H4311" s="35"/>
    </row>
    <row r="4312" spans="8:8" x14ac:dyDescent="0.35">
      <c r="H4312" s="35"/>
    </row>
    <row r="4313" spans="8:8" x14ac:dyDescent="0.35">
      <c r="H4313" s="35"/>
    </row>
    <row r="4314" spans="8:8" x14ac:dyDescent="0.35">
      <c r="H4314" s="35"/>
    </row>
    <row r="4315" spans="8:8" x14ac:dyDescent="0.35">
      <c r="H4315" s="35"/>
    </row>
    <row r="4316" spans="8:8" x14ac:dyDescent="0.35">
      <c r="H4316" s="35"/>
    </row>
    <row r="4317" spans="8:8" x14ac:dyDescent="0.35">
      <c r="H4317" s="35"/>
    </row>
    <row r="4318" spans="8:8" x14ac:dyDescent="0.35">
      <c r="H4318" s="35"/>
    </row>
    <row r="4319" spans="8:8" x14ac:dyDescent="0.35">
      <c r="H4319" s="35"/>
    </row>
    <row r="4320" spans="8:8" x14ac:dyDescent="0.35">
      <c r="H4320" s="35"/>
    </row>
    <row r="4321" spans="8:8" x14ac:dyDescent="0.35">
      <c r="H4321" s="35"/>
    </row>
    <row r="4322" spans="8:8" x14ac:dyDescent="0.35">
      <c r="H4322" s="35"/>
    </row>
    <row r="4323" spans="8:8" x14ac:dyDescent="0.35">
      <c r="H4323" s="35"/>
    </row>
    <row r="4324" spans="8:8" x14ac:dyDescent="0.35">
      <c r="H4324" s="35"/>
    </row>
    <row r="4325" spans="8:8" x14ac:dyDescent="0.35">
      <c r="H4325" s="35"/>
    </row>
    <row r="4326" spans="8:8" x14ac:dyDescent="0.35">
      <c r="H4326" s="35"/>
    </row>
    <row r="4327" spans="8:8" x14ac:dyDescent="0.35">
      <c r="H4327" s="35"/>
    </row>
    <row r="4328" spans="8:8" x14ac:dyDescent="0.35">
      <c r="H4328" s="35"/>
    </row>
    <row r="4329" spans="8:8" x14ac:dyDescent="0.35">
      <c r="H4329" s="35"/>
    </row>
    <row r="4330" spans="8:8" x14ac:dyDescent="0.35">
      <c r="H4330" s="35"/>
    </row>
    <row r="4331" spans="8:8" x14ac:dyDescent="0.35">
      <c r="H4331" s="35"/>
    </row>
    <row r="4332" spans="8:8" x14ac:dyDescent="0.35">
      <c r="H4332" s="35"/>
    </row>
    <row r="4333" spans="8:8" x14ac:dyDescent="0.35">
      <c r="H4333" s="35"/>
    </row>
    <row r="4334" spans="8:8" x14ac:dyDescent="0.35">
      <c r="H4334" s="35"/>
    </row>
    <row r="4335" spans="8:8" x14ac:dyDescent="0.35">
      <c r="H4335" s="35"/>
    </row>
    <row r="4336" spans="8:8" x14ac:dyDescent="0.35">
      <c r="H4336" s="35"/>
    </row>
    <row r="4337" spans="8:8" x14ac:dyDescent="0.35">
      <c r="H4337" s="35"/>
    </row>
    <row r="4338" spans="8:8" x14ac:dyDescent="0.35">
      <c r="H4338" s="35"/>
    </row>
    <row r="4339" spans="8:8" x14ac:dyDescent="0.35">
      <c r="H4339" s="35"/>
    </row>
    <row r="4340" spans="8:8" x14ac:dyDescent="0.35">
      <c r="H4340" s="35"/>
    </row>
    <row r="4341" spans="8:8" x14ac:dyDescent="0.35">
      <c r="H4341" s="35"/>
    </row>
    <row r="4342" spans="8:8" x14ac:dyDescent="0.35">
      <c r="H4342" s="35"/>
    </row>
    <row r="4343" spans="8:8" x14ac:dyDescent="0.35">
      <c r="H4343" s="35"/>
    </row>
    <row r="4344" spans="8:8" x14ac:dyDescent="0.35">
      <c r="H4344" s="35"/>
    </row>
    <row r="4345" spans="8:8" x14ac:dyDescent="0.35">
      <c r="H4345" s="35"/>
    </row>
    <row r="4346" spans="8:8" x14ac:dyDescent="0.35">
      <c r="H4346" s="35"/>
    </row>
    <row r="4347" spans="8:8" x14ac:dyDescent="0.35">
      <c r="H4347" s="35"/>
    </row>
    <row r="4348" spans="8:8" x14ac:dyDescent="0.35">
      <c r="H4348" s="35"/>
    </row>
    <row r="4349" spans="8:8" x14ac:dyDescent="0.35">
      <c r="H4349" s="35"/>
    </row>
    <row r="4350" spans="8:8" x14ac:dyDescent="0.35">
      <c r="H4350" s="35"/>
    </row>
    <row r="4351" spans="8:8" x14ac:dyDescent="0.35">
      <c r="H4351" s="35"/>
    </row>
    <row r="4352" spans="8:8" x14ac:dyDescent="0.35">
      <c r="H4352" s="35"/>
    </row>
    <row r="4353" spans="8:8" x14ac:dyDescent="0.35">
      <c r="H4353" s="35"/>
    </row>
    <row r="4354" spans="8:8" x14ac:dyDescent="0.35">
      <c r="H4354" s="35"/>
    </row>
    <row r="4355" spans="8:8" x14ac:dyDescent="0.35">
      <c r="H4355" s="35"/>
    </row>
    <row r="4356" spans="8:8" x14ac:dyDescent="0.35">
      <c r="H4356" s="35"/>
    </row>
    <row r="4357" spans="8:8" x14ac:dyDescent="0.35">
      <c r="H4357" s="35"/>
    </row>
    <row r="4358" spans="8:8" x14ac:dyDescent="0.35">
      <c r="H4358" s="35"/>
    </row>
    <row r="4359" spans="8:8" x14ac:dyDescent="0.35">
      <c r="H4359" s="35"/>
    </row>
    <row r="4360" spans="8:8" x14ac:dyDescent="0.35">
      <c r="H4360" s="35"/>
    </row>
    <row r="4361" spans="8:8" x14ac:dyDescent="0.35">
      <c r="H4361" s="35"/>
    </row>
    <row r="4362" spans="8:8" x14ac:dyDescent="0.35">
      <c r="H4362" s="35"/>
    </row>
    <row r="4363" spans="8:8" x14ac:dyDescent="0.35">
      <c r="H4363" s="35"/>
    </row>
    <row r="4364" spans="8:8" x14ac:dyDescent="0.35">
      <c r="H4364" s="35"/>
    </row>
    <row r="4365" spans="8:8" x14ac:dyDescent="0.35">
      <c r="H4365" s="35"/>
    </row>
    <row r="4366" spans="8:8" x14ac:dyDescent="0.35">
      <c r="H4366" s="35"/>
    </row>
    <row r="4367" spans="8:8" x14ac:dyDescent="0.35">
      <c r="H4367" s="35"/>
    </row>
    <row r="4368" spans="8:8" x14ac:dyDescent="0.35">
      <c r="H4368" s="35"/>
    </row>
    <row r="4369" spans="8:8" x14ac:dyDescent="0.35">
      <c r="H4369" s="35"/>
    </row>
    <row r="4370" spans="8:8" x14ac:dyDescent="0.35">
      <c r="H4370" s="35"/>
    </row>
    <row r="4371" spans="8:8" x14ac:dyDescent="0.35">
      <c r="H4371" s="35"/>
    </row>
    <row r="4372" spans="8:8" x14ac:dyDescent="0.35">
      <c r="H4372" s="35"/>
    </row>
    <row r="4373" spans="8:8" x14ac:dyDescent="0.35">
      <c r="H4373" s="35"/>
    </row>
    <row r="4374" spans="8:8" x14ac:dyDescent="0.35">
      <c r="H4374" s="35"/>
    </row>
    <row r="4375" spans="8:8" x14ac:dyDescent="0.35">
      <c r="H4375" s="35"/>
    </row>
    <row r="4376" spans="8:8" x14ac:dyDescent="0.35">
      <c r="H4376" s="35"/>
    </row>
    <row r="4377" spans="8:8" x14ac:dyDescent="0.35">
      <c r="H4377" s="35"/>
    </row>
    <row r="4378" spans="8:8" x14ac:dyDescent="0.35">
      <c r="H4378" s="35"/>
    </row>
    <row r="4379" spans="8:8" x14ac:dyDescent="0.35">
      <c r="H4379" s="35"/>
    </row>
    <row r="4380" spans="8:8" x14ac:dyDescent="0.35">
      <c r="H4380" s="35"/>
    </row>
    <row r="4381" spans="8:8" x14ac:dyDescent="0.35">
      <c r="H4381" s="35"/>
    </row>
    <row r="4382" spans="8:8" x14ac:dyDescent="0.35">
      <c r="H4382" s="35"/>
    </row>
    <row r="4383" spans="8:8" x14ac:dyDescent="0.35">
      <c r="H4383" s="35"/>
    </row>
    <row r="4384" spans="8:8" x14ac:dyDescent="0.35">
      <c r="H4384" s="35"/>
    </row>
    <row r="4385" spans="8:8" x14ac:dyDescent="0.35">
      <c r="H4385" s="35"/>
    </row>
    <row r="4386" spans="8:8" x14ac:dyDescent="0.35">
      <c r="H4386" s="35"/>
    </row>
    <row r="4387" spans="8:8" x14ac:dyDescent="0.35">
      <c r="H4387" s="35"/>
    </row>
    <row r="4388" spans="8:8" x14ac:dyDescent="0.35">
      <c r="H4388" s="35"/>
    </row>
    <row r="4389" spans="8:8" x14ac:dyDescent="0.35">
      <c r="H4389" s="35"/>
    </row>
    <row r="4390" spans="8:8" x14ac:dyDescent="0.35">
      <c r="H4390" s="35"/>
    </row>
    <row r="4391" spans="8:8" x14ac:dyDescent="0.35">
      <c r="H4391" s="35"/>
    </row>
    <row r="4392" spans="8:8" x14ac:dyDescent="0.35">
      <c r="H4392" s="35"/>
    </row>
    <row r="4393" spans="8:8" x14ac:dyDescent="0.35">
      <c r="H4393" s="35"/>
    </row>
    <row r="4394" spans="8:8" x14ac:dyDescent="0.35">
      <c r="H4394" s="35"/>
    </row>
    <row r="4395" spans="8:8" x14ac:dyDescent="0.35">
      <c r="H4395" s="35"/>
    </row>
    <row r="4396" spans="8:8" x14ac:dyDescent="0.35">
      <c r="H4396" s="35"/>
    </row>
    <row r="4397" spans="8:8" x14ac:dyDescent="0.35">
      <c r="H4397" s="35"/>
    </row>
    <row r="4398" spans="8:8" x14ac:dyDescent="0.35">
      <c r="H4398" s="35"/>
    </row>
    <row r="4399" spans="8:8" x14ac:dyDescent="0.35">
      <c r="H4399" s="35"/>
    </row>
    <row r="4400" spans="8:8" x14ac:dyDescent="0.35">
      <c r="H4400" s="35"/>
    </row>
    <row r="4401" spans="8:8" x14ac:dyDescent="0.35">
      <c r="H4401" s="35"/>
    </row>
    <row r="4402" spans="8:8" x14ac:dyDescent="0.35">
      <c r="H4402" s="35"/>
    </row>
    <row r="4403" spans="8:8" x14ac:dyDescent="0.35">
      <c r="H4403" s="35"/>
    </row>
    <row r="4404" spans="8:8" x14ac:dyDescent="0.35">
      <c r="H4404" s="35"/>
    </row>
    <row r="4405" spans="8:8" x14ac:dyDescent="0.35">
      <c r="H4405" s="35"/>
    </row>
    <row r="4406" spans="8:8" x14ac:dyDescent="0.35">
      <c r="H4406" s="35"/>
    </row>
    <row r="4407" spans="8:8" x14ac:dyDescent="0.35">
      <c r="H4407" s="35"/>
    </row>
    <row r="4408" spans="8:8" x14ac:dyDescent="0.35">
      <c r="H4408" s="35"/>
    </row>
    <row r="4409" spans="8:8" x14ac:dyDescent="0.35">
      <c r="H4409" s="35"/>
    </row>
    <row r="4410" spans="8:8" x14ac:dyDescent="0.35">
      <c r="H4410" s="35"/>
    </row>
    <row r="4411" spans="8:8" x14ac:dyDescent="0.35">
      <c r="H4411" s="35"/>
    </row>
    <row r="4412" spans="8:8" x14ac:dyDescent="0.35">
      <c r="H4412" s="35"/>
    </row>
    <row r="4413" spans="8:8" x14ac:dyDescent="0.35">
      <c r="H4413" s="35"/>
    </row>
    <row r="4414" spans="8:8" x14ac:dyDescent="0.35">
      <c r="H4414" s="35"/>
    </row>
    <row r="4415" spans="8:8" x14ac:dyDescent="0.35">
      <c r="H4415" s="35"/>
    </row>
    <row r="4416" spans="8:8" x14ac:dyDescent="0.35">
      <c r="H4416" s="35"/>
    </row>
    <row r="4417" spans="8:8" x14ac:dyDescent="0.35">
      <c r="H4417" s="35"/>
    </row>
    <row r="4418" spans="8:8" x14ac:dyDescent="0.35">
      <c r="H4418" s="35"/>
    </row>
    <row r="4419" spans="8:8" x14ac:dyDescent="0.35">
      <c r="H4419" s="35"/>
    </row>
    <row r="4420" spans="8:8" x14ac:dyDescent="0.35">
      <c r="H4420" s="35"/>
    </row>
    <row r="4421" spans="8:8" x14ac:dyDescent="0.35">
      <c r="H4421" s="35"/>
    </row>
    <row r="4422" spans="8:8" x14ac:dyDescent="0.35">
      <c r="H4422" s="35"/>
    </row>
    <row r="4423" spans="8:8" x14ac:dyDescent="0.35">
      <c r="H4423" s="35"/>
    </row>
    <row r="4424" spans="8:8" x14ac:dyDescent="0.35">
      <c r="H4424" s="35"/>
    </row>
    <row r="4425" spans="8:8" x14ac:dyDescent="0.35">
      <c r="H4425" s="35"/>
    </row>
    <row r="4426" spans="8:8" x14ac:dyDescent="0.35">
      <c r="H4426" s="35"/>
    </row>
    <row r="4427" spans="8:8" x14ac:dyDescent="0.35">
      <c r="H4427" s="35"/>
    </row>
    <row r="4428" spans="8:8" x14ac:dyDescent="0.35">
      <c r="H4428" s="35"/>
    </row>
    <row r="4429" spans="8:8" x14ac:dyDescent="0.35">
      <c r="H4429" s="35"/>
    </row>
    <row r="4430" spans="8:8" x14ac:dyDescent="0.35">
      <c r="H4430" s="35"/>
    </row>
    <row r="4431" spans="8:8" x14ac:dyDescent="0.35">
      <c r="H4431" s="35"/>
    </row>
    <row r="4432" spans="8:8" x14ac:dyDescent="0.35">
      <c r="H4432" s="35"/>
    </row>
    <row r="4433" spans="8:8" x14ac:dyDescent="0.35">
      <c r="H4433" s="35"/>
    </row>
    <row r="4434" spans="8:8" x14ac:dyDescent="0.35">
      <c r="H4434" s="35"/>
    </row>
    <row r="4435" spans="8:8" x14ac:dyDescent="0.35">
      <c r="H4435" s="35"/>
    </row>
    <row r="4436" spans="8:8" x14ac:dyDescent="0.35">
      <c r="H4436" s="35"/>
    </row>
    <row r="4437" spans="8:8" x14ac:dyDescent="0.35">
      <c r="H4437" s="35"/>
    </row>
    <row r="4438" spans="8:8" x14ac:dyDescent="0.35">
      <c r="H4438" s="35"/>
    </row>
    <row r="4439" spans="8:8" x14ac:dyDescent="0.35">
      <c r="H4439" s="35"/>
    </row>
    <row r="4440" spans="8:8" x14ac:dyDescent="0.35">
      <c r="H4440" s="35"/>
    </row>
    <row r="4441" spans="8:8" x14ac:dyDescent="0.35">
      <c r="H4441" s="35"/>
    </row>
    <row r="4442" spans="8:8" x14ac:dyDescent="0.35">
      <c r="H4442" s="35"/>
    </row>
    <row r="4443" spans="8:8" x14ac:dyDescent="0.35">
      <c r="H4443" s="35"/>
    </row>
    <row r="4444" spans="8:8" x14ac:dyDescent="0.35">
      <c r="H4444" s="35"/>
    </row>
    <row r="4445" spans="8:8" x14ac:dyDescent="0.35">
      <c r="H4445" s="35"/>
    </row>
    <row r="4446" spans="8:8" x14ac:dyDescent="0.35">
      <c r="H4446" s="35"/>
    </row>
    <row r="4447" spans="8:8" x14ac:dyDescent="0.35">
      <c r="H4447" s="35"/>
    </row>
    <row r="4448" spans="8:8" x14ac:dyDescent="0.35">
      <c r="H4448" s="35"/>
    </row>
    <row r="4449" spans="8:8" x14ac:dyDescent="0.35">
      <c r="H4449" s="35"/>
    </row>
    <row r="4450" spans="8:8" x14ac:dyDescent="0.35">
      <c r="H4450" s="35"/>
    </row>
    <row r="4451" spans="8:8" x14ac:dyDescent="0.35">
      <c r="H4451" s="35"/>
    </row>
    <row r="4452" spans="8:8" x14ac:dyDescent="0.35">
      <c r="H4452" s="35"/>
    </row>
    <row r="4453" spans="8:8" x14ac:dyDescent="0.35">
      <c r="H4453" s="35"/>
    </row>
    <row r="4454" spans="8:8" x14ac:dyDescent="0.35">
      <c r="H4454" s="35"/>
    </row>
    <row r="4455" spans="8:8" x14ac:dyDescent="0.35">
      <c r="H4455" s="35"/>
    </row>
    <row r="4456" spans="8:8" x14ac:dyDescent="0.35">
      <c r="H4456" s="35"/>
    </row>
    <row r="4457" spans="8:8" x14ac:dyDescent="0.35">
      <c r="H4457" s="35"/>
    </row>
    <row r="4458" spans="8:8" x14ac:dyDescent="0.35">
      <c r="H4458" s="35"/>
    </row>
    <row r="4459" spans="8:8" x14ac:dyDescent="0.35">
      <c r="H4459" s="35"/>
    </row>
    <row r="4460" spans="8:8" x14ac:dyDescent="0.35">
      <c r="H4460" s="35"/>
    </row>
    <row r="4461" spans="8:8" x14ac:dyDescent="0.35">
      <c r="H4461" s="35"/>
    </row>
    <row r="4462" spans="8:8" x14ac:dyDescent="0.35">
      <c r="H4462" s="35"/>
    </row>
    <row r="4463" spans="8:8" x14ac:dyDescent="0.35">
      <c r="H4463" s="35"/>
    </row>
    <row r="4464" spans="8:8" x14ac:dyDescent="0.35">
      <c r="H4464" s="35"/>
    </row>
    <row r="4465" spans="8:8" x14ac:dyDescent="0.35">
      <c r="H4465" s="35"/>
    </row>
    <row r="4466" spans="8:8" x14ac:dyDescent="0.35">
      <c r="H4466" s="35"/>
    </row>
    <row r="4467" spans="8:8" x14ac:dyDescent="0.35">
      <c r="H4467" s="35"/>
    </row>
    <row r="4468" spans="8:8" x14ac:dyDescent="0.35">
      <c r="H4468" s="35"/>
    </row>
    <row r="4469" spans="8:8" x14ac:dyDescent="0.35">
      <c r="H4469" s="35"/>
    </row>
    <row r="4470" spans="8:8" x14ac:dyDescent="0.35">
      <c r="H4470" s="35"/>
    </row>
    <row r="4471" spans="8:8" x14ac:dyDescent="0.35">
      <c r="H4471" s="35"/>
    </row>
    <row r="4472" spans="8:8" x14ac:dyDescent="0.35">
      <c r="H4472" s="35"/>
    </row>
    <row r="4473" spans="8:8" x14ac:dyDescent="0.35">
      <c r="H4473" s="35"/>
    </row>
    <row r="4474" spans="8:8" x14ac:dyDescent="0.35">
      <c r="H4474" s="35"/>
    </row>
    <row r="4475" spans="8:8" x14ac:dyDescent="0.35">
      <c r="H4475" s="35"/>
    </row>
    <row r="4476" spans="8:8" x14ac:dyDescent="0.35">
      <c r="H4476" s="35"/>
    </row>
    <row r="4477" spans="8:8" x14ac:dyDescent="0.35">
      <c r="H4477" s="35"/>
    </row>
    <row r="4478" spans="8:8" x14ac:dyDescent="0.35">
      <c r="H4478" s="35"/>
    </row>
    <row r="4479" spans="8:8" x14ac:dyDescent="0.35">
      <c r="H4479" s="35"/>
    </row>
    <row r="4480" spans="8:8" x14ac:dyDescent="0.35">
      <c r="H4480" s="35"/>
    </row>
    <row r="4481" spans="8:8" x14ac:dyDescent="0.35">
      <c r="H4481" s="35"/>
    </row>
    <row r="4482" spans="8:8" x14ac:dyDescent="0.35">
      <c r="H4482" s="35"/>
    </row>
    <row r="4483" spans="8:8" x14ac:dyDescent="0.35">
      <c r="H4483" s="35"/>
    </row>
    <row r="4484" spans="8:8" x14ac:dyDescent="0.35">
      <c r="H4484" s="35"/>
    </row>
    <row r="4485" spans="8:8" x14ac:dyDescent="0.35">
      <c r="H4485" s="35"/>
    </row>
    <row r="4486" spans="8:8" x14ac:dyDescent="0.35">
      <c r="H4486" s="35"/>
    </row>
    <row r="4487" spans="8:8" x14ac:dyDescent="0.35">
      <c r="H4487" s="35"/>
    </row>
    <row r="4488" spans="8:8" x14ac:dyDescent="0.35">
      <c r="H4488" s="35"/>
    </row>
    <row r="4489" spans="8:8" x14ac:dyDescent="0.35">
      <c r="H4489" s="35"/>
    </row>
    <row r="4490" spans="8:8" x14ac:dyDescent="0.35">
      <c r="H4490" s="35"/>
    </row>
    <row r="4491" spans="8:8" x14ac:dyDescent="0.35">
      <c r="H4491" s="35"/>
    </row>
    <row r="4492" spans="8:8" x14ac:dyDescent="0.35">
      <c r="H4492" s="35"/>
    </row>
    <row r="4493" spans="8:8" x14ac:dyDescent="0.35">
      <c r="H4493" s="35"/>
    </row>
    <row r="4494" spans="8:8" x14ac:dyDescent="0.35">
      <c r="H4494" s="35"/>
    </row>
    <row r="4495" spans="8:8" x14ac:dyDescent="0.35">
      <c r="H4495" s="35"/>
    </row>
    <row r="4496" spans="8:8" x14ac:dyDescent="0.35">
      <c r="H4496" s="35"/>
    </row>
    <row r="4497" spans="8:8" x14ac:dyDescent="0.35">
      <c r="H4497" s="35"/>
    </row>
    <row r="4498" spans="8:8" x14ac:dyDescent="0.35">
      <c r="H4498" s="35"/>
    </row>
    <row r="4499" spans="8:8" x14ac:dyDescent="0.35">
      <c r="H4499" s="35"/>
    </row>
    <row r="4500" spans="8:8" x14ac:dyDescent="0.35">
      <c r="H4500" s="35"/>
    </row>
    <row r="4501" spans="8:8" x14ac:dyDescent="0.35">
      <c r="H4501" s="35"/>
    </row>
    <row r="4502" spans="8:8" x14ac:dyDescent="0.35">
      <c r="H4502" s="35"/>
    </row>
    <row r="4503" spans="8:8" x14ac:dyDescent="0.35">
      <c r="H4503" s="35"/>
    </row>
    <row r="4504" spans="8:8" x14ac:dyDescent="0.35">
      <c r="H4504" s="35"/>
    </row>
    <row r="4505" spans="8:8" x14ac:dyDescent="0.35">
      <c r="H4505" s="35"/>
    </row>
    <row r="4506" spans="8:8" x14ac:dyDescent="0.35">
      <c r="H4506" s="35"/>
    </row>
    <row r="4507" spans="8:8" x14ac:dyDescent="0.35">
      <c r="H4507" s="35"/>
    </row>
    <row r="4508" spans="8:8" x14ac:dyDescent="0.35">
      <c r="H4508" s="35"/>
    </row>
    <row r="4509" spans="8:8" x14ac:dyDescent="0.35">
      <c r="H4509" s="35"/>
    </row>
    <row r="4510" spans="8:8" x14ac:dyDescent="0.35">
      <c r="H4510" s="35"/>
    </row>
    <row r="4511" spans="8:8" x14ac:dyDescent="0.35">
      <c r="H4511" s="35"/>
    </row>
    <row r="4512" spans="8:8" x14ac:dyDescent="0.35">
      <c r="H4512" s="35"/>
    </row>
    <row r="4513" spans="8:8" x14ac:dyDescent="0.35">
      <c r="H4513" s="35"/>
    </row>
    <row r="4514" spans="8:8" x14ac:dyDescent="0.35">
      <c r="H4514" s="35"/>
    </row>
    <row r="4515" spans="8:8" x14ac:dyDescent="0.35">
      <c r="H4515" s="35"/>
    </row>
    <row r="4516" spans="8:8" x14ac:dyDescent="0.35">
      <c r="H4516" s="35"/>
    </row>
    <row r="4517" spans="8:8" x14ac:dyDescent="0.35">
      <c r="H4517" s="35"/>
    </row>
    <row r="4518" spans="8:8" x14ac:dyDescent="0.35">
      <c r="H4518" s="35"/>
    </row>
    <row r="4519" spans="8:8" x14ac:dyDescent="0.35">
      <c r="H4519" s="35"/>
    </row>
    <row r="4520" spans="8:8" x14ac:dyDescent="0.35">
      <c r="H4520" s="35"/>
    </row>
    <row r="4521" spans="8:8" x14ac:dyDescent="0.35">
      <c r="H4521" s="35"/>
    </row>
    <row r="4522" spans="8:8" x14ac:dyDescent="0.35">
      <c r="H4522" s="35"/>
    </row>
    <row r="4523" spans="8:8" x14ac:dyDescent="0.35">
      <c r="H4523" s="35"/>
    </row>
    <row r="4524" spans="8:8" x14ac:dyDescent="0.35">
      <c r="H4524" s="35"/>
    </row>
    <row r="4525" spans="8:8" x14ac:dyDescent="0.35">
      <c r="H4525" s="35"/>
    </row>
    <row r="4526" spans="8:8" x14ac:dyDescent="0.35">
      <c r="H4526" s="35"/>
    </row>
    <row r="4527" spans="8:8" x14ac:dyDescent="0.35">
      <c r="H4527" s="35"/>
    </row>
    <row r="4528" spans="8:8" x14ac:dyDescent="0.35">
      <c r="H4528" s="35"/>
    </row>
    <row r="4529" spans="8:8" x14ac:dyDescent="0.35">
      <c r="H4529" s="35"/>
    </row>
    <row r="4530" spans="8:8" x14ac:dyDescent="0.35">
      <c r="H4530" s="35"/>
    </row>
    <row r="4531" spans="8:8" x14ac:dyDescent="0.35">
      <c r="H4531" s="35"/>
    </row>
    <row r="4532" spans="8:8" x14ac:dyDescent="0.35">
      <c r="H4532" s="35"/>
    </row>
    <row r="4533" spans="8:8" x14ac:dyDescent="0.35">
      <c r="H4533" s="35"/>
    </row>
    <row r="4534" spans="8:8" x14ac:dyDescent="0.35">
      <c r="H4534" s="35"/>
    </row>
    <row r="4535" spans="8:8" x14ac:dyDescent="0.35">
      <c r="H4535" s="35"/>
    </row>
    <row r="4536" spans="8:8" x14ac:dyDescent="0.35">
      <c r="H4536" s="35"/>
    </row>
    <row r="4537" spans="8:8" x14ac:dyDescent="0.35">
      <c r="H4537" s="35"/>
    </row>
    <row r="4538" spans="8:8" x14ac:dyDescent="0.35">
      <c r="H4538" s="35"/>
    </row>
    <row r="4539" spans="8:8" x14ac:dyDescent="0.35">
      <c r="H4539" s="35"/>
    </row>
    <row r="4540" spans="8:8" x14ac:dyDescent="0.35">
      <c r="H4540" s="35"/>
    </row>
    <row r="4541" spans="8:8" x14ac:dyDescent="0.35">
      <c r="H4541" s="35"/>
    </row>
    <row r="4542" spans="8:8" x14ac:dyDescent="0.35">
      <c r="H4542" s="35"/>
    </row>
    <row r="4543" spans="8:8" x14ac:dyDescent="0.35">
      <c r="H4543" s="35"/>
    </row>
    <row r="4544" spans="8:8" x14ac:dyDescent="0.35">
      <c r="H4544" s="35"/>
    </row>
    <row r="4545" spans="8:8" x14ac:dyDescent="0.35">
      <c r="H4545" s="35"/>
    </row>
    <row r="4546" spans="8:8" x14ac:dyDescent="0.35">
      <c r="H4546" s="35"/>
    </row>
    <row r="4547" spans="8:8" x14ac:dyDescent="0.35">
      <c r="H4547" s="35"/>
    </row>
    <row r="4548" spans="8:8" x14ac:dyDescent="0.35">
      <c r="H4548" s="35"/>
    </row>
    <row r="4549" spans="8:8" x14ac:dyDescent="0.35">
      <c r="H4549" s="35"/>
    </row>
    <row r="4550" spans="8:8" x14ac:dyDescent="0.35">
      <c r="H4550" s="35"/>
    </row>
    <row r="4551" spans="8:8" x14ac:dyDescent="0.35">
      <c r="H4551" s="35"/>
    </row>
    <row r="4552" spans="8:8" x14ac:dyDescent="0.35">
      <c r="H4552" s="35"/>
    </row>
    <row r="4553" spans="8:8" x14ac:dyDescent="0.35">
      <c r="H4553" s="35"/>
    </row>
    <row r="4554" spans="8:8" x14ac:dyDescent="0.35">
      <c r="H4554" s="35"/>
    </row>
    <row r="4555" spans="8:8" x14ac:dyDescent="0.35">
      <c r="H4555" s="35"/>
    </row>
    <row r="4556" spans="8:8" x14ac:dyDescent="0.35">
      <c r="H4556" s="35"/>
    </row>
    <row r="4557" spans="8:8" x14ac:dyDescent="0.35">
      <c r="H4557" s="35"/>
    </row>
    <row r="4558" spans="8:8" x14ac:dyDescent="0.35">
      <c r="H4558" s="35"/>
    </row>
    <row r="4559" spans="8:8" x14ac:dyDescent="0.35">
      <c r="H4559" s="35"/>
    </row>
    <row r="4560" spans="8:8" x14ac:dyDescent="0.35">
      <c r="H4560" s="35"/>
    </row>
    <row r="4561" spans="8:8" x14ac:dyDescent="0.35">
      <c r="H4561" s="35"/>
    </row>
    <row r="4562" spans="8:8" x14ac:dyDescent="0.35">
      <c r="H4562" s="35"/>
    </row>
    <row r="4563" spans="8:8" x14ac:dyDescent="0.35">
      <c r="H4563" s="35"/>
    </row>
    <row r="4564" spans="8:8" x14ac:dyDescent="0.35">
      <c r="H4564" s="35"/>
    </row>
    <row r="4565" spans="8:8" x14ac:dyDescent="0.35">
      <c r="H4565" s="35"/>
    </row>
    <row r="4566" spans="8:8" x14ac:dyDescent="0.35">
      <c r="H4566" s="35"/>
    </row>
    <row r="4567" spans="8:8" x14ac:dyDescent="0.35">
      <c r="H4567" s="35"/>
    </row>
    <row r="4568" spans="8:8" x14ac:dyDescent="0.35">
      <c r="H4568" s="35"/>
    </row>
    <row r="4569" spans="8:8" x14ac:dyDescent="0.35">
      <c r="H4569" s="35"/>
    </row>
    <row r="4570" spans="8:8" x14ac:dyDescent="0.35">
      <c r="H4570" s="35"/>
    </row>
    <row r="4571" spans="8:8" x14ac:dyDescent="0.35">
      <c r="H4571" s="35"/>
    </row>
    <row r="4572" spans="8:8" x14ac:dyDescent="0.35">
      <c r="H4572" s="35"/>
    </row>
    <row r="4573" spans="8:8" x14ac:dyDescent="0.35">
      <c r="H4573" s="35"/>
    </row>
    <row r="4574" spans="8:8" x14ac:dyDescent="0.35">
      <c r="H4574" s="35"/>
    </row>
    <row r="4575" spans="8:8" x14ac:dyDescent="0.35">
      <c r="H4575" s="35"/>
    </row>
    <row r="4576" spans="8:8" x14ac:dyDescent="0.35">
      <c r="H4576" s="35"/>
    </row>
    <row r="4577" spans="8:8" x14ac:dyDescent="0.35">
      <c r="H4577" s="35"/>
    </row>
    <row r="4578" spans="8:8" x14ac:dyDescent="0.35">
      <c r="H4578" s="35"/>
    </row>
    <row r="4579" spans="8:8" x14ac:dyDescent="0.35">
      <c r="H4579" s="35"/>
    </row>
    <row r="4580" spans="8:8" x14ac:dyDescent="0.35">
      <c r="H4580" s="35"/>
    </row>
    <row r="4581" spans="8:8" x14ac:dyDescent="0.35">
      <c r="H4581" s="35"/>
    </row>
    <row r="4582" spans="8:8" x14ac:dyDescent="0.35">
      <c r="H4582" s="35"/>
    </row>
    <row r="4583" spans="8:8" x14ac:dyDescent="0.35">
      <c r="H4583" s="35"/>
    </row>
    <row r="4584" spans="8:8" x14ac:dyDescent="0.35">
      <c r="H4584" s="35"/>
    </row>
    <row r="4585" spans="8:8" x14ac:dyDescent="0.35">
      <c r="H4585" s="35"/>
    </row>
    <row r="4586" spans="8:8" x14ac:dyDescent="0.35">
      <c r="H4586" s="35"/>
    </row>
    <row r="4587" spans="8:8" x14ac:dyDescent="0.35">
      <c r="H4587" s="35"/>
    </row>
    <row r="4588" spans="8:8" x14ac:dyDescent="0.35">
      <c r="H4588" s="35"/>
    </row>
    <row r="4589" spans="8:8" x14ac:dyDescent="0.35">
      <c r="H4589" s="35"/>
    </row>
    <row r="4590" spans="8:8" x14ac:dyDescent="0.35">
      <c r="H4590" s="35"/>
    </row>
    <row r="4591" spans="8:8" x14ac:dyDescent="0.35">
      <c r="H4591" s="35"/>
    </row>
    <row r="4592" spans="8:8" x14ac:dyDescent="0.35">
      <c r="H4592" s="35"/>
    </row>
    <row r="4593" spans="8:8" x14ac:dyDescent="0.35">
      <c r="H4593" s="35"/>
    </row>
    <row r="4594" spans="8:8" x14ac:dyDescent="0.35">
      <c r="H4594" s="35"/>
    </row>
    <row r="4595" spans="8:8" x14ac:dyDescent="0.35">
      <c r="H4595" s="35"/>
    </row>
    <row r="4596" spans="8:8" x14ac:dyDescent="0.35">
      <c r="H4596" s="35"/>
    </row>
    <row r="4597" spans="8:8" x14ac:dyDescent="0.35">
      <c r="H4597" s="35"/>
    </row>
    <row r="4598" spans="8:8" x14ac:dyDescent="0.35">
      <c r="H4598" s="35"/>
    </row>
    <row r="4599" spans="8:8" x14ac:dyDescent="0.35">
      <c r="H4599" s="35"/>
    </row>
    <row r="4600" spans="8:8" x14ac:dyDescent="0.35">
      <c r="H4600" s="35"/>
    </row>
    <row r="4601" spans="8:8" x14ac:dyDescent="0.35">
      <c r="H4601" s="35"/>
    </row>
    <row r="4602" spans="8:8" x14ac:dyDescent="0.35">
      <c r="H4602" s="35"/>
    </row>
    <row r="4603" spans="8:8" x14ac:dyDescent="0.35">
      <c r="H4603" s="35"/>
    </row>
    <row r="4604" spans="8:8" x14ac:dyDescent="0.35">
      <c r="H4604" s="35"/>
    </row>
    <row r="4605" spans="8:8" x14ac:dyDescent="0.35">
      <c r="H4605" s="35"/>
    </row>
    <row r="4606" spans="8:8" x14ac:dyDescent="0.35">
      <c r="H4606" s="35"/>
    </row>
    <row r="4607" spans="8:8" x14ac:dyDescent="0.35">
      <c r="H4607" s="35"/>
    </row>
    <row r="4608" spans="8:8" x14ac:dyDescent="0.35">
      <c r="H4608" s="35"/>
    </row>
    <row r="4609" spans="8:8" x14ac:dyDescent="0.35">
      <c r="H4609" s="35"/>
    </row>
    <row r="4610" spans="8:8" x14ac:dyDescent="0.35">
      <c r="H4610" s="35"/>
    </row>
    <row r="4611" spans="8:8" x14ac:dyDescent="0.35">
      <c r="H4611" s="35"/>
    </row>
    <row r="4612" spans="8:8" x14ac:dyDescent="0.35">
      <c r="H4612" s="35"/>
    </row>
    <row r="4613" spans="8:8" x14ac:dyDescent="0.35">
      <c r="H4613" s="35"/>
    </row>
    <row r="4614" spans="8:8" x14ac:dyDescent="0.35">
      <c r="H4614" s="35"/>
    </row>
    <row r="4615" spans="8:8" x14ac:dyDescent="0.35">
      <c r="H4615" s="35"/>
    </row>
    <row r="4616" spans="8:8" x14ac:dyDescent="0.35">
      <c r="H4616" s="35"/>
    </row>
    <row r="4617" spans="8:8" x14ac:dyDescent="0.35">
      <c r="H4617" s="35"/>
    </row>
    <row r="4618" spans="8:8" x14ac:dyDescent="0.35">
      <c r="H4618" s="35"/>
    </row>
    <row r="4619" spans="8:8" x14ac:dyDescent="0.35">
      <c r="H4619" s="35"/>
    </row>
    <row r="4620" spans="8:8" x14ac:dyDescent="0.35">
      <c r="H4620" s="35"/>
    </row>
    <row r="4621" spans="8:8" x14ac:dyDescent="0.35">
      <c r="H4621" s="35"/>
    </row>
    <row r="4622" spans="8:8" x14ac:dyDescent="0.35">
      <c r="H4622" s="35"/>
    </row>
    <row r="4623" spans="8:8" x14ac:dyDescent="0.35">
      <c r="H4623" s="35"/>
    </row>
    <row r="4624" spans="8:8" x14ac:dyDescent="0.35">
      <c r="H4624" s="35"/>
    </row>
    <row r="4625" spans="8:8" x14ac:dyDescent="0.35">
      <c r="H4625" s="35"/>
    </row>
    <row r="4626" spans="8:8" x14ac:dyDescent="0.35">
      <c r="H4626" s="35"/>
    </row>
    <row r="4627" spans="8:8" x14ac:dyDescent="0.35">
      <c r="H4627" s="35"/>
    </row>
    <row r="4628" spans="8:8" x14ac:dyDescent="0.35">
      <c r="H4628" s="35"/>
    </row>
    <row r="4629" spans="8:8" x14ac:dyDescent="0.35">
      <c r="H4629" s="35"/>
    </row>
    <row r="4630" spans="8:8" x14ac:dyDescent="0.35">
      <c r="H4630" s="35"/>
    </row>
    <row r="4631" spans="8:8" x14ac:dyDescent="0.35">
      <c r="H4631" s="35"/>
    </row>
    <row r="4632" spans="8:8" x14ac:dyDescent="0.35">
      <c r="H4632" s="35"/>
    </row>
    <row r="4633" spans="8:8" x14ac:dyDescent="0.35">
      <c r="H4633" s="35"/>
    </row>
    <row r="4634" spans="8:8" x14ac:dyDescent="0.35">
      <c r="H4634" s="35"/>
    </row>
    <row r="4635" spans="8:8" x14ac:dyDescent="0.35">
      <c r="H4635" s="35"/>
    </row>
    <row r="4636" spans="8:8" x14ac:dyDescent="0.35">
      <c r="H4636" s="35"/>
    </row>
    <row r="4637" spans="8:8" x14ac:dyDescent="0.35">
      <c r="H4637" s="35"/>
    </row>
    <row r="4638" spans="8:8" x14ac:dyDescent="0.35">
      <c r="H4638" s="35"/>
    </row>
    <row r="4639" spans="8:8" x14ac:dyDescent="0.35">
      <c r="H4639" s="35"/>
    </row>
    <row r="4640" spans="8:8" x14ac:dyDescent="0.35">
      <c r="H4640" s="35"/>
    </row>
    <row r="4641" spans="8:8" x14ac:dyDescent="0.35">
      <c r="H4641" s="35"/>
    </row>
    <row r="4642" spans="8:8" x14ac:dyDescent="0.35">
      <c r="H4642" s="35"/>
    </row>
    <row r="4643" spans="8:8" x14ac:dyDescent="0.35">
      <c r="H4643" s="35"/>
    </row>
    <row r="4644" spans="8:8" x14ac:dyDescent="0.35">
      <c r="H4644" s="35"/>
    </row>
    <row r="4645" spans="8:8" x14ac:dyDescent="0.35">
      <c r="H4645" s="35"/>
    </row>
    <row r="4646" spans="8:8" x14ac:dyDescent="0.35">
      <c r="H4646" s="35"/>
    </row>
    <row r="4647" spans="8:8" x14ac:dyDescent="0.35">
      <c r="H4647" s="35"/>
    </row>
    <row r="4648" spans="8:8" x14ac:dyDescent="0.35">
      <c r="H4648" s="35"/>
    </row>
    <row r="4649" spans="8:8" x14ac:dyDescent="0.35">
      <c r="H4649" s="35"/>
    </row>
    <row r="4650" spans="8:8" x14ac:dyDescent="0.35">
      <c r="H4650" s="35"/>
    </row>
    <row r="4651" spans="8:8" x14ac:dyDescent="0.35">
      <c r="H4651" s="35"/>
    </row>
    <row r="4652" spans="8:8" x14ac:dyDescent="0.35">
      <c r="H4652" s="35"/>
    </row>
    <row r="4653" spans="8:8" x14ac:dyDescent="0.35">
      <c r="H4653" s="35"/>
    </row>
    <row r="4654" spans="8:8" x14ac:dyDescent="0.35">
      <c r="H4654" s="35"/>
    </row>
    <row r="4655" spans="8:8" x14ac:dyDescent="0.35">
      <c r="H4655" s="35"/>
    </row>
    <row r="4656" spans="8:8" x14ac:dyDescent="0.35">
      <c r="H4656" s="35"/>
    </row>
    <row r="4657" spans="8:8" x14ac:dyDescent="0.35">
      <c r="H4657" s="35"/>
    </row>
    <row r="4658" spans="8:8" x14ac:dyDescent="0.35">
      <c r="H4658" s="35"/>
    </row>
    <row r="4659" spans="8:8" x14ac:dyDescent="0.35">
      <c r="H4659" s="35"/>
    </row>
    <row r="4660" spans="8:8" x14ac:dyDescent="0.35">
      <c r="H4660" s="35"/>
    </row>
    <row r="4661" spans="8:8" x14ac:dyDescent="0.35">
      <c r="H4661" s="35"/>
    </row>
    <row r="4662" spans="8:8" x14ac:dyDescent="0.35">
      <c r="H4662" s="35"/>
    </row>
    <row r="4663" spans="8:8" x14ac:dyDescent="0.35">
      <c r="H4663" s="35"/>
    </row>
    <row r="4664" spans="8:8" x14ac:dyDescent="0.35">
      <c r="H4664" s="35"/>
    </row>
    <row r="4665" spans="8:8" x14ac:dyDescent="0.35">
      <c r="H4665" s="35"/>
    </row>
    <row r="4666" spans="8:8" x14ac:dyDescent="0.35">
      <c r="H4666" s="35"/>
    </row>
    <row r="4667" spans="8:8" x14ac:dyDescent="0.35">
      <c r="H4667" s="35"/>
    </row>
    <row r="4668" spans="8:8" x14ac:dyDescent="0.35">
      <c r="H4668" s="35"/>
    </row>
    <row r="4669" spans="8:8" x14ac:dyDescent="0.35">
      <c r="H4669" s="35"/>
    </row>
    <row r="4670" spans="8:8" x14ac:dyDescent="0.35">
      <c r="H4670" s="35"/>
    </row>
    <row r="4671" spans="8:8" x14ac:dyDescent="0.35">
      <c r="H4671" s="35"/>
    </row>
    <row r="4672" spans="8:8" x14ac:dyDescent="0.35">
      <c r="H4672" s="35"/>
    </row>
    <row r="4673" spans="8:8" x14ac:dyDescent="0.35">
      <c r="H4673" s="35"/>
    </row>
    <row r="4674" spans="8:8" x14ac:dyDescent="0.35">
      <c r="H4674" s="35"/>
    </row>
    <row r="4675" spans="8:8" x14ac:dyDescent="0.35">
      <c r="H4675" s="35"/>
    </row>
    <row r="4676" spans="8:8" x14ac:dyDescent="0.35">
      <c r="H4676" s="35"/>
    </row>
    <row r="4677" spans="8:8" x14ac:dyDescent="0.35">
      <c r="H4677" s="35"/>
    </row>
    <row r="4678" spans="8:8" x14ac:dyDescent="0.35">
      <c r="H4678" s="35"/>
    </row>
    <row r="4679" spans="8:8" x14ac:dyDescent="0.35">
      <c r="H4679" s="35"/>
    </row>
    <row r="4680" spans="8:8" x14ac:dyDescent="0.35">
      <c r="H4680" s="35"/>
    </row>
    <row r="4681" spans="8:8" x14ac:dyDescent="0.35">
      <c r="H4681" s="35"/>
    </row>
    <row r="4682" spans="8:8" x14ac:dyDescent="0.35">
      <c r="H4682" s="35"/>
    </row>
    <row r="4683" spans="8:8" x14ac:dyDescent="0.35">
      <c r="H4683" s="35"/>
    </row>
    <row r="4684" spans="8:8" x14ac:dyDescent="0.35">
      <c r="H4684" s="35"/>
    </row>
    <row r="4685" spans="8:8" x14ac:dyDescent="0.35">
      <c r="H4685" s="35"/>
    </row>
    <row r="4686" spans="8:8" x14ac:dyDescent="0.35">
      <c r="H4686" s="35"/>
    </row>
    <row r="4687" spans="8:8" x14ac:dyDescent="0.35">
      <c r="H4687" s="35"/>
    </row>
    <row r="4688" spans="8:8" x14ac:dyDescent="0.35">
      <c r="H4688" s="35"/>
    </row>
    <row r="4689" spans="8:8" x14ac:dyDescent="0.35">
      <c r="H4689" s="35"/>
    </row>
    <row r="4690" spans="8:8" x14ac:dyDescent="0.35">
      <c r="H4690" s="35"/>
    </row>
    <row r="4691" spans="8:8" x14ac:dyDescent="0.35">
      <c r="H4691" s="35"/>
    </row>
    <row r="4692" spans="8:8" x14ac:dyDescent="0.35">
      <c r="H4692" s="35"/>
    </row>
    <row r="4693" spans="8:8" x14ac:dyDescent="0.35">
      <c r="H4693" s="35"/>
    </row>
    <row r="4694" spans="8:8" x14ac:dyDescent="0.35">
      <c r="H4694" s="35"/>
    </row>
    <row r="4695" spans="8:8" x14ac:dyDescent="0.35">
      <c r="H4695" s="35"/>
    </row>
    <row r="4696" spans="8:8" x14ac:dyDescent="0.35">
      <c r="H4696" s="35"/>
    </row>
    <row r="4697" spans="8:8" x14ac:dyDescent="0.35">
      <c r="H4697" s="35"/>
    </row>
    <row r="4698" spans="8:8" x14ac:dyDescent="0.35">
      <c r="H4698" s="35"/>
    </row>
    <row r="4699" spans="8:8" x14ac:dyDescent="0.35">
      <c r="H4699" s="35"/>
    </row>
    <row r="4700" spans="8:8" x14ac:dyDescent="0.35">
      <c r="H4700" s="35"/>
    </row>
    <row r="4701" spans="8:8" x14ac:dyDescent="0.35">
      <c r="H4701" s="35"/>
    </row>
    <row r="4702" spans="8:8" x14ac:dyDescent="0.35">
      <c r="H4702" s="35"/>
    </row>
    <row r="4703" spans="8:8" x14ac:dyDescent="0.35">
      <c r="H4703" s="35"/>
    </row>
    <row r="4704" spans="8:8" x14ac:dyDescent="0.35">
      <c r="H4704" s="35"/>
    </row>
    <row r="4705" spans="8:8" x14ac:dyDescent="0.35">
      <c r="H4705" s="35"/>
    </row>
    <row r="4706" spans="8:8" x14ac:dyDescent="0.35">
      <c r="H4706" s="35"/>
    </row>
    <row r="4707" spans="8:8" x14ac:dyDescent="0.35">
      <c r="H4707" s="35"/>
    </row>
    <row r="4708" spans="8:8" x14ac:dyDescent="0.35">
      <c r="H4708" s="35"/>
    </row>
    <row r="4709" spans="8:8" x14ac:dyDescent="0.35">
      <c r="H4709" s="35"/>
    </row>
    <row r="4710" spans="8:8" x14ac:dyDescent="0.35">
      <c r="H4710" s="35"/>
    </row>
    <row r="4711" spans="8:8" x14ac:dyDescent="0.35">
      <c r="H4711" s="35"/>
    </row>
    <row r="4712" spans="8:8" x14ac:dyDescent="0.35">
      <c r="H4712" s="35"/>
    </row>
    <row r="4713" spans="8:8" x14ac:dyDescent="0.35">
      <c r="H4713" s="35"/>
    </row>
    <row r="4714" spans="8:8" x14ac:dyDescent="0.35">
      <c r="H4714" s="35"/>
    </row>
    <row r="4715" spans="8:8" x14ac:dyDescent="0.35">
      <c r="H4715" s="35"/>
    </row>
    <row r="4716" spans="8:8" x14ac:dyDescent="0.35">
      <c r="H4716" s="35"/>
    </row>
    <row r="4717" spans="8:8" x14ac:dyDescent="0.35">
      <c r="H4717" s="35"/>
    </row>
    <row r="4718" spans="8:8" x14ac:dyDescent="0.35">
      <c r="H4718" s="35"/>
    </row>
    <row r="4719" spans="8:8" x14ac:dyDescent="0.35">
      <c r="H4719" s="35"/>
    </row>
    <row r="4720" spans="8:8" x14ac:dyDescent="0.35">
      <c r="H4720" s="35"/>
    </row>
    <row r="4721" spans="8:8" x14ac:dyDescent="0.35">
      <c r="H4721" s="35"/>
    </row>
    <row r="4722" spans="8:8" x14ac:dyDescent="0.35">
      <c r="H4722" s="35"/>
    </row>
    <row r="4723" spans="8:8" x14ac:dyDescent="0.35">
      <c r="H4723" s="35"/>
    </row>
    <row r="4724" spans="8:8" x14ac:dyDescent="0.35">
      <c r="H4724" s="35"/>
    </row>
    <row r="4725" spans="8:8" x14ac:dyDescent="0.35">
      <c r="H4725" s="35"/>
    </row>
    <row r="4726" spans="8:8" x14ac:dyDescent="0.35">
      <c r="H4726" s="35"/>
    </row>
    <row r="4727" spans="8:8" x14ac:dyDescent="0.35">
      <c r="H4727" s="35"/>
    </row>
    <row r="4728" spans="8:8" x14ac:dyDescent="0.35">
      <c r="H4728" s="35"/>
    </row>
    <row r="4729" spans="8:8" x14ac:dyDescent="0.35">
      <c r="H4729" s="35"/>
    </row>
    <row r="4730" spans="8:8" x14ac:dyDescent="0.35">
      <c r="H4730" s="35"/>
    </row>
    <row r="4731" spans="8:8" x14ac:dyDescent="0.35">
      <c r="H4731" s="35"/>
    </row>
    <row r="4732" spans="8:8" x14ac:dyDescent="0.35">
      <c r="H4732" s="35"/>
    </row>
    <row r="4733" spans="8:8" x14ac:dyDescent="0.35">
      <c r="H4733" s="35"/>
    </row>
    <row r="4734" spans="8:8" x14ac:dyDescent="0.35">
      <c r="H4734" s="35"/>
    </row>
    <row r="4735" spans="8:8" x14ac:dyDescent="0.35">
      <c r="H4735" s="35"/>
    </row>
    <row r="4736" spans="8:8" x14ac:dyDescent="0.35">
      <c r="H4736" s="35"/>
    </row>
    <row r="4737" spans="8:8" x14ac:dyDescent="0.35">
      <c r="H4737" s="35"/>
    </row>
    <row r="4738" spans="8:8" x14ac:dyDescent="0.35">
      <c r="H4738" s="35"/>
    </row>
    <row r="4739" spans="8:8" x14ac:dyDescent="0.35">
      <c r="H4739" s="35"/>
    </row>
    <row r="4740" spans="8:8" x14ac:dyDescent="0.35">
      <c r="H4740" s="35"/>
    </row>
    <row r="4741" spans="8:8" x14ac:dyDescent="0.35">
      <c r="H4741" s="35"/>
    </row>
    <row r="4742" spans="8:8" x14ac:dyDescent="0.35">
      <c r="H4742" s="35"/>
    </row>
    <row r="4743" spans="8:8" x14ac:dyDescent="0.35">
      <c r="H4743" s="35"/>
    </row>
    <row r="4744" spans="8:8" x14ac:dyDescent="0.35">
      <c r="H4744" s="35"/>
    </row>
    <row r="4745" spans="8:8" x14ac:dyDescent="0.35">
      <c r="H4745" s="35"/>
    </row>
    <row r="4746" spans="8:8" x14ac:dyDescent="0.35">
      <c r="H4746" s="35"/>
    </row>
    <row r="4747" spans="8:8" x14ac:dyDescent="0.35">
      <c r="H4747" s="35"/>
    </row>
    <row r="4748" spans="8:8" x14ac:dyDescent="0.35">
      <c r="H4748" s="35"/>
    </row>
    <row r="4749" spans="8:8" x14ac:dyDescent="0.35">
      <c r="H4749" s="35"/>
    </row>
    <row r="4750" spans="8:8" x14ac:dyDescent="0.35">
      <c r="H4750" s="35"/>
    </row>
    <row r="4751" spans="8:8" x14ac:dyDescent="0.35">
      <c r="H4751" s="35"/>
    </row>
    <row r="4752" spans="8:8" x14ac:dyDescent="0.35">
      <c r="H4752" s="35"/>
    </row>
    <row r="4753" spans="8:8" x14ac:dyDescent="0.35">
      <c r="H4753" s="35"/>
    </row>
    <row r="4754" spans="8:8" x14ac:dyDescent="0.35">
      <c r="H4754" s="35"/>
    </row>
    <row r="4755" spans="8:8" x14ac:dyDescent="0.35">
      <c r="H4755" s="35"/>
    </row>
    <row r="4756" spans="8:8" x14ac:dyDescent="0.35">
      <c r="H4756" s="35"/>
    </row>
    <row r="4757" spans="8:8" x14ac:dyDescent="0.35">
      <c r="H4757" s="35"/>
    </row>
    <row r="4758" spans="8:8" x14ac:dyDescent="0.35">
      <c r="H4758" s="35"/>
    </row>
    <row r="4759" spans="8:8" x14ac:dyDescent="0.35">
      <c r="H4759" s="35"/>
    </row>
    <row r="4760" spans="8:8" x14ac:dyDescent="0.35">
      <c r="H4760" s="35"/>
    </row>
    <row r="4761" spans="8:8" x14ac:dyDescent="0.35">
      <c r="H4761" s="35"/>
    </row>
    <row r="4762" spans="8:8" x14ac:dyDescent="0.35">
      <c r="H4762" s="35"/>
    </row>
    <row r="4763" spans="8:8" x14ac:dyDescent="0.35">
      <c r="H4763" s="35"/>
    </row>
    <row r="4764" spans="8:8" x14ac:dyDescent="0.35">
      <c r="H4764" s="35"/>
    </row>
    <row r="4765" spans="8:8" x14ac:dyDescent="0.35">
      <c r="H4765" s="35"/>
    </row>
    <row r="4766" spans="8:8" x14ac:dyDescent="0.35">
      <c r="H4766" s="35"/>
    </row>
    <row r="4767" spans="8:8" x14ac:dyDescent="0.35">
      <c r="H4767" s="35"/>
    </row>
    <row r="4768" spans="8:8" x14ac:dyDescent="0.35">
      <c r="H4768" s="35"/>
    </row>
    <row r="4769" spans="8:8" x14ac:dyDescent="0.35">
      <c r="H4769" s="35"/>
    </row>
    <row r="4770" spans="8:8" x14ac:dyDescent="0.35">
      <c r="H4770" s="35"/>
    </row>
    <row r="4771" spans="8:8" x14ac:dyDescent="0.35">
      <c r="H4771" s="35"/>
    </row>
    <row r="4772" spans="8:8" x14ac:dyDescent="0.35">
      <c r="H4772" s="35"/>
    </row>
    <row r="4773" spans="8:8" x14ac:dyDescent="0.35">
      <c r="H4773" s="35"/>
    </row>
    <row r="4774" spans="8:8" x14ac:dyDescent="0.35">
      <c r="H4774" s="35"/>
    </row>
    <row r="4775" spans="8:8" x14ac:dyDescent="0.35">
      <c r="H4775" s="35"/>
    </row>
    <row r="4776" spans="8:8" x14ac:dyDescent="0.35">
      <c r="H4776" s="35"/>
    </row>
    <row r="4777" spans="8:8" x14ac:dyDescent="0.35">
      <c r="H4777" s="35"/>
    </row>
    <row r="4778" spans="8:8" x14ac:dyDescent="0.35">
      <c r="H4778" s="35"/>
    </row>
    <row r="4779" spans="8:8" x14ac:dyDescent="0.35">
      <c r="H4779" s="35"/>
    </row>
    <row r="4780" spans="8:8" x14ac:dyDescent="0.35">
      <c r="H4780" s="35"/>
    </row>
    <row r="4781" spans="8:8" x14ac:dyDescent="0.35">
      <c r="H4781" s="35"/>
    </row>
    <row r="4782" spans="8:8" x14ac:dyDescent="0.35">
      <c r="H4782" s="35"/>
    </row>
    <row r="4783" spans="8:8" x14ac:dyDescent="0.35">
      <c r="H4783" s="35"/>
    </row>
    <row r="4784" spans="8:8" x14ac:dyDescent="0.35">
      <c r="H4784" s="35"/>
    </row>
    <row r="4785" spans="8:8" x14ac:dyDescent="0.35">
      <c r="H4785" s="35"/>
    </row>
    <row r="4786" spans="8:8" x14ac:dyDescent="0.35">
      <c r="H4786" s="35"/>
    </row>
    <row r="4787" spans="8:8" x14ac:dyDescent="0.35">
      <c r="H4787" s="35"/>
    </row>
    <row r="4788" spans="8:8" x14ac:dyDescent="0.35">
      <c r="H4788" s="35"/>
    </row>
    <row r="4789" spans="8:8" x14ac:dyDescent="0.35">
      <c r="H4789" s="35"/>
    </row>
    <row r="4790" spans="8:8" x14ac:dyDescent="0.35">
      <c r="H4790" s="35"/>
    </row>
    <row r="4791" spans="8:8" x14ac:dyDescent="0.35">
      <c r="H4791" s="35"/>
    </row>
    <row r="4792" spans="8:8" x14ac:dyDescent="0.35">
      <c r="H4792" s="35"/>
    </row>
    <row r="4793" spans="8:8" x14ac:dyDescent="0.35">
      <c r="H4793" s="35"/>
    </row>
    <row r="4794" spans="8:8" x14ac:dyDescent="0.35">
      <c r="H4794" s="35"/>
    </row>
    <row r="4795" spans="8:8" x14ac:dyDescent="0.35">
      <c r="H4795" s="35"/>
    </row>
    <row r="4796" spans="8:8" x14ac:dyDescent="0.35">
      <c r="H4796" s="35"/>
    </row>
    <row r="4797" spans="8:8" x14ac:dyDescent="0.35">
      <c r="H4797" s="35"/>
    </row>
    <row r="4798" spans="8:8" x14ac:dyDescent="0.35">
      <c r="H4798" s="35"/>
    </row>
    <row r="4799" spans="8:8" x14ac:dyDescent="0.35">
      <c r="H4799" s="35"/>
    </row>
    <row r="4800" spans="8:8" x14ac:dyDescent="0.35">
      <c r="H4800" s="35"/>
    </row>
    <row r="4801" spans="8:8" x14ac:dyDescent="0.35">
      <c r="H4801" s="35"/>
    </row>
    <row r="4802" spans="8:8" x14ac:dyDescent="0.35">
      <c r="H4802" s="35"/>
    </row>
    <row r="4803" spans="8:8" x14ac:dyDescent="0.35">
      <c r="H4803" s="35"/>
    </row>
    <row r="4804" spans="8:8" x14ac:dyDescent="0.35">
      <c r="H4804" s="35"/>
    </row>
    <row r="4805" spans="8:8" x14ac:dyDescent="0.35">
      <c r="H4805" s="35"/>
    </row>
    <row r="4806" spans="8:8" x14ac:dyDescent="0.35">
      <c r="H4806" s="35"/>
    </row>
    <row r="4807" spans="8:8" x14ac:dyDescent="0.35">
      <c r="H4807" s="35"/>
    </row>
    <row r="4808" spans="8:8" x14ac:dyDescent="0.35">
      <c r="H4808" s="35"/>
    </row>
    <row r="4809" spans="8:8" x14ac:dyDescent="0.35">
      <c r="H4809" s="35"/>
    </row>
    <row r="4810" spans="8:8" x14ac:dyDescent="0.35">
      <c r="H4810" s="35"/>
    </row>
    <row r="4811" spans="8:8" x14ac:dyDescent="0.35">
      <c r="H4811" s="35"/>
    </row>
    <row r="4812" spans="8:8" x14ac:dyDescent="0.35">
      <c r="H4812" s="35"/>
    </row>
    <row r="4813" spans="8:8" x14ac:dyDescent="0.35">
      <c r="H4813" s="35"/>
    </row>
    <row r="4814" spans="8:8" x14ac:dyDescent="0.35">
      <c r="H4814" s="35"/>
    </row>
    <row r="4815" spans="8:8" x14ac:dyDescent="0.35">
      <c r="H4815" s="35"/>
    </row>
    <row r="4816" spans="8:8" x14ac:dyDescent="0.35">
      <c r="H4816" s="35"/>
    </row>
    <row r="4817" spans="8:8" x14ac:dyDescent="0.35">
      <c r="H4817" s="35"/>
    </row>
    <row r="4818" spans="8:8" x14ac:dyDescent="0.35">
      <c r="H4818" s="35"/>
    </row>
    <row r="4819" spans="8:8" x14ac:dyDescent="0.35">
      <c r="H4819" s="35"/>
    </row>
    <row r="4820" spans="8:8" x14ac:dyDescent="0.35">
      <c r="H4820" s="35"/>
    </row>
    <row r="4821" spans="8:8" x14ac:dyDescent="0.35">
      <c r="H4821" s="35"/>
    </row>
    <row r="4822" spans="8:8" x14ac:dyDescent="0.35">
      <c r="H4822" s="35"/>
    </row>
    <row r="4823" spans="8:8" x14ac:dyDescent="0.35">
      <c r="H4823" s="35"/>
    </row>
    <row r="4824" spans="8:8" x14ac:dyDescent="0.35">
      <c r="H4824" s="35"/>
    </row>
    <row r="4825" spans="8:8" x14ac:dyDescent="0.35">
      <c r="H4825" s="35"/>
    </row>
    <row r="4826" spans="8:8" x14ac:dyDescent="0.35">
      <c r="H4826" s="35"/>
    </row>
    <row r="4827" spans="8:8" x14ac:dyDescent="0.35">
      <c r="H4827" s="35"/>
    </row>
    <row r="4828" spans="8:8" x14ac:dyDescent="0.35">
      <c r="H4828" s="35"/>
    </row>
    <row r="4829" spans="8:8" x14ac:dyDescent="0.35">
      <c r="H4829" s="35"/>
    </row>
    <row r="4830" spans="8:8" x14ac:dyDescent="0.35">
      <c r="H4830" s="35"/>
    </row>
    <row r="4831" spans="8:8" x14ac:dyDescent="0.35">
      <c r="H4831" s="35"/>
    </row>
    <row r="4832" spans="8:8" x14ac:dyDescent="0.35">
      <c r="H4832" s="35"/>
    </row>
    <row r="4833" spans="8:8" x14ac:dyDescent="0.35">
      <c r="H4833" s="35"/>
    </row>
    <row r="4834" spans="8:8" x14ac:dyDescent="0.35">
      <c r="H4834" s="35"/>
    </row>
    <row r="4835" spans="8:8" x14ac:dyDescent="0.35">
      <c r="H4835" s="35"/>
    </row>
    <row r="4836" spans="8:8" x14ac:dyDescent="0.35">
      <c r="H4836" s="35"/>
    </row>
    <row r="4837" spans="8:8" x14ac:dyDescent="0.35">
      <c r="H4837" s="35"/>
    </row>
    <row r="4838" spans="8:8" x14ac:dyDescent="0.35">
      <c r="H4838" s="35"/>
    </row>
    <row r="4839" spans="8:8" x14ac:dyDescent="0.35">
      <c r="H4839" s="35"/>
    </row>
    <row r="4840" spans="8:8" x14ac:dyDescent="0.35">
      <c r="H4840" s="35"/>
    </row>
    <row r="4841" spans="8:8" x14ac:dyDescent="0.35">
      <c r="H4841" s="35"/>
    </row>
    <row r="4842" spans="8:8" x14ac:dyDescent="0.35">
      <c r="H4842" s="35"/>
    </row>
    <row r="4843" spans="8:8" x14ac:dyDescent="0.35">
      <c r="H4843" s="35"/>
    </row>
    <row r="4844" spans="8:8" x14ac:dyDescent="0.35">
      <c r="H4844" s="35"/>
    </row>
    <row r="4845" spans="8:8" x14ac:dyDescent="0.35">
      <c r="H4845" s="35"/>
    </row>
    <row r="4846" spans="8:8" x14ac:dyDescent="0.35">
      <c r="H4846" s="35"/>
    </row>
    <row r="4847" spans="8:8" x14ac:dyDescent="0.35">
      <c r="H4847" s="35"/>
    </row>
    <row r="4848" spans="8:8" x14ac:dyDescent="0.35">
      <c r="H4848" s="35"/>
    </row>
    <row r="4849" spans="8:8" x14ac:dyDescent="0.35">
      <c r="H4849" s="35"/>
    </row>
    <row r="4850" spans="8:8" x14ac:dyDescent="0.35">
      <c r="H4850" s="35"/>
    </row>
    <row r="4851" spans="8:8" x14ac:dyDescent="0.35">
      <c r="H4851" s="35"/>
    </row>
    <row r="4852" spans="8:8" x14ac:dyDescent="0.35">
      <c r="H4852" s="35"/>
    </row>
    <row r="4853" spans="8:8" x14ac:dyDescent="0.35">
      <c r="H4853" s="35"/>
    </row>
    <row r="4854" spans="8:8" x14ac:dyDescent="0.35">
      <c r="H4854" s="35"/>
    </row>
    <row r="4855" spans="8:8" x14ac:dyDescent="0.35">
      <c r="H4855" s="35"/>
    </row>
    <row r="4856" spans="8:8" x14ac:dyDescent="0.35">
      <c r="H4856" s="35"/>
    </row>
    <row r="4857" spans="8:8" x14ac:dyDescent="0.35">
      <c r="H4857" s="35"/>
    </row>
    <row r="4858" spans="8:8" x14ac:dyDescent="0.35">
      <c r="H4858" s="35"/>
    </row>
    <row r="4859" spans="8:8" x14ac:dyDescent="0.35">
      <c r="H4859" s="35"/>
    </row>
    <row r="4860" spans="8:8" x14ac:dyDescent="0.35">
      <c r="H4860" s="35"/>
    </row>
    <row r="4861" spans="8:8" x14ac:dyDescent="0.35">
      <c r="H4861" s="35"/>
    </row>
    <row r="4862" spans="8:8" x14ac:dyDescent="0.35">
      <c r="H4862" s="35"/>
    </row>
    <row r="4863" spans="8:8" x14ac:dyDescent="0.35">
      <c r="H4863" s="35"/>
    </row>
    <row r="4864" spans="8:8" x14ac:dyDescent="0.35">
      <c r="H4864" s="35"/>
    </row>
    <row r="4865" spans="8:8" x14ac:dyDescent="0.35">
      <c r="H4865" s="35"/>
    </row>
    <row r="4866" spans="8:8" x14ac:dyDescent="0.35">
      <c r="H4866" s="35"/>
    </row>
    <row r="4867" spans="8:8" x14ac:dyDescent="0.35">
      <c r="H4867" s="35"/>
    </row>
    <row r="4868" spans="8:8" x14ac:dyDescent="0.35">
      <c r="H4868" s="35"/>
    </row>
    <row r="4869" spans="8:8" x14ac:dyDescent="0.35">
      <c r="H4869" s="35"/>
    </row>
    <row r="4870" spans="8:8" x14ac:dyDescent="0.35">
      <c r="H4870" s="35"/>
    </row>
    <row r="4871" spans="8:8" x14ac:dyDescent="0.35">
      <c r="H4871" s="35"/>
    </row>
    <row r="4872" spans="8:8" x14ac:dyDescent="0.35">
      <c r="H4872" s="35"/>
    </row>
    <row r="4873" spans="8:8" x14ac:dyDescent="0.35">
      <c r="H4873" s="35"/>
    </row>
    <row r="4874" spans="8:8" x14ac:dyDescent="0.35">
      <c r="H4874" s="35"/>
    </row>
    <row r="4875" spans="8:8" x14ac:dyDescent="0.35">
      <c r="H4875" s="35"/>
    </row>
    <row r="4876" spans="8:8" x14ac:dyDescent="0.35">
      <c r="H4876" s="35"/>
    </row>
    <row r="4877" spans="8:8" x14ac:dyDescent="0.35">
      <c r="H4877" s="35"/>
    </row>
    <row r="4878" spans="8:8" x14ac:dyDescent="0.35">
      <c r="H4878" s="35"/>
    </row>
    <row r="4879" spans="8:8" x14ac:dyDescent="0.35">
      <c r="H4879" s="35"/>
    </row>
    <row r="4880" spans="8:8" x14ac:dyDescent="0.35">
      <c r="H4880" s="35"/>
    </row>
    <row r="4881" spans="8:8" x14ac:dyDescent="0.35">
      <c r="H4881" s="35"/>
    </row>
    <row r="4882" spans="8:8" x14ac:dyDescent="0.35">
      <c r="H4882" s="35"/>
    </row>
    <row r="4883" spans="8:8" x14ac:dyDescent="0.35">
      <c r="H4883" s="35"/>
    </row>
    <row r="4884" spans="8:8" x14ac:dyDescent="0.35">
      <c r="H4884" s="35"/>
    </row>
    <row r="4885" spans="8:8" x14ac:dyDescent="0.35">
      <c r="H4885" s="35"/>
    </row>
    <row r="4886" spans="8:8" x14ac:dyDescent="0.35">
      <c r="H4886" s="35"/>
    </row>
    <row r="4887" spans="8:8" x14ac:dyDescent="0.35">
      <c r="H4887" s="35"/>
    </row>
    <row r="4888" spans="8:8" x14ac:dyDescent="0.35">
      <c r="H4888" s="35"/>
    </row>
    <row r="4889" spans="8:8" x14ac:dyDescent="0.35">
      <c r="H4889" s="35"/>
    </row>
    <row r="4890" spans="8:8" x14ac:dyDescent="0.35">
      <c r="H4890" s="35"/>
    </row>
    <row r="4891" spans="8:8" x14ac:dyDescent="0.35">
      <c r="H4891" s="35"/>
    </row>
    <row r="4892" spans="8:8" x14ac:dyDescent="0.35">
      <c r="H4892" s="35"/>
    </row>
    <row r="4893" spans="8:8" x14ac:dyDescent="0.35">
      <c r="H4893" s="35"/>
    </row>
    <row r="4894" spans="8:8" x14ac:dyDescent="0.35">
      <c r="H4894" s="35"/>
    </row>
    <row r="4895" spans="8:8" x14ac:dyDescent="0.35">
      <c r="H4895" s="35"/>
    </row>
    <row r="4896" spans="8:8" x14ac:dyDescent="0.35">
      <c r="H4896" s="35"/>
    </row>
    <row r="4897" spans="8:8" x14ac:dyDescent="0.35">
      <c r="H4897" s="35"/>
    </row>
    <row r="4898" spans="8:8" x14ac:dyDescent="0.35">
      <c r="H4898" s="35"/>
    </row>
    <row r="4899" spans="8:8" x14ac:dyDescent="0.35">
      <c r="H4899" s="35"/>
    </row>
    <row r="4900" spans="8:8" x14ac:dyDescent="0.35">
      <c r="H4900" s="35"/>
    </row>
    <row r="4901" spans="8:8" x14ac:dyDescent="0.35">
      <c r="H4901" s="35"/>
    </row>
    <row r="4902" spans="8:8" x14ac:dyDescent="0.35">
      <c r="H4902" s="35"/>
    </row>
    <row r="4903" spans="8:8" x14ac:dyDescent="0.35">
      <c r="H4903" s="35"/>
    </row>
    <row r="4904" spans="8:8" x14ac:dyDescent="0.35">
      <c r="H4904" s="35"/>
    </row>
    <row r="4905" spans="8:8" x14ac:dyDescent="0.35">
      <c r="H4905" s="35"/>
    </row>
    <row r="4906" spans="8:8" x14ac:dyDescent="0.35">
      <c r="H4906" s="35"/>
    </row>
    <row r="4907" spans="8:8" x14ac:dyDescent="0.35">
      <c r="H4907" s="35"/>
    </row>
    <row r="4908" spans="8:8" x14ac:dyDescent="0.35">
      <c r="H4908" s="35"/>
    </row>
    <row r="4909" spans="8:8" x14ac:dyDescent="0.35">
      <c r="H4909" s="35"/>
    </row>
    <row r="4910" spans="8:8" x14ac:dyDescent="0.35">
      <c r="H4910" s="35"/>
    </row>
    <row r="4911" spans="8:8" x14ac:dyDescent="0.35">
      <c r="H4911" s="35"/>
    </row>
    <row r="4912" spans="8:8" x14ac:dyDescent="0.35">
      <c r="H4912" s="35"/>
    </row>
    <row r="4913" spans="8:8" x14ac:dyDescent="0.35">
      <c r="H4913" s="35"/>
    </row>
    <row r="4914" spans="8:8" x14ac:dyDescent="0.35">
      <c r="H4914" s="35"/>
    </row>
    <row r="4915" spans="8:8" x14ac:dyDescent="0.35">
      <c r="H4915" s="35"/>
    </row>
    <row r="4916" spans="8:8" x14ac:dyDescent="0.35">
      <c r="H4916" s="35"/>
    </row>
    <row r="4917" spans="8:8" x14ac:dyDescent="0.35">
      <c r="H4917" s="35"/>
    </row>
    <row r="4918" spans="8:8" x14ac:dyDescent="0.35">
      <c r="H4918" s="35"/>
    </row>
    <row r="4919" spans="8:8" x14ac:dyDescent="0.35">
      <c r="H4919" s="35"/>
    </row>
    <row r="4920" spans="8:8" x14ac:dyDescent="0.35">
      <c r="H4920" s="35"/>
    </row>
    <row r="4921" spans="8:8" x14ac:dyDescent="0.35">
      <c r="H4921" s="35"/>
    </row>
    <row r="4922" spans="8:8" x14ac:dyDescent="0.35">
      <c r="H4922" s="35"/>
    </row>
    <row r="4923" spans="8:8" x14ac:dyDescent="0.35">
      <c r="H4923" s="35"/>
    </row>
    <row r="4924" spans="8:8" x14ac:dyDescent="0.35">
      <c r="H4924" s="35"/>
    </row>
    <row r="4925" spans="8:8" x14ac:dyDescent="0.35">
      <c r="H4925" s="35"/>
    </row>
    <row r="4926" spans="8:8" x14ac:dyDescent="0.35">
      <c r="H4926" s="35"/>
    </row>
    <row r="4927" spans="8:8" x14ac:dyDescent="0.35">
      <c r="H4927" s="35"/>
    </row>
    <row r="4928" spans="8:8" x14ac:dyDescent="0.35">
      <c r="H4928" s="35"/>
    </row>
    <row r="4929" spans="8:8" x14ac:dyDescent="0.35">
      <c r="H4929" s="35"/>
    </row>
    <row r="4930" spans="8:8" x14ac:dyDescent="0.35">
      <c r="H4930" s="35"/>
    </row>
    <row r="4931" spans="8:8" x14ac:dyDescent="0.35">
      <c r="H4931" s="35"/>
    </row>
    <row r="4932" spans="8:8" x14ac:dyDescent="0.35">
      <c r="H4932" s="35"/>
    </row>
    <row r="4933" spans="8:8" x14ac:dyDescent="0.35">
      <c r="H4933" s="35"/>
    </row>
    <row r="4934" spans="8:8" x14ac:dyDescent="0.35">
      <c r="H4934" s="35"/>
    </row>
    <row r="4935" spans="8:8" x14ac:dyDescent="0.35">
      <c r="H4935" s="35"/>
    </row>
    <row r="4936" spans="8:8" x14ac:dyDescent="0.35">
      <c r="H4936" s="35"/>
    </row>
    <row r="4937" spans="8:8" x14ac:dyDescent="0.35">
      <c r="H4937" s="35"/>
    </row>
    <row r="4938" spans="8:8" x14ac:dyDescent="0.35">
      <c r="H4938" s="35"/>
    </row>
    <row r="4939" spans="8:8" x14ac:dyDescent="0.35">
      <c r="H4939" s="35"/>
    </row>
    <row r="4940" spans="8:8" x14ac:dyDescent="0.35">
      <c r="H4940" s="35"/>
    </row>
    <row r="4941" spans="8:8" x14ac:dyDescent="0.35">
      <c r="H4941" s="35"/>
    </row>
    <row r="4942" spans="8:8" x14ac:dyDescent="0.35">
      <c r="H4942" s="35"/>
    </row>
    <row r="4943" spans="8:8" x14ac:dyDescent="0.35">
      <c r="H4943" s="35"/>
    </row>
    <row r="4944" spans="8:8" x14ac:dyDescent="0.35">
      <c r="H4944" s="35"/>
    </row>
    <row r="4945" spans="8:8" x14ac:dyDescent="0.35">
      <c r="H4945" s="35"/>
    </row>
    <row r="4946" spans="8:8" x14ac:dyDescent="0.35">
      <c r="H4946" s="35"/>
    </row>
    <row r="4947" spans="8:8" x14ac:dyDescent="0.35">
      <c r="H4947" s="35"/>
    </row>
    <row r="4948" spans="8:8" x14ac:dyDescent="0.35">
      <c r="H4948" s="35"/>
    </row>
    <row r="4949" spans="8:8" x14ac:dyDescent="0.35">
      <c r="H4949" s="35"/>
    </row>
    <row r="4950" spans="8:8" x14ac:dyDescent="0.35">
      <c r="H4950" s="35"/>
    </row>
    <row r="4951" spans="8:8" x14ac:dyDescent="0.35">
      <c r="H4951" s="35"/>
    </row>
    <row r="4952" spans="8:8" x14ac:dyDescent="0.35">
      <c r="H4952" s="35"/>
    </row>
    <row r="4953" spans="8:8" x14ac:dyDescent="0.35">
      <c r="H4953" s="35"/>
    </row>
    <row r="4954" spans="8:8" x14ac:dyDescent="0.35">
      <c r="H4954" s="35"/>
    </row>
    <row r="4955" spans="8:8" x14ac:dyDescent="0.35">
      <c r="H4955" s="35"/>
    </row>
    <row r="4956" spans="8:8" x14ac:dyDescent="0.35">
      <c r="H4956" s="35"/>
    </row>
    <row r="4957" spans="8:8" x14ac:dyDescent="0.35">
      <c r="H4957" s="35"/>
    </row>
    <row r="4958" spans="8:8" x14ac:dyDescent="0.35">
      <c r="H4958" s="35"/>
    </row>
    <row r="4959" spans="8:8" x14ac:dyDescent="0.35">
      <c r="H4959" s="35"/>
    </row>
    <row r="4960" spans="8:8" x14ac:dyDescent="0.35">
      <c r="H4960" s="35"/>
    </row>
    <row r="4961" spans="8:8" x14ac:dyDescent="0.35">
      <c r="H4961" s="35"/>
    </row>
    <row r="4962" spans="8:8" x14ac:dyDescent="0.35">
      <c r="H4962" s="35"/>
    </row>
    <row r="4963" spans="8:8" x14ac:dyDescent="0.35">
      <c r="H4963" s="35"/>
    </row>
    <row r="4964" spans="8:8" x14ac:dyDescent="0.35">
      <c r="H4964" s="35"/>
    </row>
    <row r="4965" spans="8:8" x14ac:dyDescent="0.35">
      <c r="H4965" s="35"/>
    </row>
    <row r="4966" spans="8:8" x14ac:dyDescent="0.35">
      <c r="H4966" s="35"/>
    </row>
    <row r="4967" spans="8:8" x14ac:dyDescent="0.35">
      <c r="H4967" s="35"/>
    </row>
    <row r="4968" spans="8:8" x14ac:dyDescent="0.35">
      <c r="H4968" s="35"/>
    </row>
    <row r="4969" spans="8:8" x14ac:dyDescent="0.35">
      <c r="H4969" s="35"/>
    </row>
    <row r="4970" spans="8:8" x14ac:dyDescent="0.35">
      <c r="H4970" s="35"/>
    </row>
    <row r="4971" spans="8:8" x14ac:dyDescent="0.35">
      <c r="H4971" s="35"/>
    </row>
    <row r="4972" spans="8:8" x14ac:dyDescent="0.35">
      <c r="H4972" s="35"/>
    </row>
    <row r="4973" spans="8:8" x14ac:dyDescent="0.35">
      <c r="H4973" s="35"/>
    </row>
    <row r="4974" spans="8:8" x14ac:dyDescent="0.35">
      <c r="H4974" s="35"/>
    </row>
    <row r="4975" spans="8:8" x14ac:dyDescent="0.35">
      <c r="H4975" s="35"/>
    </row>
    <row r="4976" spans="8:8" x14ac:dyDescent="0.35">
      <c r="H4976" s="35"/>
    </row>
    <row r="4977" spans="8:8" x14ac:dyDescent="0.35">
      <c r="H4977" s="35"/>
    </row>
    <row r="4978" spans="8:8" x14ac:dyDescent="0.35">
      <c r="H4978" s="35"/>
    </row>
    <row r="4979" spans="8:8" x14ac:dyDescent="0.35">
      <c r="H4979" s="35"/>
    </row>
    <row r="4980" spans="8:8" x14ac:dyDescent="0.35">
      <c r="H4980" s="35"/>
    </row>
    <row r="4981" spans="8:8" x14ac:dyDescent="0.35">
      <c r="H4981" s="35"/>
    </row>
    <row r="4982" spans="8:8" x14ac:dyDescent="0.35">
      <c r="H4982" s="35"/>
    </row>
    <row r="4983" spans="8:8" x14ac:dyDescent="0.35">
      <c r="H4983" s="35"/>
    </row>
    <row r="4984" spans="8:8" x14ac:dyDescent="0.35">
      <c r="H4984" s="35"/>
    </row>
    <row r="4985" spans="8:8" x14ac:dyDescent="0.35">
      <c r="H4985" s="35"/>
    </row>
    <row r="4986" spans="8:8" x14ac:dyDescent="0.35">
      <c r="H4986" s="35"/>
    </row>
    <row r="4987" spans="8:8" x14ac:dyDescent="0.35">
      <c r="H4987" s="35"/>
    </row>
    <row r="4988" spans="8:8" x14ac:dyDescent="0.35">
      <c r="H4988" s="35"/>
    </row>
    <row r="4989" spans="8:8" x14ac:dyDescent="0.35">
      <c r="H4989" s="35"/>
    </row>
    <row r="4990" spans="8:8" x14ac:dyDescent="0.35">
      <c r="H4990" s="35"/>
    </row>
    <row r="4991" spans="8:8" x14ac:dyDescent="0.35">
      <c r="H4991" s="35"/>
    </row>
    <row r="4992" spans="8:8" x14ac:dyDescent="0.35">
      <c r="H4992" s="35"/>
    </row>
    <row r="4993" spans="8:8" x14ac:dyDescent="0.35">
      <c r="H4993" s="35"/>
    </row>
    <row r="4994" spans="8:8" x14ac:dyDescent="0.35">
      <c r="H4994" s="35"/>
    </row>
    <row r="4995" spans="8:8" x14ac:dyDescent="0.35">
      <c r="H4995" s="35"/>
    </row>
    <row r="4996" spans="8:8" x14ac:dyDescent="0.35">
      <c r="H4996" s="35"/>
    </row>
    <row r="4997" spans="8:8" x14ac:dyDescent="0.35">
      <c r="H4997" s="35"/>
    </row>
    <row r="4998" spans="8:8" x14ac:dyDescent="0.35">
      <c r="H4998" s="35"/>
    </row>
    <row r="4999" spans="8:8" x14ac:dyDescent="0.35">
      <c r="H4999" s="35"/>
    </row>
    <row r="5000" spans="8:8" x14ac:dyDescent="0.35">
      <c r="H5000" s="35"/>
    </row>
    <row r="5001" spans="8:8" x14ac:dyDescent="0.35">
      <c r="H5001" s="35"/>
    </row>
    <row r="5002" spans="8:8" x14ac:dyDescent="0.35">
      <c r="H5002" s="35"/>
    </row>
    <row r="5003" spans="8:8" x14ac:dyDescent="0.35">
      <c r="H5003" s="35"/>
    </row>
    <row r="5004" spans="8:8" x14ac:dyDescent="0.35">
      <c r="H5004" s="35"/>
    </row>
    <row r="5005" spans="8:8" x14ac:dyDescent="0.35">
      <c r="H5005" s="35"/>
    </row>
    <row r="5006" spans="8:8" x14ac:dyDescent="0.35">
      <c r="H5006" s="35"/>
    </row>
    <row r="5007" spans="8:8" x14ac:dyDescent="0.35">
      <c r="H5007" s="35"/>
    </row>
    <row r="5008" spans="8:8" x14ac:dyDescent="0.35">
      <c r="H5008" s="35"/>
    </row>
    <row r="5009" spans="8:8" x14ac:dyDescent="0.35">
      <c r="H5009" s="35"/>
    </row>
    <row r="5010" spans="8:8" x14ac:dyDescent="0.35">
      <c r="H5010" s="35"/>
    </row>
    <row r="5011" spans="8:8" x14ac:dyDescent="0.35">
      <c r="H5011" s="35"/>
    </row>
    <row r="5012" spans="8:8" x14ac:dyDescent="0.35">
      <c r="H5012" s="35"/>
    </row>
    <row r="5013" spans="8:8" x14ac:dyDescent="0.35">
      <c r="H5013" s="35"/>
    </row>
    <row r="5014" spans="8:8" x14ac:dyDescent="0.35">
      <c r="H5014" s="35"/>
    </row>
    <row r="5015" spans="8:8" x14ac:dyDescent="0.35">
      <c r="H5015" s="35"/>
    </row>
    <row r="5016" spans="8:8" x14ac:dyDescent="0.35">
      <c r="H5016" s="35"/>
    </row>
    <row r="5017" spans="8:8" x14ac:dyDescent="0.35">
      <c r="H5017" s="35"/>
    </row>
    <row r="5018" spans="8:8" x14ac:dyDescent="0.35">
      <c r="H5018" s="35"/>
    </row>
    <row r="5019" spans="8:8" x14ac:dyDescent="0.35">
      <c r="H5019" s="35"/>
    </row>
    <row r="5020" spans="8:8" x14ac:dyDescent="0.35">
      <c r="H5020" s="35"/>
    </row>
    <row r="5021" spans="8:8" x14ac:dyDescent="0.35">
      <c r="H5021" s="35"/>
    </row>
    <row r="5022" spans="8:8" x14ac:dyDescent="0.35">
      <c r="H5022" s="35"/>
    </row>
    <row r="5023" spans="8:8" x14ac:dyDescent="0.35">
      <c r="H5023" s="35"/>
    </row>
    <row r="5024" spans="8:8" x14ac:dyDescent="0.35">
      <c r="H5024" s="35"/>
    </row>
    <row r="5025" spans="8:8" x14ac:dyDescent="0.35">
      <c r="H5025" s="35"/>
    </row>
    <row r="5026" spans="8:8" x14ac:dyDescent="0.35">
      <c r="H5026" s="35"/>
    </row>
    <row r="5027" spans="8:8" x14ac:dyDescent="0.35">
      <c r="H5027" s="35"/>
    </row>
    <row r="5028" spans="8:8" x14ac:dyDescent="0.35">
      <c r="H5028" s="35"/>
    </row>
    <row r="5029" spans="8:8" x14ac:dyDescent="0.35">
      <c r="H5029" s="35"/>
    </row>
    <row r="5030" spans="8:8" x14ac:dyDescent="0.35">
      <c r="H5030" s="35"/>
    </row>
    <row r="5031" spans="8:8" x14ac:dyDescent="0.35">
      <c r="H5031" s="35"/>
    </row>
    <row r="5032" spans="8:8" x14ac:dyDescent="0.35">
      <c r="H5032" s="35"/>
    </row>
    <row r="5033" spans="8:8" x14ac:dyDescent="0.35">
      <c r="H5033" s="35"/>
    </row>
    <row r="5034" spans="8:8" x14ac:dyDescent="0.35">
      <c r="H5034" s="35"/>
    </row>
    <row r="5035" spans="8:8" x14ac:dyDescent="0.35">
      <c r="H5035" s="35"/>
    </row>
    <row r="5036" spans="8:8" x14ac:dyDescent="0.35">
      <c r="H5036" s="35"/>
    </row>
    <row r="5037" spans="8:8" x14ac:dyDescent="0.35">
      <c r="H5037" s="35"/>
    </row>
    <row r="5038" spans="8:8" x14ac:dyDescent="0.35">
      <c r="H5038" s="35"/>
    </row>
    <row r="5039" spans="8:8" x14ac:dyDescent="0.35">
      <c r="H5039" s="35"/>
    </row>
    <row r="5040" spans="8:8" x14ac:dyDescent="0.35">
      <c r="H5040" s="35"/>
    </row>
    <row r="5041" spans="8:8" x14ac:dyDescent="0.35">
      <c r="H5041" s="35"/>
    </row>
    <row r="5042" spans="8:8" x14ac:dyDescent="0.35">
      <c r="H5042" s="35"/>
    </row>
    <row r="5043" spans="8:8" x14ac:dyDescent="0.35">
      <c r="H5043" s="35"/>
    </row>
    <row r="5044" spans="8:8" x14ac:dyDescent="0.35">
      <c r="H5044" s="35"/>
    </row>
    <row r="5045" spans="8:8" x14ac:dyDescent="0.35">
      <c r="H5045" s="35"/>
    </row>
    <row r="5046" spans="8:8" x14ac:dyDescent="0.35">
      <c r="H5046" s="35"/>
    </row>
    <row r="5047" spans="8:8" x14ac:dyDescent="0.35">
      <c r="H5047" s="35"/>
    </row>
    <row r="5048" spans="8:8" x14ac:dyDescent="0.35">
      <c r="H5048" s="35"/>
    </row>
    <row r="5049" spans="8:8" x14ac:dyDescent="0.35">
      <c r="H5049" s="35"/>
    </row>
    <row r="5050" spans="8:8" x14ac:dyDescent="0.35">
      <c r="H5050" s="35"/>
    </row>
    <row r="5051" spans="8:8" x14ac:dyDescent="0.35">
      <c r="H5051" s="35"/>
    </row>
    <row r="5052" spans="8:8" x14ac:dyDescent="0.35">
      <c r="H5052" s="35"/>
    </row>
    <row r="5053" spans="8:8" x14ac:dyDescent="0.35">
      <c r="H5053" s="35"/>
    </row>
    <row r="5054" spans="8:8" x14ac:dyDescent="0.35">
      <c r="H5054" s="35"/>
    </row>
    <row r="5055" spans="8:8" x14ac:dyDescent="0.35">
      <c r="H5055" s="35"/>
    </row>
    <row r="5056" spans="8:8" x14ac:dyDescent="0.35">
      <c r="H5056" s="35"/>
    </row>
    <row r="5057" spans="8:8" x14ac:dyDescent="0.35">
      <c r="H5057" s="35"/>
    </row>
    <row r="5058" spans="8:8" x14ac:dyDescent="0.35">
      <c r="H5058" s="35"/>
    </row>
    <row r="5059" spans="8:8" x14ac:dyDescent="0.35">
      <c r="H5059" s="35"/>
    </row>
    <row r="5060" spans="8:8" x14ac:dyDescent="0.35">
      <c r="H5060" s="35"/>
    </row>
    <row r="5061" spans="8:8" x14ac:dyDescent="0.35">
      <c r="H5061" s="35"/>
    </row>
    <row r="5062" spans="8:8" x14ac:dyDescent="0.35">
      <c r="H5062" s="35"/>
    </row>
    <row r="5063" spans="8:8" x14ac:dyDescent="0.35">
      <c r="H5063" s="35"/>
    </row>
    <row r="5064" spans="8:8" x14ac:dyDescent="0.35">
      <c r="H5064" s="35"/>
    </row>
    <row r="5065" spans="8:8" x14ac:dyDescent="0.35">
      <c r="H5065" s="35"/>
    </row>
    <row r="5066" spans="8:8" x14ac:dyDescent="0.35">
      <c r="H5066" s="35"/>
    </row>
    <row r="5067" spans="8:8" x14ac:dyDescent="0.35">
      <c r="H5067" s="35"/>
    </row>
    <row r="5068" spans="8:8" x14ac:dyDescent="0.35">
      <c r="H5068" s="35"/>
    </row>
    <row r="5069" spans="8:8" x14ac:dyDescent="0.35">
      <c r="H5069" s="35"/>
    </row>
    <row r="5070" spans="8:8" x14ac:dyDescent="0.35">
      <c r="H5070" s="35"/>
    </row>
    <row r="5071" spans="8:8" x14ac:dyDescent="0.35">
      <c r="H5071" s="35"/>
    </row>
    <row r="5072" spans="8:8" x14ac:dyDescent="0.35">
      <c r="H5072" s="35"/>
    </row>
    <row r="5073" spans="8:8" x14ac:dyDescent="0.35">
      <c r="H5073" s="35"/>
    </row>
    <row r="5074" spans="8:8" x14ac:dyDescent="0.35">
      <c r="H5074" s="35"/>
    </row>
    <row r="5075" spans="8:8" x14ac:dyDescent="0.35">
      <c r="H5075" s="35"/>
    </row>
    <row r="5076" spans="8:8" x14ac:dyDescent="0.35">
      <c r="H5076" s="35"/>
    </row>
    <row r="5077" spans="8:8" x14ac:dyDescent="0.35">
      <c r="H5077" s="35"/>
    </row>
    <row r="5078" spans="8:8" x14ac:dyDescent="0.35">
      <c r="H5078" s="35"/>
    </row>
    <row r="5079" spans="8:8" x14ac:dyDescent="0.35">
      <c r="H5079" s="35"/>
    </row>
    <row r="5080" spans="8:8" x14ac:dyDescent="0.35">
      <c r="H5080" s="35"/>
    </row>
    <row r="5081" spans="8:8" x14ac:dyDescent="0.35">
      <c r="H5081" s="35"/>
    </row>
    <row r="5082" spans="8:8" x14ac:dyDescent="0.35">
      <c r="H5082" s="35"/>
    </row>
    <row r="5083" spans="8:8" x14ac:dyDescent="0.35">
      <c r="H5083" s="35"/>
    </row>
    <row r="5084" spans="8:8" x14ac:dyDescent="0.35">
      <c r="H5084" s="35"/>
    </row>
    <row r="5085" spans="8:8" x14ac:dyDescent="0.35">
      <c r="H5085" s="35"/>
    </row>
    <row r="5086" spans="8:8" x14ac:dyDescent="0.35">
      <c r="H5086" s="35"/>
    </row>
    <row r="5087" spans="8:8" x14ac:dyDescent="0.35">
      <c r="H5087" s="35"/>
    </row>
    <row r="5088" spans="8:8" x14ac:dyDescent="0.35">
      <c r="H5088" s="35"/>
    </row>
    <row r="5089" spans="8:8" x14ac:dyDescent="0.35">
      <c r="H5089" s="35"/>
    </row>
    <row r="5090" spans="8:8" x14ac:dyDescent="0.35">
      <c r="H5090" s="35"/>
    </row>
    <row r="5091" spans="8:8" x14ac:dyDescent="0.35">
      <c r="H5091" s="35"/>
    </row>
    <row r="5092" spans="8:8" x14ac:dyDescent="0.35">
      <c r="H5092" s="35"/>
    </row>
    <row r="5093" spans="8:8" x14ac:dyDescent="0.35">
      <c r="H5093" s="35"/>
    </row>
    <row r="5094" spans="8:8" x14ac:dyDescent="0.35">
      <c r="H5094" s="35"/>
    </row>
    <row r="5095" spans="8:8" x14ac:dyDescent="0.35">
      <c r="H5095" s="35"/>
    </row>
    <row r="5096" spans="8:8" x14ac:dyDescent="0.35">
      <c r="H5096" s="35"/>
    </row>
    <row r="5097" spans="8:8" x14ac:dyDescent="0.35">
      <c r="H5097" s="35"/>
    </row>
    <row r="5098" spans="8:8" x14ac:dyDescent="0.35">
      <c r="H5098" s="35"/>
    </row>
    <row r="5099" spans="8:8" x14ac:dyDescent="0.35">
      <c r="H5099" s="35"/>
    </row>
    <row r="5100" spans="8:8" x14ac:dyDescent="0.35">
      <c r="H5100" s="35"/>
    </row>
    <row r="5101" spans="8:8" x14ac:dyDescent="0.35">
      <c r="H5101" s="35"/>
    </row>
    <row r="5102" spans="8:8" x14ac:dyDescent="0.35">
      <c r="H5102" s="35"/>
    </row>
    <row r="5103" spans="8:8" x14ac:dyDescent="0.35">
      <c r="H5103" s="35"/>
    </row>
    <row r="5104" spans="8:8" x14ac:dyDescent="0.35">
      <c r="H5104" s="35"/>
    </row>
    <row r="5105" spans="8:8" x14ac:dyDescent="0.35">
      <c r="H5105" s="35"/>
    </row>
    <row r="5106" spans="8:8" x14ac:dyDescent="0.35">
      <c r="H5106" s="35"/>
    </row>
    <row r="5107" spans="8:8" x14ac:dyDescent="0.35">
      <c r="H5107" s="35"/>
    </row>
    <row r="5108" spans="8:8" x14ac:dyDescent="0.35">
      <c r="H5108" s="35"/>
    </row>
    <row r="5109" spans="8:8" x14ac:dyDescent="0.35">
      <c r="H5109" s="35"/>
    </row>
    <row r="5110" spans="8:8" x14ac:dyDescent="0.35">
      <c r="H5110" s="35"/>
    </row>
    <row r="5111" spans="8:8" x14ac:dyDescent="0.35">
      <c r="H5111" s="35"/>
    </row>
    <row r="5112" spans="8:8" x14ac:dyDescent="0.35">
      <c r="H5112" s="35"/>
    </row>
    <row r="5113" spans="8:8" x14ac:dyDescent="0.35">
      <c r="H5113" s="35"/>
    </row>
    <row r="5114" spans="8:8" x14ac:dyDescent="0.35">
      <c r="H5114" s="35"/>
    </row>
    <row r="5115" spans="8:8" x14ac:dyDescent="0.35">
      <c r="H5115" s="35"/>
    </row>
    <row r="5116" spans="8:8" x14ac:dyDescent="0.35">
      <c r="H5116" s="35"/>
    </row>
    <row r="5117" spans="8:8" x14ac:dyDescent="0.35">
      <c r="H5117" s="35"/>
    </row>
    <row r="5118" spans="8:8" x14ac:dyDescent="0.35">
      <c r="H5118" s="35"/>
    </row>
    <row r="5119" spans="8:8" x14ac:dyDescent="0.35">
      <c r="H5119" s="35"/>
    </row>
    <row r="5120" spans="8:8" x14ac:dyDescent="0.35">
      <c r="H5120" s="35"/>
    </row>
    <row r="5121" spans="8:8" x14ac:dyDescent="0.35">
      <c r="H5121" s="35"/>
    </row>
    <row r="5122" spans="8:8" x14ac:dyDescent="0.35">
      <c r="H5122" s="35"/>
    </row>
    <row r="5123" spans="8:8" x14ac:dyDescent="0.35">
      <c r="H5123" s="35"/>
    </row>
    <row r="5124" spans="8:8" x14ac:dyDescent="0.35">
      <c r="H5124" s="35"/>
    </row>
    <row r="5125" spans="8:8" x14ac:dyDescent="0.35">
      <c r="H5125" s="35"/>
    </row>
    <row r="5126" spans="8:8" x14ac:dyDescent="0.35">
      <c r="H5126" s="35"/>
    </row>
    <row r="5127" spans="8:8" x14ac:dyDescent="0.35">
      <c r="H5127" s="35"/>
    </row>
    <row r="5128" spans="8:8" x14ac:dyDescent="0.35">
      <c r="H5128" s="35"/>
    </row>
    <row r="5129" spans="8:8" x14ac:dyDescent="0.35">
      <c r="H5129" s="35"/>
    </row>
    <row r="5130" spans="8:8" x14ac:dyDescent="0.35">
      <c r="H5130" s="35"/>
    </row>
    <row r="5131" spans="8:8" x14ac:dyDescent="0.35">
      <c r="H5131" s="35"/>
    </row>
    <row r="5132" spans="8:8" x14ac:dyDescent="0.35">
      <c r="H5132" s="35"/>
    </row>
    <row r="5133" spans="8:8" x14ac:dyDescent="0.35">
      <c r="H5133" s="35"/>
    </row>
    <row r="5134" spans="8:8" x14ac:dyDescent="0.35">
      <c r="H5134" s="35"/>
    </row>
    <row r="5135" spans="8:8" x14ac:dyDescent="0.35">
      <c r="H5135" s="35"/>
    </row>
    <row r="5136" spans="8:8" x14ac:dyDescent="0.35">
      <c r="H5136" s="35"/>
    </row>
    <row r="5137" spans="8:8" x14ac:dyDescent="0.35">
      <c r="H5137" s="35"/>
    </row>
    <row r="5138" spans="8:8" x14ac:dyDescent="0.35">
      <c r="H5138" s="35"/>
    </row>
    <row r="5139" spans="8:8" x14ac:dyDescent="0.35">
      <c r="H5139" s="35"/>
    </row>
    <row r="5140" spans="8:8" x14ac:dyDescent="0.35">
      <c r="H5140" s="35"/>
    </row>
    <row r="5141" spans="8:8" x14ac:dyDescent="0.35">
      <c r="H5141" s="35"/>
    </row>
    <row r="5142" spans="8:8" x14ac:dyDescent="0.35">
      <c r="H5142" s="35"/>
    </row>
    <row r="5143" spans="8:8" x14ac:dyDescent="0.35">
      <c r="H5143" s="35"/>
    </row>
    <row r="5144" spans="8:8" x14ac:dyDescent="0.35">
      <c r="H5144" s="35"/>
    </row>
    <row r="5145" spans="8:8" x14ac:dyDescent="0.35">
      <c r="H5145" s="35"/>
    </row>
    <row r="5146" spans="8:8" x14ac:dyDescent="0.35">
      <c r="H5146" s="35"/>
    </row>
    <row r="5147" spans="8:8" x14ac:dyDescent="0.35">
      <c r="H5147" s="35"/>
    </row>
    <row r="5148" spans="8:8" x14ac:dyDescent="0.35">
      <c r="H5148" s="35"/>
    </row>
    <row r="5149" spans="8:8" x14ac:dyDescent="0.35">
      <c r="H5149" s="35"/>
    </row>
    <row r="5150" spans="8:8" x14ac:dyDescent="0.35">
      <c r="H5150" s="35"/>
    </row>
    <row r="5151" spans="8:8" x14ac:dyDescent="0.35">
      <c r="H5151" s="35"/>
    </row>
    <row r="5152" spans="8:8" x14ac:dyDescent="0.35">
      <c r="H5152" s="35"/>
    </row>
    <row r="5153" spans="8:8" x14ac:dyDescent="0.35">
      <c r="H5153" s="35"/>
    </row>
    <row r="5154" spans="8:8" x14ac:dyDescent="0.35">
      <c r="H5154" s="35"/>
    </row>
    <row r="5155" spans="8:8" x14ac:dyDescent="0.35">
      <c r="H5155" s="35"/>
    </row>
    <row r="5156" spans="8:8" x14ac:dyDescent="0.35">
      <c r="H5156" s="35"/>
    </row>
    <row r="5157" spans="8:8" x14ac:dyDescent="0.35">
      <c r="H5157" s="35"/>
    </row>
    <row r="5158" spans="8:8" x14ac:dyDescent="0.35">
      <c r="H5158" s="35"/>
    </row>
    <row r="5159" spans="8:8" x14ac:dyDescent="0.35">
      <c r="H5159" s="35"/>
    </row>
    <row r="5160" spans="8:8" x14ac:dyDescent="0.35">
      <c r="H5160" s="35"/>
    </row>
    <row r="5161" spans="8:8" x14ac:dyDescent="0.35">
      <c r="H5161" s="35"/>
    </row>
    <row r="5162" spans="8:8" x14ac:dyDescent="0.35">
      <c r="H5162" s="35"/>
    </row>
    <row r="5163" spans="8:8" x14ac:dyDescent="0.35">
      <c r="H5163" s="35"/>
    </row>
    <row r="5164" spans="8:8" x14ac:dyDescent="0.35">
      <c r="H5164" s="35"/>
    </row>
    <row r="5165" spans="8:8" x14ac:dyDescent="0.35">
      <c r="H5165" s="35"/>
    </row>
    <row r="5166" spans="8:8" x14ac:dyDescent="0.35">
      <c r="H5166" s="35"/>
    </row>
    <row r="5167" spans="8:8" x14ac:dyDescent="0.35">
      <c r="H5167" s="35"/>
    </row>
    <row r="5168" spans="8:8" x14ac:dyDescent="0.35">
      <c r="H5168" s="35"/>
    </row>
    <row r="5169" spans="8:8" x14ac:dyDescent="0.35">
      <c r="H5169" s="35"/>
    </row>
    <row r="5170" spans="8:8" x14ac:dyDescent="0.35">
      <c r="H5170" s="35"/>
    </row>
    <row r="5171" spans="8:8" x14ac:dyDescent="0.35">
      <c r="H5171" s="35"/>
    </row>
    <row r="5172" spans="8:8" x14ac:dyDescent="0.35">
      <c r="H5172" s="35"/>
    </row>
    <row r="5173" spans="8:8" x14ac:dyDescent="0.35">
      <c r="H5173" s="35"/>
    </row>
    <row r="5174" spans="8:8" x14ac:dyDescent="0.35">
      <c r="H5174" s="35"/>
    </row>
    <row r="5175" spans="8:8" x14ac:dyDescent="0.35">
      <c r="H5175" s="35"/>
    </row>
    <row r="5176" spans="8:8" x14ac:dyDescent="0.35">
      <c r="H5176" s="35"/>
    </row>
    <row r="5177" spans="8:8" x14ac:dyDescent="0.35">
      <c r="H5177" s="35"/>
    </row>
    <row r="5178" spans="8:8" x14ac:dyDescent="0.35">
      <c r="H5178" s="35"/>
    </row>
    <row r="5179" spans="8:8" x14ac:dyDescent="0.35">
      <c r="H5179" s="35"/>
    </row>
    <row r="5180" spans="8:8" x14ac:dyDescent="0.35">
      <c r="H5180" s="35"/>
    </row>
    <row r="5181" spans="8:8" x14ac:dyDescent="0.35">
      <c r="H5181" s="35"/>
    </row>
    <row r="5182" spans="8:8" x14ac:dyDescent="0.35">
      <c r="H5182" s="35"/>
    </row>
    <row r="5183" spans="8:8" x14ac:dyDescent="0.35">
      <c r="H5183" s="35"/>
    </row>
    <row r="5184" spans="8:8" x14ac:dyDescent="0.35">
      <c r="H5184" s="35"/>
    </row>
    <row r="5185" spans="8:8" x14ac:dyDescent="0.35">
      <c r="H5185" s="35"/>
    </row>
    <row r="5186" spans="8:8" x14ac:dyDescent="0.35">
      <c r="H5186" s="35"/>
    </row>
    <row r="5187" spans="8:8" x14ac:dyDescent="0.35">
      <c r="H5187" s="35"/>
    </row>
    <row r="5188" spans="8:8" x14ac:dyDescent="0.35">
      <c r="H5188" s="35"/>
    </row>
    <row r="5189" spans="8:8" x14ac:dyDescent="0.35">
      <c r="H5189" s="35"/>
    </row>
    <row r="5190" spans="8:8" x14ac:dyDescent="0.35">
      <c r="H5190" s="35"/>
    </row>
    <row r="5191" spans="8:8" x14ac:dyDescent="0.35">
      <c r="H5191" s="35"/>
    </row>
    <row r="5192" spans="8:8" x14ac:dyDescent="0.35">
      <c r="H5192" s="35"/>
    </row>
    <row r="5193" spans="8:8" x14ac:dyDescent="0.35">
      <c r="H5193" s="35"/>
    </row>
    <row r="5194" spans="8:8" x14ac:dyDescent="0.35">
      <c r="H5194" s="35"/>
    </row>
    <row r="5195" spans="8:8" x14ac:dyDescent="0.35">
      <c r="H5195" s="35"/>
    </row>
    <row r="5196" spans="8:8" x14ac:dyDescent="0.35">
      <c r="H5196" s="35"/>
    </row>
    <row r="5197" spans="8:8" x14ac:dyDescent="0.35">
      <c r="H5197" s="35"/>
    </row>
    <row r="5198" spans="8:8" x14ac:dyDescent="0.35">
      <c r="H5198" s="35"/>
    </row>
    <row r="5199" spans="8:8" x14ac:dyDescent="0.35">
      <c r="H5199" s="35"/>
    </row>
    <row r="5200" spans="8:8" x14ac:dyDescent="0.35">
      <c r="H5200" s="35"/>
    </row>
    <row r="5201" spans="8:8" x14ac:dyDescent="0.35">
      <c r="H5201" s="35"/>
    </row>
    <row r="5202" spans="8:8" x14ac:dyDescent="0.35">
      <c r="H5202" s="35"/>
    </row>
    <row r="5203" spans="8:8" x14ac:dyDescent="0.35">
      <c r="H5203" s="35"/>
    </row>
    <row r="5204" spans="8:8" x14ac:dyDescent="0.35">
      <c r="H5204" s="35"/>
    </row>
    <row r="5205" spans="8:8" x14ac:dyDescent="0.35">
      <c r="H5205" s="35"/>
    </row>
    <row r="5206" spans="8:8" x14ac:dyDescent="0.35">
      <c r="H5206" s="35"/>
    </row>
    <row r="5207" spans="8:8" x14ac:dyDescent="0.35">
      <c r="H5207" s="35"/>
    </row>
    <row r="5208" spans="8:8" x14ac:dyDescent="0.35">
      <c r="H5208" s="35"/>
    </row>
    <row r="5209" spans="8:8" x14ac:dyDescent="0.35">
      <c r="H5209" s="35"/>
    </row>
    <row r="5210" spans="8:8" x14ac:dyDescent="0.35">
      <c r="H5210" s="35"/>
    </row>
    <row r="5211" spans="8:8" x14ac:dyDescent="0.35">
      <c r="H5211" s="35"/>
    </row>
    <row r="5212" spans="8:8" x14ac:dyDescent="0.35">
      <c r="H5212" s="35"/>
    </row>
    <row r="5213" spans="8:8" x14ac:dyDescent="0.35">
      <c r="H5213" s="35"/>
    </row>
    <row r="5214" spans="8:8" x14ac:dyDescent="0.35">
      <c r="H5214" s="35"/>
    </row>
    <row r="5215" spans="8:8" x14ac:dyDescent="0.35">
      <c r="H5215" s="35"/>
    </row>
    <row r="5216" spans="8:8" x14ac:dyDescent="0.35">
      <c r="H5216" s="35"/>
    </row>
    <row r="5217" spans="8:8" x14ac:dyDescent="0.35">
      <c r="H5217" s="35"/>
    </row>
    <row r="5218" spans="8:8" x14ac:dyDescent="0.35">
      <c r="H5218" s="35"/>
    </row>
    <row r="5219" spans="8:8" x14ac:dyDescent="0.35">
      <c r="H5219" s="35"/>
    </row>
    <row r="5220" spans="8:8" x14ac:dyDescent="0.35">
      <c r="H5220" s="35"/>
    </row>
    <row r="5221" spans="8:8" x14ac:dyDescent="0.35">
      <c r="H5221" s="35"/>
    </row>
    <row r="5222" spans="8:8" x14ac:dyDescent="0.35">
      <c r="H5222" s="35"/>
    </row>
    <row r="5223" spans="8:8" x14ac:dyDescent="0.35">
      <c r="H5223" s="35"/>
    </row>
    <row r="5224" spans="8:8" x14ac:dyDescent="0.35">
      <c r="H5224" s="35"/>
    </row>
    <row r="5225" spans="8:8" x14ac:dyDescent="0.35">
      <c r="H5225" s="35"/>
    </row>
    <row r="5226" spans="8:8" x14ac:dyDescent="0.35">
      <c r="H5226" s="35"/>
    </row>
    <row r="5227" spans="8:8" x14ac:dyDescent="0.35">
      <c r="H5227" s="35"/>
    </row>
    <row r="5228" spans="8:8" x14ac:dyDescent="0.35">
      <c r="H5228" s="35"/>
    </row>
    <row r="5229" spans="8:8" x14ac:dyDescent="0.35">
      <c r="H5229" s="35"/>
    </row>
    <row r="5230" spans="8:8" x14ac:dyDescent="0.35">
      <c r="H5230" s="35"/>
    </row>
    <row r="5231" spans="8:8" x14ac:dyDescent="0.35">
      <c r="H5231" s="35"/>
    </row>
    <row r="5232" spans="8:8" x14ac:dyDescent="0.35">
      <c r="H5232" s="35"/>
    </row>
    <row r="5233" spans="8:8" x14ac:dyDescent="0.35">
      <c r="H5233" s="35"/>
    </row>
    <row r="5234" spans="8:8" x14ac:dyDescent="0.35">
      <c r="H5234" s="35"/>
    </row>
    <row r="5235" spans="8:8" x14ac:dyDescent="0.35">
      <c r="H5235" s="35"/>
    </row>
    <row r="5236" spans="8:8" x14ac:dyDescent="0.35">
      <c r="H5236" s="35"/>
    </row>
    <row r="5237" spans="8:8" x14ac:dyDescent="0.35">
      <c r="H5237" s="35"/>
    </row>
    <row r="5238" spans="8:8" x14ac:dyDescent="0.35">
      <c r="H5238" s="35"/>
    </row>
    <row r="5239" spans="8:8" x14ac:dyDescent="0.35">
      <c r="H5239" s="35"/>
    </row>
    <row r="5240" spans="8:8" x14ac:dyDescent="0.35">
      <c r="H5240" s="35"/>
    </row>
    <row r="5241" spans="8:8" x14ac:dyDescent="0.35">
      <c r="H5241" s="35"/>
    </row>
    <row r="5242" spans="8:8" x14ac:dyDescent="0.35">
      <c r="H5242" s="35"/>
    </row>
    <row r="5243" spans="8:8" x14ac:dyDescent="0.35">
      <c r="H5243" s="35"/>
    </row>
    <row r="5244" spans="8:8" x14ac:dyDescent="0.35">
      <c r="H5244" s="35"/>
    </row>
    <row r="5245" spans="8:8" x14ac:dyDescent="0.35">
      <c r="H5245" s="35"/>
    </row>
    <row r="5246" spans="8:8" x14ac:dyDescent="0.35">
      <c r="H5246" s="35"/>
    </row>
    <row r="5247" spans="8:8" x14ac:dyDescent="0.35">
      <c r="H5247" s="35"/>
    </row>
    <row r="5248" spans="8:8" x14ac:dyDescent="0.35">
      <c r="H5248" s="35"/>
    </row>
    <row r="5249" spans="8:8" x14ac:dyDescent="0.35">
      <c r="H5249" s="35"/>
    </row>
    <row r="5250" spans="8:8" x14ac:dyDescent="0.35">
      <c r="H5250" s="35"/>
    </row>
    <row r="5251" spans="8:8" x14ac:dyDescent="0.35">
      <c r="H5251" s="35"/>
    </row>
    <row r="5252" spans="8:8" x14ac:dyDescent="0.35">
      <c r="H5252" s="35"/>
    </row>
    <row r="5253" spans="8:8" x14ac:dyDescent="0.35">
      <c r="H5253" s="35"/>
    </row>
    <row r="5254" spans="8:8" x14ac:dyDescent="0.35">
      <c r="H5254" s="35"/>
    </row>
    <row r="5255" spans="8:8" x14ac:dyDescent="0.35">
      <c r="H5255" s="35"/>
    </row>
    <row r="5256" spans="8:8" x14ac:dyDescent="0.35">
      <c r="H5256" s="35"/>
    </row>
    <row r="5257" spans="8:8" x14ac:dyDescent="0.35">
      <c r="H5257" s="35"/>
    </row>
    <row r="5258" spans="8:8" x14ac:dyDescent="0.35">
      <c r="H5258" s="35"/>
    </row>
    <row r="5259" spans="8:8" x14ac:dyDescent="0.35">
      <c r="H5259" s="35"/>
    </row>
    <row r="5260" spans="8:8" x14ac:dyDescent="0.35">
      <c r="H5260" s="35"/>
    </row>
    <row r="5261" spans="8:8" x14ac:dyDescent="0.35">
      <c r="H5261" s="35"/>
    </row>
    <row r="5262" spans="8:8" x14ac:dyDescent="0.35">
      <c r="H5262" s="35"/>
    </row>
    <row r="5263" spans="8:8" x14ac:dyDescent="0.35">
      <c r="H5263" s="35"/>
    </row>
    <row r="5264" spans="8:8" x14ac:dyDescent="0.35">
      <c r="H5264" s="35"/>
    </row>
    <row r="5265" spans="8:8" x14ac:dyDescent="0.35">
      <c r="H5265" s="35"/>
    </row>
    <row r="5266" spans="8:8" x14ac:dyDescent="0.35">
      <c r="H5266" s="35"/>
    </row>
    <row r="5267" spans="8:8" x14ac:dyDescent="0.35">
      <c r="H5267" s="35"/>
    </row>
    <row r="5268" spans="8:8" x14ac:dyDescent="0.35">
      <c r="H5268" s="35"/>
    </row>
    <row r="5269" spans="8:8" x14ac:dyDescent="0.35">
      <c r="H5269" s="35"/>
    </row>
    <row r="5270" spans="8:8" x14ac:dyDescent="0.35">
      <c r="H5270" s="35"/>
    </row>
    <row r="5271" spans="8:8" x14ac:dyDescent="0.35">
      <c r="H5271" s="35"/>
    </row>
    <row r="5272" spans="8:8" x14ac:dyDescent="0.35">
      <c r="H5272" s="35"/>
    </row>
    <row r="5273" spans="8:8" x14ac:dyDescent="0.35">
      <c r="H5273" s="35"/>
    </row>
    <row r="5274" spans="8:8" x14ac:dyDescent="0.35">
      <c r="H5274" s="35"/>
    </row>
    <row r="5275" spans="8:8" x14ac:dyDescent="0.35">
      <c r="H5275" s="35"/>
    </row>
    <row r="5276" spans="8:8" x14ac:dyDescent="0.35">
      <c r="H5276" s="35"/>
    </row>
    <row r="5277" spans="8:8" x14ac:dyDescent="0.35">
      <c r="H5277" s="35"/>
    </row>
    <row r="5278" spans="8:8" x14ac:dyDescent="0.35">
      <c r="H5278" s="35"/>
    </row>
    <row r="5279" spans="8:8" x14ac:dyDescent="0.35">
      <c r="H5279" s="35"/>
    </row>
    <row r="5280" spans="8:8" x14ac:dyDescent="0.35">
      <c r="H5280" s="35"/>
    </row>
    <row r="5281" spans="8:8" x14ac:dyDescent="0.35">
      <c r="H5281" s="35"/>
    </row>
    <row r="5282" spans="8:8" x14ac:dyDescent="0.35">
      <c r="H5282" s="35"/>
    </row>
    <row r="5283" spans="8:8" x14ac:dyDescent="0.35">
      <c r="H5283" s="35"/>
    </row>
    <row r="5284" spans="8:8" x14ac:dyDescent="0.35">
      <c r="H5284" s="35"/>
    </row>
    <row r="5285" spans="8:8" x14ac:dyDescent="0.35">
      <c r="H5285" s="35"/>
    </row>
    <row r="5286" spans="8:8" x14ac:dyDescent="0.35">
      <c r="H5286" s="35"/>
    </row>
    <row r="5287" spans="8:8" x14ac:dyDescent="0.35">
      <c r="H5287" s="35"/>
    </row>
    <row r="5288" spans="8:8" x14ac:dyDescent="0.35">
      <c r="H5288" s="35"/>
    </row>
    <row r="5289" spans="8:8" x14ac:dyDescent="0.35">
      <c r="H5289" s="35"/>
    </row>
    <row r="5290" spans="8:8" x14ac:dyDescent="0.35">
      <c r="H5290" s="35"/>
    </row>
    <row r="5291" spans="8:8" x14ac:dyDescent="0.35">
      <c r="H5291" s="35"/>
    </row>
    <row r="5292" spans="8:8" x14ac:dyDescent="0.35">
      <c r="H5292" s="35"/>
    </row>
    <row r="5293" spans="8:8" x14ac:dyDescent="0.35">
      <c r="H5293" s="35"/>
    </row>
    <row r="5294" spans="8:8" x14ac:dyDescent="0.35">
      <c r="H5294" s="35"/>
    </row>
    <row r="5295" spans="8:8" x14ac:dyDescent="0.35">
      <c r="H5295" s="35"/>
    </row>
    <row r="5296" spans="8:8" x14ac:dyDescent="0.35">
      <c r="H5296" s="35"/>
    </row>
    <row r="5297" spans="8:8" x14ac:dyDescent="0.35">
      <c r="H5297" s="35"/>
    </row>
    <row r="5298" spans="8:8" x14ac:dyDescent="0.35">
      <c r="H5298" s="35"/>
    </row>
    <row r="5299" spans="8:8" x14ac:dyDescent="0.35">
      <c r="H5299" s="35"/>
    </row>
    <row r="5300" spans="8:8" x14ac:dyDescent="0.35">
      <c r="H5300" s="35"/>
    </row>
    <row r="5301" spans="8:8" x14ac:dyDescent="0.35">
      <c r="H5301" s="35"/>
    </row>
    <row r="5302" spans="8:8" x14ac:dyDescent="0.35">
      <c r="H5302" s="35"/>
    </row>
    <row r="5303" spans="8:8" x14ac:dyDescent="0.35">
      <c r="H5303" s="35"/>
    </row>
    <row r="5304" spans="8:8" x14ac:dyDescent="0.35">
      <c r="H5304" s="35"/>
    </row>
    <row r="5305" spans="8:8" x14ac:dyDescent="0.35">
      <c r="H5305" s="35"/>
    </row>
    <row r="5306" spans="8:8" x14ac:dyDescent="0.35">
      <c r="H5306" s="35"/>
    </row>
    <row r="5307" spans="8:8" x14ac:dyDescent="0.35">
      <c r="H5307" s="35"/>
    </row>
    <row r="5308" spans="8:8" x14ac:dyDescent="0.35">
      <c r="H5308" s="35"/>
    </row>
    <row r="5309" spans="8:8" x14ac:dyDescent="0.35">
      <c r="H5309" s="35"/>
    </row>
    <row r="5310" spans="8:8" x14ac:dyDescent="0.35">
      <c r="H5310" s="35"/>
    </row>
    <row r="5311" spans="8:8" x14ac:dyDescent="0.35">
      <c r="H5311" s="35"/>
    </row>
    <row r="5312" spans="8:8" x14ac:dyDescent="0.35">
      <c r="H5312" s="35"/>
    </row>
    <row r="5313" spans="8:8" x14ac:dyDescent="0.35">
      <c r="H5313" s="35"/>
    </row>
    <row r="5314" spans="8:8" x14ac:dyDescent="0.35">
      <c r="H5314" s="35"/>
    </row>
    <row r="5315" spans="8:8" x14ac:dyDescent="0.35">
      <c r="H5315" s="35"/>
    </row>
    <row r="5316" spans="8:8" x14ac:dyDescent="0.35">
      <c r="H5316" s="35"/>
    </row>
    <row r="5317" spans="8:8" x14ac:dyDescent="0.35">
      <c r="H5317" s="35"/>
    </row>
    <row r="5318" spans="8:8" x14ac:dyDescent="0.35">
      <c r="H5318" s="35"/>
    </row>
    <row r="5319" spans="8:8" x14ac:dyDescent="0.35">
      <c r="H5319" s="35"/>
    </row>
    <row r="5320" spans="8:8" x14ac:dyDescent="0.35">
      <c r="H5320" s="35"/>
    </row>
    <row r="5321" spans="8:8" x14ac:dyDescent="0.35">
      <c r="H5321" s="35"/>
    </row>
    <row r="5322" spans="8:8" x14ac:dyDescent="0.35">
      <c r="H5322" s="35"/>
    </row>
    <row r="5323" spans="8:8" x14ac:dyDescent="0.35">
      <c r="H5323" s="35"/>
    </row>
    <row r="5324" spans="8:8" x14ac:dyDescent="0.35">
      <c r="H5324" s="35"/>
    </row>
    <row r="5325" spans="8:8" x14ac:dyDescent="0.35">
      <c r="H5325" s="35"/>
    </row>
    <row r="5326" spans="8:8" x14ac:dyDescent="0.35">
      <c r="H5326" s="35"/>
    </row>
    <row r="5327" spans="8:8" x14ac:dyDescent="0.35">
      <c r="H5327" s="35"/>
    </row>
    <row r="5328" spans="8:8" x14ac:dyDescent="0.35">
      <c r="H5328" s="35"/>
    </row>
    <row r="5329" spans="8:8" x14ac:dyDescent="0.35">
      <c r="H5329" s="35"/>
    </row>
    <row r="5330" spans="8:8" x14ac:dyDescent="0.35">
      <c r="H5330" s="35"/>
    </row>
    <row r="5331" spans="8:8" x14ac:dyDescent="0.35">
      <c r="H5331" s="35"/>
    </row>
    <row r="5332" spans="8:8" x14ac:dyDescent="0.35">
      <c r="H5332" s="35"/>
    </row>
    <row r="5333" spans="8:8" x14ac:dyDescent="0.35">
      <c r="H5333" s="35"/>
    </row>
    <row r="5334" spans="8:8" x14ac:dyDescent="0.35">
      <c r="H5334" s="35"/>
    </row>
    <row r="5335" spans="8:8" x14ac:dyDescent="0.35">
      <c r="H5335" s="35"/>
    </row>
    <row r="5336" spans="8:8" x14ac:dyDescent="0.35">
      <c r="H5336" s="35"/>
    </row>
    <row r="5337" spans="8:8" x14ac:dyDescent="0.35">
      <c r="H5337" s="35"/>
    </row>
    <row r="5338" spans="8:8" x14ac:dyDescent="0.35">
      <c r="H5338" s="35"/>
    </row>
    <row r="5339" spans="8:8" x14ac:dyDescent="0.35">
      <c r="H5339" s="35"/>
    </row>
    <row r="5340" spans="8:8" x14ac:dyDescent="0.35">
      <c r="H5340" s="35"/>
    </row>
    <row r="5341" spans="8:8" x14ac:dyDescent="0.35">
      <c r="H5341" s="35"/>
    </row>
    <row r="5342" spans="8:8" x14ac:dyDescent="0.35">
      <c r="H5342" s="35"/>
    </row>
    <row r="5343" spans="8:8" x14ac:dyDescent="0.35">
      <c r="H5343" s="35"/>
    </row>
    <row r="5344" spans="8:8" x14ac:dyDescent="0.35">
      <c r="H5344" s="35"/>
    </row>
    <row r="5345" spans="8:8" x14ac:dyDescent="0.35">
      <c r="H5345" s="35"/>
    </row>
    <row r="5346" spans="8:8" x14ac:dyDescent="0.35">
      <c r="H5346" s="35"/>
    </row>
    <row r="5347" spans="8:8" x14ac:dyDescent="0.35">
      <c r="H5347" s="35"/>
    </row>
    <row r="5348" spans="8:8" x14ac:dyDescent="0.35">
      <c r="H5348" s="35"/>
    </row>
    <row r="5349" spans="8:8" x14ac:dyDescent="0.35">
      <c r="H5349" s="35"/>
    </row>
    <row r="5350" spans="8:8" x14ac:dyDescent="0.35">
      <c r="H5350" s="35"/>
    </row>
    <row r="5351" spans="8:8" x14ac:dyDescent="0.35">
      <c r="H5351" s="35"/>
    </row>
    <row r="5352" spans="8:8" x14ac:dyDescent="0.35">
      <c r="H5352" s="35"/>
    </row>
    <row r="5353" spans="8:8" x14ac:dyDescent="0.35">
      <c r="H5353" s="35"/>
    </row>
    <row r="5354" spans="8:8" x14ac:dyDescent="0.35">
      <c r="H5354" s="35"/>
    </row>
    <row r="5355" spans="8:8" x14ac:dyDescent="0.35">
      <c r="H5355" s="35"/>
    </row>
    <row r="5356" spans="8:8" x14ac:dyDescent="0.35">
      <c r="H5356" s="35"/>
    </row>
    <row r="5357" spans="8:8" x14ac:dyDescent="0.35">
      <c r="H5357" s="35"/>
    </row>
    <row r="5358" spans="8:8" x14ac:dyDescent="0.35">
      <c r="H5358" s="35"/>
    </row>
    <row r="5359" spans="8:8" x14ac:dyDescent="0.35">
      <c r="H5359" s="35"/>
    </row>
    <row r="5360" spans="8:8" x14ac:dyDescent="0.35">
      <c r="H5360" s="35"/>
    </row>
    <row r="5361" spans="8:8" x14ac:dyDescent="0.35">
      <c r="H5361" s="35"/>
    </row>
    <row r="5362" spans="8:8" x14ac:dyDescent="0.35">
      <c r="H5362" s="35"/>
    </row>
    <row r="5363" spans="8:8" x14ac:dyDescent="0.35">
      <c r="H5363" s="35"/>
    </row>
    <row r="5364" spans="8:8" x14ac:dyDescent="0.35">
      <c r="H5364" s="35"/>
    </row>
    <row r="5365" spans="8:8" x14ac:dyDescent="0.35">
      <c r="H5365" s="35"/>
    </row>
    <row r="5366" spans="8:8" x14ac:dyDescent="0.35">
      <c r="H5366" s="35"/>
    </row>
    <row r="5367" spans="8:8" x14ac:dyDescent="0.35">
      <c r="H5367" s="35"/>
    </row>
    <row r="5368" spans="8:8" x14ac:dyDescent="0.35">
      <c r="H5368" s="35"/>
    </row>
    <row r="5369" spans="8:8" x14ac:dyDescent="0.35">
      <c r="H5369" s="35"/>
    </row>
    <row r="5370" spans="8:8" x14ac:dyDescent="0.35">
      <c r="H5370" s="35"/>
    </row>
    <row r="5371" spans="8:8" x14ac:dyDescent="0.35">
      <c r="H5371" s="35"/>
    </row>
    <row r="5372" spans="8:8" x14ac:dyDescent="0.35">
      <c r="H5372" s="35"/>
    </row>
    <row r="5373" spans="8:8" x14ac:dyDescent="0.35">
      <c r="H5373" s="35"/>
    </row>
    <row r="5374" spans="8:8" x14ac:dyDescent="0.35">
      <c r="H5374" s="35"/>
    </row>
    <row r="5375" spans="8:8" x14ac:dyDescent="0.35">
      <c r="H5375" s="35"/>
    </row>
    <row r="5376" spans="8:8" x14ac:dyDescent="0.35">
      <c r="H5376" s="35"/>
    </row>
    <row r="5377" spans="8:8" x14ac:dyDescent="0.35">
      <c r="H5377" s="35"/>
    </row>
    <row r="5378" spans="8:8" x14ac:dyDescent="0.35">
      <c r="H5378" s="35"/>
    </row>
    <row r="5379" spans="8:8" x14ac:dyDescent="0.35">
      <c r="H5379" s="35"/>
    </row>
    <row r="5380" spans="8:8" x14ac:dyDescent="0.35">
      <c r="H5380" s="35"/>
    </row>
    <row r="5381" spans="8:8" x14ac:dyDescent="0.35">
      <c r="H5381" s="35"/>
    </row>
    <row r="5382" spans="8:8" x14ac:dyDescent="0.35">
      <c r="H5382" s="35"/>
    </row>
    <row r="5383" spans="8:8" x14ac:dyDescent="0.35">
      <c r="H5383" s="35"/>
    </row>
    <row r="5384" spans="8:8" x14ac:dyDescent="0.35">
      <c r="H5384" s="35"/>
    </row>
    <row r="5385" spans="8:8" x14ac:dyDescent="0.35">
      <c r="H5385" s="35"/>
    </row>
    <row r="5386" spans="8:8" x14ac:dyDescent="0.35">
      <c r="H5386" s="35"/>
    </row>
    <row r="5387" spans="8:8" x14ac:dyDescent="0.35">
      <c r="H5387" s="35"/>
    </row>
    <row r="5388" spans="8:8" x14ac:dyDescent="0.35">
      <c r="H5388" s="35"/>
    </row>
    <row r="5389" spans="8:8" x14ac:dyDescent="0.35">
      <c r="H5389" s="35"/>
    </row>
    <row r="5390" spans="8:8" x14ac:dyDescent="0.35">
      <c r="H5390" s="35"/>
    </row>
    <row r="5391" spans="8:8" x14ac:dyDescent="0.35">
      <c r="H5391" s="35"/>
    </row>
    <row r="5392" spans="8:8" x14ac:dyDescent="0.35">
      <c r="H5392" s="35"/>
    </row>
    <row r="5393" spans="8:8" x14ac:dyDescent="0.35">
      <c r="H5393" s="35"/>
    </row>
    <row r="5394" spans="8:8" x14ac:dyDescent="0.35">
      <c r="H5394" s="35"/>
    </row>
    <row r="5395" spans="8:8" x14ac:dyDescent="0.35">
      <c r="H5395" s="35"/>
    </row>
    <row r="5396" spans="8:8" x14ac:dyDescent="0.35">
      <c r="H5396" s="35"/>
    </row>
    <row r="5397" spans="8:8" x14ac:dyDescent="0.35">
      <c r="H5397" s="35"/>
    </row>
    <row r="5398" spans="8:8" x14ac:dyDescent="0.35">
      <c r="H5398" s="35"/>
    </row>
    <row r="5399" spans="8:8" x14ac:dyDescent="0.35">
      <c r="H5399" s="35"/>
    </row>
    <row r="5400" spans="8:8" x14ac:dyDescent="0.35">
      <c r="H5400" s="35"/>
    </row>
    <row r="5401" spans="8:8" x14ac:dyDescent="0.35">
      <c r="H5401" s="35"/>
    </row>
    <row r="5402" spans="8:8" x14ac:dyDescent="0.35">
      <c r="H5402" s="35"/>
    </row>
    <row r="5403" spans="8:8" x14ac:dyDescent="0.35">
      <c r="H5403" s="35"/>
    </row>
    <row r="5404" spans="8:8" x14ac:dyDescent="0.35">
      <c r="H5404" s="35"/>
    </row>
    <row r="5405" spans="8:8" x14ac:dyDescent="0.35">
      <c r="H5405" s="35"/>
    </row>
    <row r="5406" spans="8:8" x14ac:dyDescent="0.35">
      <c r="H5406" s="35"/>
    </row>
    <row r="5407" spans="8:8" x14ac:dyDescent="0.35">
      <c r="H5407" s="35"/>
    </row>
    <row r="5408" spans="8:8" x14ac:dyDescent="0.35">
      <c r="H5408" s="35"/>
    </row>
    <row r="5409" spans="8:8" x14ac:dyDescent="0.35">
      <c r="H5409" s="35"/>
    </row>
    <row r="5410" spans="8:8" x14ac:dyDescent="0.35">
      <c r="H5410" s="35"/>
    </row>
    <row r="5411" spans="8:8" x14ac:dyDescent="0.35">
      <c r="H5411" s="35"/>
    </row>
    <row r="5412" spans="8:8" x14ac:dyDescent="0.35">
      <c r="H5412" s="35"/>
    </row>
    <row r="5413" spans="8:8" x14ac:dyDescent="0.35">
      <c r="H5413" s="35"/>
    </row>
    <row r="5414" spans="8:8" x14ac:dyDescent="0.35">
      <c r="H5414" s="35"/>
    </row>
    <row r="5415" spans="8:8" x14ac:dyDescent="0.35">
      <c r="H5415" s="35"/>
    </row>
    <row r="5416" spans="8:8" x14ac:dyDescent="0.35">
      <c r="H5416" s="35"/>
    </row>
    <row r="5417" spans="8:8" x14ac:dyDescent="0.35">
      <c r="H5417" s="35"/>
    </row>
    <row r="5418" spans="8:8" x14ac:dyDescent="0.35">
      <c r="H5418" s="35"/>
    </row>
    <row r="5419" spans="8:8" x14ac:dyDescent="0.35">
      <c r="H5419" s="35"/>
    </row>
    <row r="5420" spans="8:8" x14ac:dyDescent="0.35">
      <c r="H5420" s="35"/>
    </row>
    <row r="5421" spans="8:8" x14ac:dyDescent="0.35">
      <c r="H5421" s="35"/>
    </row>
    <row r="5422" spans="8:8" x14ac:dyDescent="0.35">
      <c r="H5422" s="35"/>
    </row>
    <row r="5423" spans="8:8" x14ac:dyDescent="0.35">
      <c r="H5423" s="35"/>
    </row>
    <row r="5424" spans="8:8" x14ac:dyDescent="0.35">
      <c r="H5424" s="35"/>
    </row>
    <row r="5425" spans="8:8" x14ac:dyDescent="0.35">
      <c r="H5425" s="35"/>
    </row>
    <row r="5426" spans="8:8" x14ac:dyDescent="0.35">
      <c r="H5426" s="35"/>
    </row>
    <row r="5427" spans="8:8" x14ac:dyDescent="0.35">
      <c r="H5427" s="35"/>
    </row>
    <row r="5428" spans="8:8" x14ac:dyDescent="0.35">
      <c r="H5428" s="35"/>
    </row>
    <row r="5429" spans="8:8" x14ac:dyDescent="0.35">
      <c r="H5429" s="35"/>
    </row>
    <row r="5430" spans="8:8" x14ac:dyDescent="0.35">
      <c r="H5430" s="35"/>
    </row>
    <row r="5431" spans="8:8" x14ac:dyDescent="0.35">
      <c r="H5431" s="35"/>
    </row>
    <row r="5432" spans="8:8" x14ac:dyDescent="0.35">
      <c r="H5432" s="35"/>
    </row>
    <row r="5433" spans="8:8" x14ac:dyDescent="0.35">
      <c r="H5433" s="35"/>
    </row>
    <row r="5434" spans="8:8" x14ac:dyDescent="0.35">
      <c r="H5434" s="35"/>
    </row>
    <row r="5435" spans="8:8" x14ac:dyDescent="0.35">
      <c r="H5435" s="35"/>
    </row>
    <row r="5436" spans="8:8" x14ac:dyDescent="0.35">
      <c r="H5436" s="35"/>
    </row>
    <row r="5437" spans="8:8" x14ac:dyDescent="0.35">
      <c r="H5437" s="35"/>
    </row>
    <row r="5438" spans="8:8" x14ac:dyDescent="0.35">
      <c r="H5438" s="35"/>
    </row>
    <row r="5439" spans="8:8" x14ac:dyDescent="0.35">
      <c r="H5439" s="35"/>
    </row>
    <row r="5440" spans="8:8" x14ac:dyDescent="0.35">
      <c r="H5440" s="35"/>
    </row>
    <row r="5441" spans="8:8" x14ac:dyDescent="0.35">
      <c r="H5441" s="35"/>
    </row>
    <row r="5442" spans="8:8" x14ac:dyDescent="0.35">
      <c r="H5442" s="35"/>
    </row>
    <row r="5443" spans="8:8" x14ac:dyDescent="0.35">
      <c r="H5443" s="35"/>
    </row>
    <row r="5444" spans="8:8" x14ac:dyDescent="0.35">
      <c r="H5444" s="35"/>
    </row>
    <row r="5445" spans="8:8" x14ac:dyDescent="0.35">
      <c r="H5445" s="35"/>
    </row>
    <row r="5446" spans="8:8" x14ac:dyDescent="0.35">
      <c r="H5446" s="35"/>
    </row>
    <row r="5447" spans="8:8" x14ac:dyDescent="0.35">
      <c r="H5447" s="35"/>
    </row>
    <row r="5448" spans="8:8" x14ac:dyDescent="0.35">
      <c r="H5448" s="35"/>
    </row>
    <row r="5449" spans="8:8" x14ac:dyDescent="0.35">
      <c r="H5449" s="35"/>
    </row>
    <row r="5450" spans="8:8" x14ac:dyDescent="0.35">
      <c r="H5450" s="35"/>
    </row>
    <row r="5451" spans="8:8" x14ac:dyDescent="0.35">
      <c r="H5451" s="35"/>
    </row>
    <row r="5452" spans="8:8" x14ac:dyDescent="0.35">
      <c r="H5452" s="35"/>
    </row>
    <row r="5453" spans="8:8" x14ac:dyDescent="0.35">
      <c r="H5453" s="35"/>
    </row>
    <row r="5454" spans="8:8" x14ac:dyDescent="0.35">
      <c r="H5454" s="35"/>
    </row>
    <row r="5455" spans="8:8" x14ac:dyDescent="0.35">
      <c r="H5455" s="35"/>
    </row>
    <row r="5456" spans="8:8" x14ac:dyDescent="0.35">
      <c r="H5456" s="35"/>
    </row>
    <row r="5457" spans="8:8" x14ac:dyDescent="0.35">
      <c r="H5457" s="35"/>
    </row>
    <row r="5458" spans="8:8" x14ac:dyDescent="0.35">
      <c r="H5458" s="35"/>
    </row>
    <row r="5459" spans="8:8" x14ac:dyDescent="0.35">
      <c r="H5459" s="35"/>
    </row>
    <row r="5460" spans="8:8" x14ac:dyDescent="0.35">
      <c r="H5460" s="35"/>
    </row>
    <row r="5461" spans="8:8" x14ac:dyDescent="0.35">
      <c r="H5461" s="35"/>
    </row>
    <row r="5462" spans="8:8" x14ac:dyDescent="0.35">
      <c r="H5462" s="35"/>
    </row>
    <row r="5463" spans="8:8" x14ac:dyDescent="0.35">
      <c r="H5463" s="35"/>
    </row>
    <row r="5464" spans="8:8" x14ac:dyDescent="0.35">
      <c r="H5464" s="35"/>
    </row>
    <row r="5465" spans="8:8" x14ac:dyDescent="0.35">
      <c r="H5465" s="35"/>
    </row>
    <row r="5466" spans="8:8" x14ac:dyDescent="0.35">
      <c r="H5466" s="35"/>
    </row>
    <row r="5467" spans="8:8" x14ac:dyDescent="0.35">
      <c r="H5467" s="35"/>
    </row>
    <row r="5468" spans="8:8" x14ac:dyDescent="0.35">
      <c r="H5468" s="35"/>
    </row>
    <row r="5469" spans="8:8" x14ac:dyDescent="0.35">
      <c r="H5469" s="35"/>
    </row>
    <row r="5470" spans="8:8" x14ac:dyDescent="0.35">
      <c r="H5470" s="35"/>
    </row>
    <row r="5471" spans="8:8" x14ac:dyDescent="0.35">
      <c r="H5471" s="35"/>
    </row>
    <row r="5472" spans="8:8" x14ac:dyDescent="0.35">
      <c r="H5472" s="35"/>
    </row>
    <row r="5473" spans="8:8" x14ac:dyDescent="0.35">
      <c r="H5473" s="35"/>
    </row>
    <row r="5474" spans="8:8" x14ac:dyDescent="0.35">
      <c r="H5474" s="35"/>
    </row>
    <row r="5475" spans="8:8" x14ac:dyDescent="0.35">
      <c r="H5475" s="35"/>
    </row>
    <row r="5476" spans="8:8" x14ac:dyDescent="0.35">
      <c r="H5476" s="35"/>
    </row>
    <row r="5477" spans="8:8" x14ac:dyDescent="0.35">
      <c r="H5477" s="35"/>
    </row>
    <row r="5478" spans="8:8" x14ac:dyDescent="0.35">
      <c r="H5478" s="35"/>
    </row>
    <row r="5479" spans="8:8" x14ac:dyDescent="0.35">
      <c r="H5479" s="35"/>
    </row>
    <row r="5480" spans="8:8" x14ac:dyDescent="0.35">
      <c r="H5480" s="35"/>
    </row>
    <row r="5481" spans="8:8" x14ac:dyDescent="0.35">
      <c r="H5481" s="35"/>
    </row>
    <row r="5482" spans="8:8" x14ac:dyDescent="0.35">
      <c r="H5482" s="35"/>
    </row>
    <row r="5483" spans="8:8" x14ac:dyDescent="0.35">
      <c r="H5483" s="35"/>
    </row>
    <row r="5484" spans="8:8" x14ac:dyDescent="0.35">
      <c r="H5484" s="35"/>
    </row>
    <row r="5485" spans="8:8" x14ac:dyDescent="0.35">
      <c r="H5485" s="35"/>
    </row>
    <row r="5486" spans="8:8" x14ac:dyDescent="0.35">
      <c r="H5486" s="35"/>
    </row>
    <row r="5487" spans="8:8" x14ac:dyDescent="0.35">
      <c r="H5487" s="35"/>
    </row>
    <row r="5488" spans="8:8" x14ac:dyDescent="0.35">
      <c r="H5488" s="35"/>
    </row>
    <row r="5489" spans="8:8" x14ac:dyDescent="0.35">
      <c r="H5489" s="35"/>
    </row>
    <row r="5490" spans="8:8" x14ac:dyDescent="0.35">
      <c r="H5490" s="35"/>
    </row>
    <row r="5491" spans="8:8" x14ac:dyDescent="0.35">
      <c r="H5491" s="35"/>
    </row>
    <row r="5492" spans="8:8" x14ac:dyDescent="0.35">
      <c r="H5492" s="35"/>
    </row>
    <row r="5493" spans="8:8" x14ac:dyDescent="0.35">
      <c r="H5493" s="35"/>
    </row>
    <row r="5494" spans="8:8" x14ac:dyDescent="0.35">
      <c r="H5494" s="35"/>
    </row>
    <row r="5495" spans="8:8" x14ac:dyDescent="0.35">
      <c r="H5495" s="35"/>
    </row>
    <row r="5496" spans="8:8" x14ac:dyDescent="0.35">
      <c r="H5496" s="35"/>
    </row>
    <row r="5497" spans="8:8" x14ac:dyDescent="0.35">
      <c r="H5497" s="35"/>
    </row>
    <row r="5498" spans="8:8" x14ac:dyDescent="0.35">
      <c r="H5498" s="35"/>
    </row>
    <row r="5499" spans="8:8" x14ac:dyDescent="0.35">
      <c r="H5499" s="35"/>
    </row>
    <row r="5500" spans="8:8" x14ac:dyDescent="0.35">
      <c r="H5500" s="35"/>
    </row>
    <row r="5501" spans="8:8" x14ac:dyDescent="0.35">
      <c r="H5501" s="35"/>
    </row>
    <row r="5502" spans="8:8" x14ac:dyDescent="0.35">
      <c r="H5502" s="35"/>
    </row>
    <row r="5503" spans="8:8" x14ac:dyDescent="0.35">
      <c r="H5503" s="35"/>
    </row>
    <row r="5504" spans="8:8" x14ac:dyDescent="0.35">
      <c r="H5504" s="35"/>
    </row>
    <row r="5505" spans="8:8" x14ac:dyDescent="0.35">
      <c r="H5505" s="35"/>
    </row>
    <row r="5506" spans="8:8" x14ac:dyDescent="0.35">
      <c r="H5506" s="35"/>
    </row>
    <row r="5507" spans="8:8" x14ac:dyDescent="0.35">
      <c r="H5507" s="35"/>
    </row>
    <row r="5508" spans="8:8" x14ac:dyDescent="0.35">
      <c r="H5508" s="35"/>
    </row>
    <row r="5509" spans="8:8" x14ac:dyDescent="0.35">
      <c r="H5509" s="35"/>
    </row>
    <row r="5510" spans="8:8" x14ac:dyDescent="0.35">
      <c r="H5510" s="35"/>
    </row>
    <row r="5511" spans="8:8" x14ac:dyDescent="0.35">
      <c r="H5511" s="35"/>
    </row>
    <row r="5512" spans="8:8" x14ac:dyDescent="0.35">
      <c r="H5512" s="35"/>
    </row>
    <row r="5513" spans="8:8" x14ac:dyDescent="0.35">
      <c r="H5513" s="35"/>
    </row>
    <row r="5514" spans="8:8" x14ac:dyDescent="0.35">
      <c r="H5514" s="35"/>
    </row>
    <row r="5515" spans="8:8" x14ac:dyDescent="0.35">
      <c r="H5515" s="35"/>
    </row>
    <row r="5516" spans="8:8" x14ac:dyDescent="0.35">
      <c r="H5516" s="35"/>
    </row>
    <row r="5517" spans="8:8" x14ac:dyDescent="0.35">
      <c r="H5517" s="35"/>
    </row>
    <row r="5518" spans="8:8" x14ac:dyDescent="0.35">
      <c r="H5518" s="35"/>
    </row>
    <row r="5519" spans="8:8" x14ac:dyDescent="0.35">
      <c r="H5519" s="35"/>
    </row>
    <row r="5520" spans="8:8" x14ac:dyDescent="0.35">
      <c r="H5520" s="35"/>
    </row>
    <row r="5521" spans="8:8" x14ac:dyDescent="0.35">
      <c r="H5521" s="35"/>
    </row>
    <row r="5522" spans="8:8" x14ac:dyDescent="0.35">
      <c r="H5522" s="35"/>
    </row>
    <row r="5523" spans="8:8" x14ac:dyDescent="0.35">
      <c r="H5523" s="35"/>
    </row>
    <row r="5524" spans="8:8" x14ac:dyDescent="0.35">
      <c r="H5524" s="35"/>
    </row>
    <row r="5525" spans="8:8" x14ac:dyDescent="0.35">
      <c r="H5525" s="35"/>
    </row>
    <row r="5526" spans="8:8" x14ac:dyDescent="0.35">
      <c r="H5526" s="35"/>
    </row>
    <row r="5527" spans="8:8" x14ac:dyDescent="0.35">
      <c r="H5527" s="35"/>
    </row>
    <row r="5528" spans="8:8" x14ac:dyDescent="0.35">
      <c r="H5528" s="35"/>
    </row>
    <row r="5529" spans="8:8" x14ac:dyDescent="0.35">
      <c r="H5529" s="35"/>
    </row>
    <row r="5530" spans="8:8" x14ac:dyDescent="0.35">
      <c r="H5530" s="35"/>
    </row>
    <row r="5531" spans="8:8" x14ac:dyDescent="0.35">
      <c r="H5531" s="35"/>
    </row>
    <row r="5532" spans="8:8" x14ac:dyDescent="0.35">
      <c r="H5532" s="35"/>
    </row>
    <row r="5533" spans="8:8" x14ac:dyDescent="0.35">
      <c r="H5533" s="35"/>
    </row>
    <row r="5534" spans="8:8" x14ac:dyDescent="0.35">
      <c r="H5534" s="35"/>
    </row>
    <row r="5535" spans="8:8" x14ac:dyDescent="0.35">
      <c r="H5535" s="35"/>
    </row>
    <row r="5536" spans="8:8" x14ac:dyDescent="0.35">
      <c r="H5536" s="35"/>
    </row>
    <row r="5537" spans="8:8" x14ac:dyDescent="0.35">
      <c r="H5537" s="35"/>
    </row>
    <row r="5538" spans="8:8" x14ac:dyDescent="0.35">
      <c r="H5538" s="35"/>
    </row>
    <row r="5539" spans="8:8" x14ac:dyDescent="0.35">
      <c r="H5539" s="35"/>
    </row>
    <row r="5540" spans="8:8" x14ac:dyDescent="0.35">
      <c r="H5540" s="35"/>
    </row>
    <row r="5541" spans="8:8" x14ac:dyDescent="0.35">
      <c r="H5541" s="35"/>
    </row>
    <row r="5542" spans="8:8" x14ac:dyDescent="0.35">
      <c r="H5542" s="35"/>
    </row>
    <row r="5543" spans="8:8" x14ac:dyDescent="0.35">
      <c r="H5543" s="35"/>
    </row>
    <row r="5544" spans="8:8" x14ac:dyDescent="0.35">
      <c r="H5544" s="35"/>
    </row>
    <row r="5545" spans="8:8" x14ac:dyDescent="0.35">
      <c r="H5545" s="35"/>
    </row>
    <row r="5546" spans="8:8" x14ac:dyDescent="0.35">
      <c r="H5546" s="35"/>
    </row>
    <row r="5547" spans="8:8" x14ac:dyDescent="0.35">
      <c r="H5547" s="35"/>
    </row>
    <row r="5548" spans="8:8" x14ac:dyDescent="0.35">
      <c r="H5548" s="35"/>
    </row>
    <row r="5549" spans="8:8" x14ac:dyDescent="0.35">
      <c r="H5549" s="35"/>
    </row>
    <row r="5550" spans="8:8" x14ac:dyDescent="0.35">
      <c r="H5550" s="35"/>
    </row>
    <row r="5551" spans="8:8" x14ac:dyDescent="0.35">
      <c r="H5551" s="35"/>
    </row>
    <row r="5552" spans="8:8" x14ac:dyDescent="0.35">
      <c r="H5552" s="35"/>
    </row>
    <row r="5553" spans="8:8" x14ac:dyDescent="0.35">
      <c r="H5553" s="35"/>
    </row>
    <row r="5554" spans="8:8" x14ac:dyDescent="0.35">
      <c r="H5554" s="35"/>
    </row>
    <row r="5555" spans="8:8" x14ac:dyDescent="0.35">
      <c r="H5555" s="35"/>
    </row>
    <row r="5556" spans="8:8" x14ac:dyDescent="0.35">
      <c r="H5556" s="35"/>
    </row>
    <row r="5557" spans="8:8" x14ac:dyDescent="0.35">
      <c r="H5557" s="35"/>
    </row>
    <row r="5558" spans="8:8" x14ac:dyDescent="0.35">
      <c r="H5558" s="35"/>
    </row>
    <row r="5559" spans="8:8" x14ac:dyDescent="0.35">
      <c r="H5559" s="35"/>
    </row>
    <row r="5560" spans="8:8" x14ac:dyDescent="0.35">
      <c r="H5560" s="35"/>
    </row>
    <row r="5561" spans="8:8" x14ac:dyDescent="0.35">
      <c r="H5561" s="35"/>
    </row>
    <row r="5562" spans="8:8" x14ac:dyDescent="0.35">
      <c r="H5562" s="35"/>
    </row>
    <row r="5563" spans="8:8" x14ac:dyDescent="0.35">
      <c r="H5563" s="35"/>
    </row>
    <row r="5564" spans="8:8" x14ac:dyDescent="0.35">
      <c r="H5564" s="35"/>
    </row>
    <row r="5565" spans="8:8" x14ac:dyDescent="0.35">
      <c r="H5565" s="35"/>
    </row>
    <row r="5566" spans="8:8" x14ac:dyDescent="0.35">
      <c r="H5566" s="35"/>
    </row>
    <row r="5567" spans="8:8" x14ac:dyDescent="0.35">
      <c r="H5567" s="35"/>
    </row>
    <row r="5568" spans="8:8" x14ac:dyDescent="0.35">
      <c r="H5568" s="35"/>
    </row>
    <row r="5569" spans="8:8" x14ac:dyDescent="0.35">
      <c r="H5569" s="35"/>
    </row>
    <row r="5570" spans="8:8" x14ac:dyDescent="0.35">
      <c r="H5570" s="35"/>
    </row>
    <row r="5571" spans="8:8" x14ac:dyDescent="0.35">
      <c r="H5571" s="35"/>
    </row>
    <row r="5572" spans="8:8" x14ac:dyDescent="0.35">
      <c r="H5572" s="35"/>
    </row>
    <row r="5573" spans="8:8" x14ac:dyDescent="0.35">
      <c r="H5573" s="35"/>
    </row>
    <row r="5574" spans="8:8" x14ac:dyDescent="0.35">
      <c r="H5574" s="35"/>
    </row>
    <row r="5575" spans="8:8" x14ac:dyDescent="0.35">
      <c r="H5575" s="35"/>
    </row>
    <row r="5576" spans="8:8" x14ac:dyDescent="0.35">
      <c r="H5576" s="35"/>
    </row>
    <row r="5577" spans="8:8" x14ac:dyDescent="0.35">
      <c r="H5577" s="35"/>
    </row>
    <row r="5578" spans="8:8" x14ac:dyDescent="0.35">
      <c r="H5578" s="35"/>
    </row>
    <row r="5579" spans="8:8" x14ac:dyDescent="0.35">
      <c r="H5579" s="35"/>
    </row>
    <row r="5580" spans="8:8" x14ac:dyDescent="0.35">
      <c r="H5580" s="35"/>
    </row>
    <row r="5581" spans="8:8" x14ac:dyDescent="0.35">
      <c r="H5581" s="35"/>
    </row>
    <row r="5582" spans="8:8" x14ac:dyDescent="0.35">
      <c r="H5582" s="35"/>
    </row>
    <row r="5583" spans="8:8" x14ac:dyDescent="0.35">
      <c r="H5583" s="35"/>
    </row>
    <row r="5584" spans="8:8" x14ac:dyDescent="0.35">
      <c r="H5584" s="35"/>
    </row>
    <row r="5585" spans="8:8" x14ac:dyDescent="0.35">
      <c r="H5585" s="35"/>
    </row>
    <row r="5586" spans="8:8" x14ac:dyDescent="0.35">
      <c r="H5586" s="35"/>
    </row>
    <row r="5587" spans="8:8" x14ac:dyDescent="0.35">
      <c r="H5587" s="35"/>
    </row>
    <row r="5588" spans="8:8" x14ac:dyDescent="0.35">
      <c r="H5588" s="35"/>
    </row>
    <row r="5589" spans="8:8" x14ac:dyDescent="0.35">
      <c r="H5589" s="35"/>
    </row>
    <row r="5590" spans="8:8" x14ac:dyDescent="0.35">
      <c r="H5590" s="35"/>
    </row>
    <row r="5591" spans="8:8" x14ac:dyDescent="0.35">
      <c r="H5591" s="35"/>
    </row>
    <row r="5592" spans="8:8" x14ac:dyDescent="0.35">
      <c r="H5592" s="35"/>
    </row>
    <row r="5593" spans="8:8" x14ac:dyDescent="0.35">
      <c r="H5593" s="35"/>
    </row>
    <row r="5594" spans="8:8" x14ac:dyDescent="0.35">
      <c r="H5594" s="35"/>
    </row>
    <row r="5595" spans="8:8" x14ac:dyDescent="0.35">
      <c r="H5595" s="35"/>
    </row>
    <row r="5596" spans="8:8" x14ac:dyDescent="0.35">
      <c r="H5596" s="35"/>
    </row>
    <row r="5597" spans="8:8" x14ac:dyDescent="0.35">
      <c r="H5597" s="35"/>
    </row>
    <row r="5598" spans="8:8" x14ac:dyDescent="0.35">
      <c r="H5598" s="35"/>
    </row>
    <row r="5599" spans="8:8" x14ac:dyDescent="0.35">
      <c r="H5599" s="35"/>
    </row>
    <row r="5600" spans="8:8" x14ac:dyDescent="0.35">
      <c r="H5600" s="35"/>
    </row>
    <row r="5601" spans="8:8" x14ac:dyDescent="0.35">
      <c r="H5601" s="35"/>
    </row>
    <row r="5602" spans="8:8" x14ac:dyDescent="0.35">
      <c r="H5602" s="35"/>
    </row>
    <row r="5603" spans="8:8" x14ac:dyDescent="0.35">
      <c r="H5603" s="35"/>
    </row>
    <row r="5604" spans="8:8" x14ac:dyDescent="0.35">
      <c r="H5604" s="35"/>
    </row>
    <row r="5605" spans="8:8" x14ac:dyDescent="0.35">
      <c r="H5605" s="35"/>
    </row>
    <row r="5606" spans="8:8" x14ac:dyDescent="0.35">
      <c r="H5606" s="35"/>
    </row>
    <row r="5607" spans="8:8" x14ac:dyDescent="0.35">
      <c r="H5607" s="35"/>
    </row>
    <row r="5608" spans="8:8" x14ac:dyDescent="0.35">
      <c r="H5608" s="35"/>
    </row>
    <row r="5609" spans="8:8" x14ac:dyDescent="0.35">
      <c r="H5609" s="35"/>
    </row>
    <row r="5610" spans="8:8" x14ac:dyDescent="0.35">
      <c r="H5610" s="35"/>
    </row>
    <row r="5611" spans="8:8" x14ac:dyDescent="0.35">
      <c r="H5611" s="35"/>
    </row>
    <row r="5612" spans="8:8" x14ac:dyDescent="0.35">
      <c r="H5612" s="35"/>
    </row>
    <row r="5613" spans="8:8" x14ac:dyDescent="0.35">
      <c r="H5613" s="35"/>
    </row>
    <row r="5614" spans="8:8" x14ac:dyDescent="0.35">
      <c r="H5614" s="35"/>
    </row>
    <row r="5615" spans="8:8" x14ac:dyDescent="0.35">
      <c r="H5615" s="35"/>
    </row>
    <row r="5616" spans="8:8" x14ac:dyDescent="0.35">
      <c r="H5616" s="35"/>
    </row>
    <row r="5617" spans="8:8" x14ac:dyDescent="0.35">
      <c r="H5617" s="35"/>
    </row>
    <row r="5618" spans="8:8" x14ac:dyDescent="0.35">
      <c r="H5618" s="35"/>
    </row>
    <row r="5619" spans="8:8" x14ac:dyDescent="0.35">
      <c r="H5619" s="35"/>
    </row>
    <row r="5620" spans="8:8" x14ac:dyDescent="0.35">
      <c r="H5620" s="35"/>
    </row>
    <row r="5621" spans="8:8" x14ac:dyDescent="0.35">
      <c r="H5621" s="35"/>
    </row>
    <row r="5622" spans="8:8" x14ac:dyDescent="0.35">
      <c r="H5622" s="35"/>
    </row>
    <row r="5623" spans="8:8" x14ac:dyDescent="0.35">
      <c r="H5623" s="35"/>
    </row>
    <row r="5624" spans="8:8" x14ac:dyDescent="0.35">
      <c r="H5624" s="35"/>
    </row>
    <row r="5625" spans="8:8" x14ac:dyDescent="0.35">
      <c r="H5625" s="35"/>
    </row>
    <row r="5626" spans="8:8" x14ac:dyDescent="0.35">
      <c r="H5626" s="35"/>
    </row>
    <row r="5627" spans="8:8" x14ac:dyDescent="0.35">
      <c r="H5627" s="35"/>
    </row>
    <row r="5628" spans="8:8" x14ac:dyDescent="0.35">
      <c r="H5628" s="35"/>
    </row>
    <row r="5629" spans="8:8" x14ac:dyDescent="0.35">
      <c r="H5629" s="35"/>
    </row>
    <row r="5630" spans="8:8" x14ac:dyDescent="0.35">
      <c r="H5630" s="35"/>
    </row>
    <row r="5631" spans="8:8" x14ac:dyDescent="0.35">
      <c r="H5631" s="35"/>
    </row>
    <row r="5632" spans="8:8" x14ac:dyDescent="0.35">
      <c r="H5632" s="35"/>
    </row>
    <row r="5633" spans="8:8" x14ac:dyDescent="0.35">
      <c r="H5633" s="35"/>
    </row>
    <row r="5634" spans="8:8" x14ac:dyDescent="0.35">
      <c r="H5634" s="35"/>
    </row>
    <row r="5635" spans="8:8" x14ac:dyDescent="0.35">
      <c r="H5635" s="35"/>
    </row>
    <row r="5636" spans="8:8" x14ac:dyDescent="0.35">
      <c r="H5636" s="35"/>
    </row>
    <row r="5637" spans="8:8" x14ac:dyDescent="0.35">
      <c r="H5637" s="35"/>
    </row>
    <row r="5638" spans="8:8" x14ac:dyDescent="0.35">
      <c r="H5638" s="35"/>
    </row>
    <row r="5639" spans="8:8" x14ac:dyDescent="0.35">
      <c r="H5639" s="35"/>
    </row>
    <row r="5640" spans="8:8" x14ac:dyDescent="0.35">
      <c r="H5640" s="35"/>
    </row>
    <row r="5641" spans="8:8" x14ac:dyDescent="0.35">
      <c r="H5641" s="35"/>
    </row>
    <row r="5642" spans="8:8" x14ac:dyDescent="0.35">
      <c r="H5642" s="35"/>
    </row>
    <row r="5643" spans="8:8" x14ac:dyDescent="0.35">
      <c r="H5643" s="35"/>
    </row>
    <row r="5644" spans="8:8" x14ac:dyDescent="0.35">
      <c r="H5644" s="35"/>
    </row>
    <row r="5645" spans="8:8" x14ac:dyDescent="0.35">
      <c r="H5645" s="35"/>
    </row>
    <row r="5646" spans="8:8" x14ac:dyDescent="0.35">
      <c r="H5646" s="35"/>
    </row>
    <row r="5647" spans="8:8" x14ac:dyDescent="0.35">
      <c r="H5647" s="35"/>
    </row>
    <row r="5648" spans="8:8" x14ac:dyDescent="0.35">
      <c r="H5648" s="35"/>
    </row>
    <row r="5649" spans="8:8" x14ac:dyDescent="0.35">
      <c r="H5649" s="35"/>
    </row>
    <row r="5650" spans="8:8" x14ac:dyDescent="0.35">
      <c r="H5650" s="35"/>
    </row>
    <row r="5651" spans="8:8" x14ac:dyDescent="0.35">
      <c r="H5651" s="35"/>
    </row>
    <row r="5652" spans="8:8" x14ac:dyDescent="0.35">
      <c r="H5652" s="35"/>
    </row>
    <row r="5653" spans="8:8" x14ac:dyDescent="0.35">
      <c r="H5653" s="35"/>
    </row>
    <row r="5654" spans="8:8" x14ac:dyDescent="0.35">
      <c r="H5654" s="35"/>
    </row>
    <row r="5655" spans="8:8" x14ac:dyDescent="0.35">
      <c r="H5655" s="35"/>
    </row>
    <row r="5656" spans="8:8" x14ac:dyDescent="0.35">
      <c r="H5656" s="35"/>
    </row>
    <row r="5657" spans="8:8" x14ac:dyDescent="0.35">
      <c r="H5657" s="35"/>
    </row>
    <row r="5658" spans="8:8" x14ac:dyDescent="0.35">
      <c r="H5658" s="35"/>
    </row>
    <row r="5659" spans="8:8" x14ac:dyDescent="0.35">
      <c r="H5659" s="35"/>
    </row>
    <row r="5660" spans="8:8" x14ac:dyDescent="0.35">
      <c r="H5660" s="35"/>
    </row>
    <row r="5661" spans="8:8" x14ac:dyDescent="0.35">
      <c r="H5661" s="35"/>
    </row>
    <row r="5662" spans="8:8" x14ac:dyDescent="0.35">
      <c r="H5662" s="35"/>
    </row>
    <row r="5663" spans="8:8" x14ac:dyDescent="0.35">
      <c r="H5663" s="35"/>
    </row>
    <row r="5664" spans="8:8" x14ac:dyDescent="0.35">
      <c r="H5664" s="35"/>
    </row>
    <row r="5665" spans="8:8" x14ac:dyDescent="0.35">
      <c r="H5665" s="35"/>
    </row>
    <row r="5666" spans="8:8" x14ac:dyDescent="0.35">
      <c r="H5666" s="35"/>
    </row>
    <row r="5667" spans="8:8" x14ac:dyDescent="0.35">
      <c r="H5667" s="35"/>
    </row>
    <row r="5668" spans="8:8" x14ac:dyDescent="0.35">
      <c r="H5668" s="35"/>
    </row>
    <row r="5669" spans="8:8" x14ac:dyDescent="0.35">
      <c r="H5669" s="35"/>
    </row>
    <row r="5670" spans="8:8" x14ac:dyDescent="0.35">
      <c r="H5670" s="35"/>
    </row>
    <row r="5671" spans="8:8" x14ac:dyDescent="0.35">
      <c r="H5671" s="35"/>
    </row>
    <row r="5672" spans="8:8" x14ac:dyDescent="0.35">
      <c r="H5672" s="35"/>
    </row>
    <row r="5673" spans="8:8" x14ac:dyDescent="0.35">
      <c r="H5673" s="35"/>
    </row>
    <row r="5674" spans="8:8" x14ac:dyDescent="0.35">
      <c r="H5674" s="35"/>
    </row>
    <row r="5675" spans="8:8" x14ac:dyDescent="0.35">
      <c r="H5675" s="35"/>
    </row>
    <row r="5676" spans="8:8" x14ac:dyDescent="0.35">
      <c r="H5676" s="35"/>
    </row>
    <row r="5677" spans="8:8" x14ac:dyDescent="0.35">
      <c r="H5677" s="35"/>
    </row>
    <row r="5678" spans="8:8" x14ac:dyDescent="0.35">
      <c r="H5678" s="35"/>
    </row>
    <row r="5679" spans="8:8" x14ac:dyDescent="0.35">
      <c r="H5679" s="35"/>
    </row>
    <row r="5680" spans="8:8" x14ac:dyDescent="0.35">
      <c r="H5680" s="35"/>
    </row>
    <row r="5681" spans="8:8" x14ac:dyDescent="0.35">
      <c r="H5681" s="35"/>
    </row>
    <row r="5682" spans="8:8" x14ac:dyDescent="0.35">
      <c r="H5682" s="35"/>
    </row>
    <row r="5683" spans="8:8" x14ac:dyDescent="0.35">
      <c r="H5683" s="35"/>
    </row>
    <row r="5684" spans="8:8" x14ac:dyDescent="0.35">
      <c r="H5684" s="35"/>
    </row>
    <row r="5685" spans="8:8" x14ac:dyDescent="0.35">
      <c r="H5685" s="35"/>
    </row>
    <row r="5686" spans="8:8" x14ac:dyDescent="0.35">
      <c r="H5686" s="35"/>
    </row>
    <row r="5687" spans="8:8" x14ac:dyDescent="0.35">
      <c r="H5687" s="35"/>
    </row>
    <row r="5688" spans="8:8" x14ac:dyDescent="0.35">
      <c r="H5688" s="35"/>
    </row>
    <row r="5689" spans="8:8" x14ac:dyDescent="0.35">
      <c r="H5689" s="35"/>
    </row>
    <row r="5690" spans="8:8" x14ac:dyDescent="0.35">
      <c r="H5690" s="35"/>
    </row>
    <row r="5691" spans="8:8" x14ac:dyDescent="0.35">
      <c r="H5691" s="35"/>
    </row>
    <row r="5692" spans="8:8" x14ac:dyDescent="0.35">
      <c r="H5692" s="35"/>
    </row>
    <row r="5693" spans="8:8" x14ac:dyDescent="0.35">
      <c r="H5693" s="35"/>
    </row>
    <row r="5694" spans="8:8" x14ac:dyDescent="0.35">
      <c r="H5694" s="35"/>
    </row>
    <row r="5695" spans="8:8" x14ac:dyDescent="0.35">
      <c r="H5695" s="35"/>
    </row>
    <row r="5696" spans="8:8" x14ac:dyDescent="0.35">
      <c r="H5696" s="35"/>
    </row>
    <row r="5697" spans="8:8" x14ac:dyDescent="0.35">
      <c r="H5697" s="35"/>
    </row>
    <row r="5698" spans="8:8" x14ac:dyDescent="0.35">
      <c r="H5698" s="35"/>
    </row>
    <row r="5699" spans="8:8" x14ac:dyDescent="0.35">
      <c r="H5699" s="35"/>
    </row>
    <row r="5700" spans="8:8" x14ac:dyDescent="0.35">
      <c r="H5700" s="35"/>
    </row>
    <row r="5701" spans="8:8" x14ac:dyDescent="0.35">
      <c r="H5701" s="35"/>
    </row>
    <row r="5702" spans="8:8" x14ac:dyDescent="0.35">
      <c r="H5702" s="35"/>
    </row>
    <row r="5703" spans="8:8" x14ac:dyDescent="0.35">
      <c r="H5703" s="35"/>
    </row>
    <row r="5704" spans="8:8" x14ac:dyDescent="0.35">
      <c r="H5704" s="35"/>
    </row>
    <row r="5705" spans="8:8" x14ac:dyDescent="0.35">
      <c r="H5705" s="35"/>
    </row>
    <row r="5706" spans="8:8" x14ac:dyDescent="0.35">
      <c r="H5706" s="35"/>
    </row>
    <row r="5707" spans="8:8" x14ac:dyDescent="0.35">
      <c r="H5707" s="35"/>
    </row>
    <row r="5708" spans="8:8" x14ac:dyDescent="0.35">
      <c r="H5708" s="35"/>
    </row>
    <row r="5709" spans="8:8" x14ac:dyDescent="0.35">
      <c r="H5709" s="35"/>
    </row>
    <row r="5710" spans="8:8" x14ac:dyDescent="0.35">
      <c r="H5710" s="35"/>
    </row>
    <row r="5711" spans="8:8" x14ac:dyDescent="0.35">
      <c r="H5711" s="35"/>
    </row>
    <row r="5712" spans="8:8" x14ac:dyDescent="0.35">
      <c r="H5712" s="35"/>
    </row>
    <row r="5713" spans="8:8" x14ac:dyDescent="0.35">
      <c r="H5713" s="35"/>
    </row>
    <row r="5714" spans="8:8" x14ac:dyDescent="0.35">
      <c r="H5714" s="35"/>
    </row>
    <row r="5715" spans="8:8" x14ac:dyDescent="0.35">
      <c r="H5715" s="35"/>
    </row>
    <row r="5716" spans="8:8" x14ac:dyDescent="0.35">
      <c r="H5716" s="35"/>
    </row>
    <row r="5717" spans="8:8" x14ac:dyDescent="0.35">
      <c r="H5717" s="35"/>
    </row>
    <row r="5718" spans="8:8" x14ac:dyDescent="0.35">
      <c r="H5718" s="35"/>
    </row>
    <row r="5719" spans="8:8" x14ac:dyDescent="0.35">
      <c r="H5719" s="35"/>
    </row>
    <row r="5720" spans="8:8" x14ac:dyDescent="0.35">
      <c r="H5720" s="35"/>
    </row>
    <row r="5721" spans="8:8" x14ac:dyDescent="0.35">
      <c r="H5721" s="35"/>
    </row>
    <row r="5722" spans="8:8" x14ac:dyDescent="0.35">
      <c r="H5722" s="35"/>
    </row>
    <row r="5723" spans="8:8" x14ac:dyDescent="0.35">
      <c r="H5723" s="35"/>
    </row>
    <row r="5724" spans="8:8" x14ac:dyDescent="0.35">
      <c r="H5724" s="35"/>
    </row>
    <row r="5725" spans="8:8" x14ac:dyDescent="0.35">
      <c r="H5725" s="35"/>
    </row>
    <row r="5726" spans="8:8" x14ac:dyDescent="0.35">
      <c r="H5726" s="35"/>
    </row>
    <row r="5727" spans="8:8" x14ac:dyDescent="0.35">
      <c r="H5727" s="35"/>
    </row>
    <row r="5728" spans="8:8" x14ac:dyDescent="0.35">
      <c r="H5728" s="35"/>
    </row>
    <row r="5729" spans="8:8" x14ac:dyDescent="0.35">
      <c r="H5729" s="35"/>
    </row>
    <row r="5730" spans="8:8" x14ac:dyDescent="0.35">
      <c r="H5730" s="35"/>
    </row>
    <row r="5731" spans="8:8" x14ac:dyDescent="0.35">
      <c r="H5731" s="35"/>
    </row>
    <row r="5732" spans="8:8" x14ac:dyDescent="0.35">
      <c r="H5732" s="35"/>
    </row>
    <row r="5733" spans="8:8" x14ac:dyDescent="0.35">
      <c r="H5733" s="35"/>
    </row>
    <row r="5734" spans="8:8" x14ac:dyDescent="0.35">
      <c r="H5734" s="35"/>
    </row>
    <row r="5735" spans="8:8" x14ac:dyDescent="0.35">
      <c r="H5735" s="35"/>
    </row>
    <row r="5736" spans="8:8" x14ac:dyDescent="0.35">
      <c r="H5736" s="35"/>
    </row>
    <row r="5737" spans="8:8" x14ac:dyDescent="0.35">
      <c r="H5737" s="35"/>
    </row>
    <row r="5738" spans="8:8" x14ac:dyDescent="0.35">
      <c r="H5738" s="35"/>
    </row>
    <row r="5739" spans="8:8" x14ac:dyDescent="0.35">
      <c r="H5739" s="35"/>
    </row>
    <row r="5740" spans="8:8" x14ac:dyDescent="0.35">
      <c r="H5740" s="35"/>
    </row>
    <row r="5741" spans="8:8" x14ac:dyDescent="0.35">
      <c r="H5741" s="35"/>
    </row>
    <row r="5742" spans="8:8" x14ac:dyDescent="0.35">
      <c r="H5742" s="35"/>
    </row>
    <row r="5743" spans="8:8" x14ac:dyDescent="0.35">
      <c r="H5743" s="35"/>
    </row>
    <row r="5744" spans="8:8" x14ac:dyDescent="0.35">
      <c r="H5744" s="35"/>
    </row>
    <row r="5745" spans="8:8" x14ac:dyDescent="0.35">
      <c r="H5745" s="35"/>
    </row>
    <row r="5746" spans="8:8" x14ac:dyDescent="0.35">
      <c r="H5746" s="35"/>
    </row>
    <row r="5747" spans="8:8" x14ac:dyDescent="0.35">
      <c r="H5747" s="35"/>
    </row>
    <row r="5748" spans="8:8" x14ac:dyDescent="0.35">
      <c r="H5748" s="35"/>
    </row>
    <row r="5749" spans="8:8" x14ac:dyDescent="0.35">
      <c r="H5749" s="35"/>
    </row>
    <row r="5750" spans="8:8" x14ac:dyDescent="0.35">
      <c r="H5750" s="35"/>
    </row>
    <row r="5751" spans="8:8" x14ac:dyDescent="0.35">
      <c r="H5751" s="35"/>
    </row>
    <row r="5752" spans="8:8" x14ac:dyDescent="0.35">
      <c r="H5752" s="35"/>
    </row>
    <row r="5753" spans="8:8" x14ac:dyDescent="0.35">
      <c r="H5753" s="35"/>
    </row>
    <row r="5754" spans="8:8" x14ac:dyDescent="0.35">
      <c r="H5754" s="35"/>
    </row>
    <row r="5755" spans="8:8" x14ac:dyDescent="0.35">
      <c r="H5755" s="35"/>
    </row>
    <row r="5756" spans="8:8" x14ac:dyDescent="0.35">
      <c r="H5756" s="35"/>
    </row>
    <row r="5757" spans="8:8" x14ac:dyDescent="0.35">
      <c r="H5757" s="35"/>
    </row>
    <row r="5758" spans="8:8" x14ac:dyDescent="0.35">
      <c r="H5758" s="35"/>
    </row>
    <row r="5759" spans="8:8" x14ac:dyDescent="0.35">
      <c r="H5759" s="35"/>
    </row>
    <row r="5760" spans="8:8" x14ac:dyDescent="0.35">
      <c r="H5760" s="35"/>
    </row>
    <row r="5761" spans="8:8" x14ac:dyDescent="0.35">
      <c r="H5761" s="35"/>
    </row>
    <row r="5762" spans="8:8" x14ac:dyDescent="0.35">
      <c r="H5762" s="35"/>
    </row>
    <row r="5763" spans="8:8" x14ac:dyDescent="0.35">
      <c r="H5763" s="35"/>
    </row>
    <row r="5764" spans="8:8" x14ac:dyDescent="0.35">
      <c r="H5764" s="35"/>
    </row>
    <row r="5765" spans="8:8" x14ac:dyDescent="0.35">
      <c r="H5765" s="35"/>
    </row>
    <row r="5766" spans="8:8" x14ac:dyDescent="0.35">
      <c r="H5766" s="35"/>
    </row>
    <row r="5767" spans="8:8" x14ac:dyDescent="0.35">
      <c r="H5767" s="35"/>
    </row>
    <row r="5768" spans="8:8" x14ac:dyDescent="0.35">
      <c r="H5768" s="35"/>
    </row>
    <row r="5769" spans="8:8" x14ac:dyDescent="0.35">
      <c r="H5769" s="35"/>
    </row>
    <row r="5770" spans="8:8" x14ac:dyDescent="0.35">
      <c r="H5770" s="35"/>
    </row>
    <row r="5771" spans="8:8" x14ac:dyDescent="0.35">
      <c r="H5771" s="35"/>
    </row>
    <row r="5772" spans="8:8" x14ac:dyDescent="0.35">
      <c r="H5772" s="35"/>
    </row>
    <row r="5773" spans="8:8" x14ac:dyDescent="0.35">
      <c r="H5773" s="35"/>
    </row>
    <row r="5774" spans="8:8" x14ac:dyDescent="0.35">
      <c r="H5774" s="35"/>
    </row>
    <row r="5775" spans="8:8" x14ac:dyDescent="0.35">
      <c r="H5775" s="35"/>
    </row>
    <row r="5776" spans="8:8" x14ac:dyDescent="0.35">
      <c r="H5776" s="35"/>
    </row>
    <row r="5777" spans="8:8" x14ac:dyDescent="0.35">
      <c r="H5777" s="35"/>
    </row>
    <row r="5778" spans="8:8" x14ac:dyDescent="0.35">
      <c r="H5778" s="35"/>
    </row>
    <row r="5779" spans="8:8" x14ac:dyDescent="0.35">
      <c r="H5779" s="35"/>
    </row>
    <row r="5780" spans="8:8" x14ac:dyDescent="0.35">
      <c r="H5780" s="35"/>
    </row>
    <row r="5781" spans="8:8" x14ac:dyDescent="0.35">
      <c r="H5781" s="35"/>
    </row>
    <row r="5782" spans="8:8" x14ac:dyDescent="0.35">
      <c r="H5782" s="35"/>
    </row>
    <row r="5783" spans="8:8" x14ac:dyDescent="0.35">
      <c r="H5783" s="35"/>
    </row>
    <row r="5784" spans="8:8" x14ac:dyDescent="0.35">
      <c r="H5784" s="35"/>
    </row>
    <row r="5785" spans="8:8" x14ac:dyDescent="0.35">
      <c r="H5785" s="35"/>
    </row>
    <row r="5786" spans="8:8" x14ac:dyDescent="0.35">
      <c r="H5786" s="35"/>
    </row>
    <row r="5787" spans="8:8" x14ac:dyDescent="0.35">
      <c r="H5787" s="35"/>
    </row>
    <row r="5788" spans="8:8" x14ac:dyDescent="0.35">
      <c r="H5788" s="35"/>
    </row>
    <row r="5789" spans="8:8" x14ac:dyDescent="0.35">
      <c r="H5789" s="35"/>
    </row>
    <row r="5790" spans="8:8" x14ac:dyDescent="0.35">
      <c r="H5790" s="35"/>
    </row>
    <row r="5791" spans="8:8" x14ac:dyDescent="0.35">
      <c r="H5791" s="35"/>
    </row>
    <row r="5792" spans="8:8" x14ac:dyDescent="0.35">
      <c r="H5792" s="35"/>
    </row>
    <row r="5793" spans="8:8" x14ac:dyDescent="0.35">
      <c r="H5793" s="35"/>
    </row>
    <row r="5794" spans="8:8" x14ac:dyDescent="0.35">
      <c r="H5794" s="35"/>
    </row>
    <row r="5795" spans="8:8" x14ac:dyDescent="0.35">
      <c r="H5795" s="35"/>
    </row>
    <row r="5796" spans="8:8" x14ac:dyDescent="0.35">
      <c r="H5796" s="35"/>
    </row>
    <row r="5797" spans="8:8" x14ac:dyDescent="0.35">
      <c r="H5797" s="35"/>
    </row>
    <row r="5798" spans="8:8" x14ac:dyDescent="0.35">
      <c r="H5798" s="35"/>
    </row>
    <row r="5799" spans="8:8" x14ac:dyDescent="0.35">
      <c r="H5799" s="35"/>
    </row>
    <row r="5800" spans="8:8" x14ac:dyDescent="0.35">
      <c r="H5800" s="35"/>
    </row>
    <row r="5801" spans="8:8" x14ac:dyDescent="0.35">
      <c r="H5801" s="35"/>
    </row>
    <row r="5802" spans="8:8" x14ac:dyDescent="0.35">
      <c r="H5802" s="35"/>
    </row>
    <row r="5803" spans="8:8" x14ac:dyDescent="0.35">
      <c r="H5803" s="35"/>
    </row>
    <row r="5804" spans="8:8" x14ac:dyDescent="0.35">
      <c r="H5804" s="35"/>
    </row>
    <row r="5805" spans="8:8" x14ac:dyDescent="0.35">
      <c r="H5805" s="35"/>
    </row>
    <row r="5806" spans="8:8" x14ac:dyDescent="0.35">
      <c r="H5806" s="35"/>
    </row>
    <row r="5807" spans="8:8" x14ac:dyDescent="0.35">
      <c r="H5807" s="35"/>
    </row>
    <row r="5808" spans="8:8" x14ac:dyDescent="0.35">
      <c r="H5808" s="35"/>
    </row>
    <row r="5809" spans="8:8" x14ac:dyDescent="0.35">
      <c r="H5809" s="35"/>
    </row>
    <row r="5810" spans="8:8" x14ac:dyDescent="0.35">
      <c r="H5810" s="35"/>
    </row>
    <row r="5811" spans="8:8" x14ac:dyDescent="0.35">
      <c r="H5811" s="35"/>
    </row>
    <row r="5812" spans="8:8" x14ac:dyDescent="0.35">
      <c r="H5812" s="35"/>
    </row>
    <row r="5813" spans="8:8" x14ac:dyDescent="0.35">
      <c r="H5813" s="35"/>
    </row>
    <row r="5814" spans="8:8" x14ac:dyDescent="0.35">
      <c r="H5814" s="35"/>
    </row>
    <row r="5815" spans="8:8" x14ac:dyDescent="0.35">
      <c r="H5815" s="35"/>
    </row>
    <row r="5816" spans="8:8" x14ac:dyDescent="0.35">
      <c r="H5816" s="35"/>
    </row>
    <row r="5817" spans="8:8" x14ac:dyDescent="0.35">
      <c r="H5817" s="35"/>
    </row>
    <row r="5818" spans="8:8" x14ac:dyDescent="0.35">
      <c r="H5818" s="35"/>
    </row>
    <row r="5819" spans="8:8" x14ac:dyDescent="0.35">
      <c r="H5819" s="35"/>
    </row>
    <row r="5820" spans="8:8" x14ac:dyDescent="0.35">
      <c r="H5820" s="35"/>
    </row>
    <row r="5821" spans="8:8" x14ac:dyDescent="0.35">
      <c r="H5821" s="35"/>
    </row>
    <row r="5822" spans="8:8" x14ac:dyDescent="0.35">
      <c r="H5822" s="35"/>
    </row>
    <row r="5823" spans="8:8" x14ac:dyDescent="0.35">
      <c r="H5823" s="35"/>
    </row>
    <row r="5824" spans="8:8" x14ac:dyDescent="0.35">
      <c r="H5824" s="35"/>
    </row>
    <row r="5825" spans="8:8" x14ac:dyDescent="0.35">
      <c r="H5825" s="35"/>
    </row>
    <row r="5826" spans="8:8" x14ac:dyDescent="0.35">
      <c r="H5826" s="35"/>
    </row>
    <row r="5827" spans="8:8" x14ac:dyDescent="0.35">
      <c r="H5827" s="35"/>
    </row>
    <row r="5828" spans="8:8" x14ac:dyDescent="0.35">
      <c r="H5828" s="35"/>
    </row>
    <row r="5829" spans="8:8" x14ac:dyDescent="0.35">
      <c r="H5829" s="35"/>
    </row>
    <row r="5830" spans="8:8" x14ac:dyDescent="0.35">
      <c r="H5830" s="35"/>
    </row>
    <row r="5831" spans="8:8" x14ac:dyDescent="0.35">
      <c r="H5831" s="35"/>
    </row>
    <row r="5832" spans="8:8" x14ac:dyDescent="0.35">
      <c r="H5832" s="35"/>
    </row>
    <row r="5833" spans="8:8" x14ac:dyDescent="0.35">
      <c r="H5833" s="35"/>
    </row>
    <row r="5834" spans="8:8" x14ac:dyDescent="0.35">
      <c r="H5834" s="35"/>
    </row>
    <row r="5835" spans="8:8" x14ac:dyDescent="0.35">
      <c r="H5835" s="35"/>
    </row>
    <row r="5836" spans="8:8" x14ac:dyDescent="0.35">
      <c r="H5836" s="35"/>
    </row>
    <row r="5837" spans="8:8" x14ac:dyDescent="0.35">
      <c r="H5837" s="35"/>
    </row>
    <row r="5838" spans="8:8" x14ac:dyDescent="0.35">
      <c r="H5838" s="35"/>
    </row>
    <row r="5839" spans="8:8" x14ac:dyDescent="0.35">
      <c r="H5839" s="35"/>
    </row>
    <row r="5840" spans="8:8" x14ac:dyDescent="0.35">
      <c r="H5840" s="35"/>
    </row>
    <row r="5841" spans="8:8" x14ac:dyDescent="0.35">
      <c r="H5841" s="35"/>
    </row>
    <row r="5842" spans="8:8" x14ac:dyDescent="0.35">
      <c r="H5842" s="35"/>
    </row>
    <row r="5843" spans="8:8" x14ac:dyDescent="0.35">
      <c r="H5843" s="35"/>
    </row>
    <row r="5844" spans="8:8" x14ac:dyDescent="0.35">
      <c r="H5844" s="35"/>
    </row>
    <row r="5845" spans="8:8" x14ac:dyDescent="0.35">
      <c r="H5845" s="35"/>
    </row>
    <row r="5846" spans="8:8" x14ac:dyDescent="0.35">
      <c r="H5846" s="35"/>
    </row>
    <row r="5847" spans="8:8" x14ac:dyDescent="0.35">
      <c r="H5847" s="35"/>
    </row>
    <row r="5848" spans="8:8" x14ac:dyDescent="0.35">
      <c r="H5848" s="35"/>
    </row>
    <row r="5849" spans="8:8" x14ac:dyDescent="0.35">
      <c r="H5849" s="35"/>
    </row>
    <row r="5850" spans="8:8" x14ac:dyDescent="0.35">
      <c r="H5850" s="35"/>
    </row>
    <row r="5851" spans="8:8" x14ac:dyDescent="0.35">
      <c r="H5851" s="35"/>
    </row>
    <row r="5852" spans="8:8" x14ac:dyDescent="0.35">
      <c r="H5852" s="35"/>
    </row>
    <row r="5853" spans="8:8" x14ac:dyDescent="0.35">
      <c r="H5853" s="35"/>
    </row>
    <row r="5854" spans="8:8" x14ac:dyDescent="0.35">
      <c r="H5854" s="35"/>
    </row>
    <row r="5855" spans="8:8" x14ac:dyDescent="0.35">
      <c r="H5855" s="35"/>
    </row>
    <row r="5856" spans="8:8" x14ac:dyDescent="0.35">
      <c r="H5856" s="35"/>
    </row>
    <row r="5857" spans="8:8" x14ac:dyDescent="0.35">
      <c r="H5857" s="35"/>
    </row>
    <row r="5858" spans="8:8" x14ac:dyDescent="0.35">
      <c r="H5858" s="35"/>
    </row>
    <row r="5859" spans="8:8" x14ac:dyDescent="0.35">
      <c r="H5859" s="35"/>
    </row>
    <row r="5860" spans="8:8" x14ac:dyDescent="0.35">
      <c r="H5860" s="35"/>
    </row>
    <row r="5861" spans="8:8" x14ac:dyDescent="0.35">
      <c r="H5861" s="35"/>
    </row>
    <row r="5862" spans="8:8" x14ac:dyDescent="0.35">
      <c r="H5862" s="35"/>
    </row>
    <row r="5863" spans="8:8" x14ac:dyDescent="0.35">
      <c r="H5863" s="35"/>
    </row>
    <row r="5864" spans="8:8" x14ac:dyDescent="0.35">
      <c r="H5864" s="35"/>
    </row>
    <row r="5865" spans="8:8" x14ac:dyDescent="0.35">
      <c r="H5865" s="35"/>
    </row>
    <row r="5866" spans="8:8" x14ac:dyDescent="0.35">
      <c r="H5866" s="35"/>
    </row>
    <row r="5867" spans="8:8" x14ac:dyDescent="0.35">
      <c r="H5867" s="35"/>
    </row>
    <row r="5868" spans="8:8" x14ac:dyDescent="0.35">
      <c r="H5868" s="35"/>
    </row>
    <row r="5869" spans="8:8" x14ac:dyDescent="0.35">
      <c r="H5869" s="35"/>
    </row>
    <row r="5870" spans="8:8" x14ac:dyDescent="0.35">
      <c r="H5870" s="35"/>
    </row>
    <row r="5871" spans="8:8" x14ac:dyDescent="0.35">
      <c r="H5871" s="35"/>
    </row>
    <row r="5872" spans="8:8" x14ac:dyDescent="0.35">
      <c r="H5872" s="35"/>
    </row>
    <row r="5873" spans="8:8" x14ac:dyDescent="0.35">
      <c r="H5873" s="35"/>
    </row>
    <row r="5874" spans="8:8" x14ac:dyDescent="0.35">
      <c r="H5874" s="35"/>
    </row>
    <row r="5875" spans="8:8" x14ac:dyDescent="0.35">
      <c r="H5875" s="35"/>
    </row>
    <row r="5876" spans="8:8" x14ac:dyDescent="0.35">
      <c r="H5876" s="35"/>
    </row>
    <row r="5877" spans="8:8" x14ac:dyDescent="0.35">
      <c r="H5877" s="35"/>
    </row>
    <row r="5878" spans="8:8" x14ac:dyDescent="0.35">
      <c r="H5878" s="35"/>
    </row>
    <row r="5879" spans="8:8" x14ac:dyDescent="0.35">
      <c r="H5879" s="35"/>
    </row>
    <row r="5880" spans="8:8" x14ac:dyDescent="0.35">
      <c r="H5880" s="35"/>
    </row>
    <row r="5881" spans="8:8" x14ac:dyDescent="0.35">
      <c r="H5881" s="35"/>
    </row>
    <row r="5882" spans="8:8" x14ac:dyDescent="0.35">
      <c r="H5882" s="35"/>
    </row>
    <row r="5883" spans="8:8" x14ac:dyDescent="0.35">
      <c r="H5883" s="35"/>
    </row>
    <row r="5884" spans="8:8" x14ac:dyDescent="0.35">
      <c r="H5884" s="35"/>
    </row>
    <row r="5885" spans="8:8" x14ac:dyDescent="0.35">
      <c r="H5885" s="35"/>
    </row>
    <row r="5886" spans="8:8" x14ac:dyDescent="0.35">
      <c r="H5886" s="35"/>
    </row>
    <row r="5887" spans="8:8" x14ac:dyDescent="0.35">
      <c r="H5887" s="35"/>
    </row>
    <row r="5888" spans="8:8" x14ac:dyDescent="0.35">
      <c r="H5888" s="35"/>
    </row>
    <row r="5889" spans="8:8" x14ac:dyDescent="0.35">
      <c r="H5889" s="35"/>
    </row>
    <row r="5890" spans="8:8" x14ac:dyDescent="0.35">
      <c r="H5890" s="35"/>
    </row>
    <row r="5891" spans="8:8" x14ac:dyDescent="0.35">
      <c r="H5891" s="35"/>
    </row>
    <row r="5892" spans="8:8" x14ac:dyDescent="0.35">
      <c r="H5892" s="35"/>
    </row>
    <row r="5893" spans="8:8" x14ac:dyDescent="0.35">
      <c r="H5893" s="35"/>
    </row>
    <row r="5894" spans="8:8" x14ac:dyDescent="0.35">
      <c r="H5894" s="35"/>
    </row>
    <row r="5895" spans="8:8" x14ac:dyDescent="0.35">
      <c r="H5895" s="35"/>
    </row>
    <row r="5896" spans="8:8" x14ac:dyDescent="0.35">
      <c r="H5896" s="35"/>
    </row>
    <row r="5897" spans="8:8" x14ac:dyDescent="0.35">
      <c r="H5897" s="35"/>
    </row>
    <row r="5898" spans="8:8" x14ac:dyDescent="0.35">
      <c r="H5898" s="35"/>
    </row>
    <row r="5899" spans="8:8" x14ac:dyDescent="0.35">
      <c r="H5899" s="35"/>
    </row>
    <row r="5900" spans="8:8" x14ac:dyDescent="0.35">
      <c r="H5900" s="35"/>
    </row>
    <row r="5901" spans="8:8" x14ac:dyDescent="0.35">
      <c r="H5901" s="35"/>
    </row>
    <row r="5902" spans="8:8" x14ac:dyDescent="0.35">
      <c r="H5902" s="35"/>
    </row>
    <row r="5903" spans="8:8" x14ac:dyDescent="0.35">
      <c r="H5903" s="35"/>
    </row>
    <row r="5904" spans="8:8" x14ac:dyDescent="0.35">
      <c r="H5904" s="35"/>
    </row>
    <row r="5905" spans="8:8" x14ac:dyDescent="0.35">
      <c r="H5905" s="35"/>
    </row>
    <row r="5906" spans="8:8" x14ac:dyDescent="0.35">
      <c r="H5906" s="35"/>
    </row>
    <row r="5907" spans="8:8" x14ac:dyDescent="0.35">
      <c r="H5907" s="35"/>
    </row>
    <row r="5908" spans="8:8" x14ac:dyDescent="0.35">
      <c r="H5908" s="35"/>
    </row>
    <row r="5909" spans="8:8" x14ac:dyDescent="0.35">
      <c r="H5909" s="35"/>
    </row>
    <row r="5910" spans="8:8" x14ac:dyDescent="0.35">
      <c r="H5910" s="35"/>
    </row>
    <row r="5911" spans="8:8" x14ac:dyDescent="0.35">
      <c r="H5911" s="35"/>
    </row>
    <row r="5912" spans="8:8" x14ac:dyDescent="0.35">
      <c r="H5912" s="35"/>
    </row>
    <row r="5913" spans="8:8" x14ac:dyDescent="0.35">
      <c r="H5913" s="35"/>
    </row>
    <row r="5914" spans="8:8" x14ac:dyDescent="0.35">
      <c r="H5914" s="35"/>
    </row>
    <row r="5915" spans="8:8" x14ac:dyDescent="0.35">
      <c r="H5915" s="35"/>
    </row>
    <row r="5916" spans="8:8" x14ac:dyDescent="0.35">
      <c r="H5916" s="35"/>
    </row>
    <row r="5917" spans="8:8" x14ac:dyDescent="0.35">
      <c r="H5917" s="35"/>
    </row>
    <row r="5918" spans="8:8" x14ac:dyDescent="0.35">
      <c r="H5918" s="35"/>
    </row>
    <row r="5919" spans="8:8" x14ac:dyDescent="0.35">
      <c r="H5919" s="35"/>
    </row>
    <row r="5920" spans="8:8" x14ac:dyDescent="0.35">
      <c r="H5920" s="35"/>
    </row>
    <row r="5921" spans="8:8" x14ac:dyDescent="0.35">
      <c r="H5921" s="35"/>
    </row>
    <row r="5922" spans="8:8" x14ac:dyDescent="0.35">
      <c r="H5922" s="35"/>
    </row>
    <row r="5923" spans="8:8" x14ac:dyDescent="0.35">
      <c r="H5923" s="35"/>
    </row>
    <row r="5924" spans="8:8" x14ac:dyDescent="0.35">
      <c r="H5924" s="35"/>
    </row>
    <row r="5925" spans="8:8" x14ac:dyDescent="0.35">
      <c r="H5925" s="35"/>
    </row>
    <row r="5926" spans="8:8" x14ac:dyDescent="0.35">
      <c r="H5926" s="35"/>
    </row>
    <row r="5927" spans="8:8" x14ac:dyDescent="0.35">
      <c r="H5927" s="35"/>
    </row>
    <row r="5928" spans="8:8" x14ac:dyDescent="0.35">
      <c r="H5928" s="35"/>
    </row>
    <row r="5929" spans="8:8" x14ac:dyDescent="0.35">
      <c r="H5929" s="35"/>
    </row>
    <row r="5930" spans="8:8" x14ac:dyDescent="0.35">
      <c r="H5930" s="35"/>
    </row>
    <row r="5931" spans="8:8" x14ac:dyDescent="0.35">
      <c r="H5931" s="35"/>
    </row>
    <row r="5932" spans="8:8" x14ac:dyDescent="0.35">
      <c r="H5932" s="35"/>
    </row>
    <row r="5933" spans="8:8" x14ac:dyDescent="0.35">
      <c r="H5933" s="35"/>
    </row>
    <row r="5934" spans="8:8" x14ac:dyDescent="0.35">
      <c r="H5934" s="35"/>
    </row>
    <row r="5935" spans="8:8" x14ac:dyDescent="0.35">
      <c r="H5935" s="35"/>
    </row>
    <row r="5936" spans="8:8" x14ac:dyDescent="0.35">
      <c r="H5936" s="35"/>
    </row>
    <row r="5937" spans="8:8" x14ac:dyDescent="0.35">
      <c r="H5937" s="35"/>
    </row>
    <row r="5938" spans="8:8" x14ac:dyDescent="0.35">
      <c r="H5938" s="35"/>
    </row>
    <row r="5939" spans="8:8" x14ac:dyDescent="0.35">
      <c r="H5939" s="35"/>
    </row>
    <row r="5940" spans="8:8" x14ac:dyDescent="0.35">
      <c r="H5940" s="35"/>
    </row>
    <row r="5941" spans="8:8" x14ac:dyDescent="0.35">
      <c r="H5941" s="35"/>
    </row>
    <row r="5942" spans="8:8" x14ac:dyDescent="0.35">
      <c r="H5942" s="35"/>
    </row>
    <row r="5943" spans="8:8" x14ac:dyDescent="0.35">
      <c r="H5943" s="35"/>
    </row>
    <row r="5944" spans="8:8" x14ac:dyDescent="0.35">
      <c r="H5944" s="35"/>
    </row>
    <row r="5945" spans="8:8" x14ac:dyDescent="0.35">
      <c r="H5945" s="35"/>
    </row>
    <row r="5946" spans="8:8" x14ac:dyDescent="0.35">
      <c r="H5946" s="35"/>
    </row>
    <row r="5947" spans="8:8" x14ac:dyDescent="0.35">
      <c r="H5947" s="35"/>
    </row>
    <row r="5948" spans="8:8" x14ac:dyDescent="0.35">
      <c r="H5948" s="35"/>
    </row>
    <row r="5949" spans="8:8" x14ac:dyDescent="0.35">
      <c r="H5949" s="35"/>
    </row>
    <row r="5950" spans="8:8" x14ac:dyDescent="0.35">
      <c r="H5950" s="35"/>
    </row>
    <row r="5951" spans="8:8" x14ac:dyDescent="0.35">
      <c r="H5951" s="35"/>
    </row>
    <row r="5952" spans="8:8" x14ac:dyDescent="0.35">
      <c r="H5952" s="35"/>
    </row>
    <row r="5953" spans="8:8" x14ac:dyDescent="0.35">
      <c r="H5953" s="35"/>
    </row>
    <row r="5954" spans="8:8" x14ac:dyDescent="0.35">
      <c r="H5954" s="35"/>
    </row>
    <row r="5955" spans="8:8" x14ac:dyDescent="0.35">
      <c r="H5955" s="35"/>
    </row>
    <row r="5956" spans="8:8" x14ac:dyDescent="0.35">
      <c r="H5956" s="35"/>
    </row>
    <row r="5957" spans="8:8" x14ac:dyDescent="0.35">
      <c r="H5957" s="35"/>
    </row>
    <row r="5958" spans="8:8" x14ac:dyDescent="0.35">
      <c r="H5958" s="35"/>
    </row>
    <row r="5959" spans="8:8" x14ac:dyDescent="0.35">
      <c r="H5959" s="35"/>
    </row>
    <row r="5960" spans="8:8" x14ac:dyDescent="0.35">
      <c r="H5960" s="35"/>
    </row>
    <row r="5961" spans="8:8" x14ac:dyDescent="0.35">
      <c r="H5961" s="35"/>
    </row>
    <row r="5962" spans="8:8" x14ac:dyDescent="0.35">
      <c r="H5962" s="35"/>
    </row>
    <row r="5963" spans="8:8" x14ac:dyDescent="0.35">
      <c r="H5963" s="35"/>
    </row>
    <row r="5964" spans="8:8" x14ac:dyDescent="0.35">
      <c r="H5964" s="35"/>
    </row>
    <row r="5965" spans="8:8" x14ac:dyDescent="0.35">
      <c r="H5965" s="35"/>
    </row>
    <row r="5966" spans="8:8" x14ac:dyDescent="0.35">
      <c r="H5966" s="35"/>
    </row>
    <row r="5967" spans="8:8" x14ac:dyDescent="0.35">
      <c r="H5967" s="35"/>
    </row>
    <row r="5968" spans="8:8" x14ac:dyDescent="0.35">
      <c r="H5968" s="35"/>
    </row>
    <row r="5969" spans="8:8" x14ac:dyDescent="0.35">
      <c r="H5969" s="35"/>
    </row>
    <row r="5970" spans="8:8" x14ac:dyDescent="0.35">
      <c r="H5970" s="35"/>
    </row>
    <row r="5971" spans="8:8" x14ac:dyDescent="0.35">
      <c r="H5971" s="35"/>
    </row>
    <row r="5972" spans="8:8" x14ac:dyDescent="0.35">
      <c r="H5972" s="35"/>
    </row>
    <row r="5973" spans="8:8" x14ac:dyDescent="0.35">
      <c r="H5973" s="35"/>
    </row>
    <row r="5974" spans="8:8" x14ac:dyDescent="0.35">
      <c r="H5974" s="35"/>
    </row>
    <row r="5975" spans="8:8" x14ac:dyDescent="0.35">
      <c r="H5975" s="35"/>
    </row>
    <row r="5976" spans="8:8" x14ac:dyDescent="0.35">
      <c r="H5976" s="35"/>
    </row>
    <row r="5977" spans="8:8" x14ac:dyDescent="0.35">
      <c r="H5977" s="35"/>
    </row>
    <row r="5978" spans="8:8" x14ac:dyDescent="0.35">
      <c r="H5978" s="35"/>
    </row>
    <row r="5979" spans="8:8" x14ac:dyDescent="0.35">
      <c r="H5979" s="35"/>
    </row>
    <row r="5980" spans="8:8" x14ac:dyDescent="0.35">
      <c r="H5980" s="35"/>
    </row>
    <row r="5981" spans="8:8" x14ac:dyDescent="0.35">
      <c r="H5981" s="35"/>
    </row>
    <row r="5982" spans="8:8" x14ac:dyDescent="0.35">
      <c r="H5982" s="35"/>
    </row>
    <row r="5983" spans="8:8" x14ac:dyDescent="0.35">
      <c r="H5983" s="35"/>
    </row>
    <row r="5984" spans="8:8" x14ac:dyDescent="0.35">
      <c r="H5984" s="35"/>
    </row>
    <row r="5985" spans="8:8" x14ac:dyDescent="0.35">
      <c r="H5985" s="35"/>
    </row>
    <row r="5986" spans="8:8" x14ac:dyDescent="0.35">
      <c r="H5986" s="35"/>
    </row>
    <row r="5987" spans="8:8" x14ac:dyDescent="0.35">
      <c r="H5987" s="35"/>
    </row>
    <row r="5988" spans="8:8" x14ac:dyDescent="0.35">
      <c r="H5988" s="35"/>
    </row>
    <row r="5989" spans="8:8" x14ac:dyDescent="0.35">
      <c r="H5989" s="35"/>
    </row>
    <row r="5990" spans="8:8" x14ac:dyDescent="0.35">
      <c r="H5990" s="35"/>
    </row>
    <row r="5991" spans="8:8" x14ac:dyDescent="0.35">
      <c r="H5991" s="35"/>
    </row>
    <row r="5992" spans="8:8" x14ac:dyDescent="0.35">
      <c r="H5992" s="35"/>
    </row>
    <row r="5993" spans="8:8" x14ac:dyDescent="0.35">
      <c r="H5993" s="35"/>
    </row>
    <row r="5994" spans="8:8" x14ac:dyDescent="0.35">
      <c r="H5994" s="35"/>
    </row>
    <row r="5995" spans="8:8" x14ac:dyDescent="0.35">
      <c r="H5995" s="35"/>
    </row>
    <row r="5996" spans="8:8" x14ac:dyDescent="0.35">
      <c r="H5996" s="35"/>
    </row>
    <row r="5997" spans="8:8" x14ac:dyDescent="0.35">
      <c r="H5997" s="35"/>
    </row>
    <row r="5998" spans="8:8" x14ac:dyDescent="0.35">
      <c r="H5998" s="35"/>
    </row>
    <row r="5999" spans="8:8" x14ac:dyDescent="0.35">
      <c r="H5999" s="35"/>
    </row>
    <row r="6000" spans="8:8" x14ac:dyDescent="0.35">
      <c r="H6000" s="35"/>
    </row>
    <row r="6001" spans="8:8" x14ac:dyDescent="0.35">
      <c r="H6001" s="35"/>
    </row>
    <row r="6002" spans="8:8" x14ac:dyDescent="0.35">
      <c r="H6002" s="35"/>
    </row>
    <row r="6003" spans="8:8" x14ac:dyDescent="0.35">
      <c r="H6003" s="35"/>
    </row>
    <row r="6004" spans="8:8" x14ac:dyDescent="0.35">
      <c r="H6004" s="35"/>
    </row>
    <row r="6005" spans="8:8" x14ac:dyDescent="0.35">
      <c r="H6005" s="35"/>
    </row>
    <row r="6006" spans="8:8" x14ac:dyDescent="0.35">
      <c r="H6006" s="35"/>
    </row>
    <row r="6007" spans="8:8" x14ac:dyDescent="0.35">
      <c r="H6007" s="35"/>
    </row>
    <row r="6008" spans="8:8" x14ac:dyDescent="0.35">
      <c r="H6008" s="35"/>
    </row>
    <row r="6009" spans="8:8" x14ac:dyDescent="0.35">
      <c r="H6009" s="35"/>
    </row>
    <row r="6010" spans="8:8" x14ac:dyDescent="0.35">
      <c r="H6010" s="35"/>
    </row>
    <row r="6011" spans="8:8" x14ac:dyDescent="0.35">
      <c r="H6011" s="35"/>
    </row>
    <row r="6012" spans="8:8" x14ac:dyDescent="0.35">
      <c r="H6012" s="35"/>
    </row>
    <row r="6013" spans="8:8" x14ac:dyDescent="0.35">
      <c r="H6013" s="35"/>
    </row>
    <row r="6014" spans="8:8" x14ac:dyDescent="0.35">
      <c r="H6014" s="35"/>
    </row>
    <row r="6015" spans="8:8" x14ac:dyDescent="0.35">
      <c r="H6015" s="35"/>
    </row>
    <row r="6016" spans="8:8" x14ac:dyDescent="0.35">
      <c r="H6016" s="35"/>
    </row>
    <row r="6017" spans="8:8" x14ac:dyDescent="0.35">
      <c r="H6017" s="35"/>
    </row>
    <row r="6018" spans="8:8" x14ac:dyDescent="0.35">
      <c r="H6018" s="35"/>
    </row>
    <row r="6019" spans="8:8" x14ac:dyDescent="0.35">
      <c r="H6019" s="35"/>
    </row>
    <row r="6020" spans="8:8" x14ac:dyDescent="0.35">
      <c r="H6020" s="35"/>
    </row>
    <row r="6021" spans="8:8" x14ac:dyDescent="0.35">
      <c r="H6021" s="35"/>
    </row>
    <row r="6022" spans="8:8" x14ac:dyDescent="0.35">
      <c r="H6022" s="35"/>
    </row>
    <row r="6023" spans="8:8" x14ac:dyDescent="0.35">
      <c r="H6023" s="35"/>
    </row>
    <row r="6024" spans="8:8" x14ac:dyDescent="0.35">
      <c r="H6024" s="35"/>
    </row>
    <row r="6025" spans="8:8" x14ac:dyDescent="0.35">
      <c r="H6025" s="35"/>
    </row>
    <row r="6026" spans="8:8" x14ac:dyDescent="0.35">
      <c r="H6026" s="35"/>
    </row>
    <row r="6027" spans="8:8" x14ac:dyDescent="0.35">
      <c r="H6027" s="35"/>
    </row>
    <row r="6028" spans="8:8" x14ac:dyDescent="0.35">
      <c r="H6028" s="35"/>
    </row>
    <row r="6029" spans="8:8" x14ac:dyDescent="0.35">
      <c r="H6029" s="35"/>
    </row>
    <row r="6030" spans="8:8" x14ac:dyDescent="0.35">
      <c r="H6030" s="35"/>
    </row>
    <row r="6031" spans="8:8" x14ac:dyDescent="0.35">
      <c r="H6031" s="35"/>
    </row>
    <row r="6032" spans="8:8" x14ac:dyDescent="0.35">
      <c r="H6032" s="35"/>
    </row>
    <row r="6033" spans="8:8" x14ac:dyDescent="0.35">
      <c r="H6033" s="35"/>
    </row>
    <row r="6034" spans="8:8" x14ac:dyDescent="0.35">
      <c r="H6034" s="35"/>
    </row>
    <row r="6035" spans="8:8" x14ac:dyDescent="0.35">
      <c r="H6035" s="35"/>
    </row>
    <row r="6036" spans="8:8" x14ac:dyDescent="0.35">
      <c r="H6036" s="35"/>
    </row>
    <row r="6037" spans="8:8" x14ac:dyDescent="0.35">
      <c r="H6037" s="35"/>
    </row>
    <row r="6038" spans="8:8" x14ac:dyDescent="0.35">
      <c r="H6038" s="35"/>
    </row>
    <row r="6039" spans="8:8" x14ac:dyDescent="0.35">
      <c r="H6039" s="35"/>
    </row>
    <row r="6040" spans="8:8" x14ac:dyDescent="0.35">
      <c r="H6040" s="35"/>
    </row>
    <row r="6041" spans="8:8" x14ac:dyDescent="0.35">
      <c r="H6041" s="35"/>
    </row>
    <row r="6042" spans="8:8" x14ac:dyDescent="0.35">
      <c r="H6042" s="35"/>
    </row>
    <row r="6043" spans="8:8" x14ac:dyDescent="0.35">
      <c r="H6043" s="35"/>
    </row>
    <row r="6044" spans="8:8" x14ac:dyDescent="0.35">
      <c r="H6044" s="35"/>
    </row>
    <row r="6045" spans="8:8" x14ac:dyDescent="0.35">
      <c r="H6045" s="35"/>
    </row>
    <row r="6046" spans="8:8" x14ac:dyDescent="0.35">
      <c r="H6046" s="35"/>
    </row>
    <row r="6047" spans="8:8" x14ac:dyDescent="0.35">
      <c r="H6047" s="35"/>
    </row>
    <row r="6048" spans="8:8" x14ac:dyDescent="0.35">
      <c r="H6048" s="35"/>
    </row>
    <row r="6049" spans="8:8" x14ac:dyDescent="0.35">
      <c r="H6049" s="35"/>
    </row>
    <row r="6050" spans="8:8" x14ac:dyDescent="0.35">
      <c r="H6050" s="35"/>
    </row>
    <row r="6051" spans="8:8" x14ac:dyDescent="0.35">
      <c r="H6051" s="35"/>
    </row>
    <row r="6052" spans="8:8" x14ac:dyDescent="0.35">
      <c r="H6052" s="35"/>
    </row>
    <row r="6053" spans="8:8" x14ac:dyDescent="0.35">
      <c r="H6053" s="35"/>
    </row>
    <row r="6054" spans="8:8" x14ac:dyDescent="0.35">
      <c r="H6054" s="35"/>
    </row>
    <row r="6055" spans="8:8" x14ac:dyDescent="0.35">
      <c r="H6055" s="35"/>
    </row>
    <row r="6056" spans="8:8" x14ac:dyDescent="0.35">
      <c r="H6056" s="35"/>
    </row>
    <row r="6057" spans="8:8" x14ac:dyDescent="0.35">
      <c r="H6057" s="35"/>
    </row>
    <row r="6058" spans="8:8" x14ac:dyDescent="0.35">
      <c r="H6058" s="35"/>
    </row>
    <row r="6059" spans="8:8" x14ac:dyDescent="0.35">
      <c r="H6059" s="35"/>
    </row>
    <row r="6060" spans="8:8" x14ac:dyDescent="0.35">
      <c r="H6060" s="35"/>
    </row>
    <row r="6061" spans="8:8" x14ac:dyDescent="0.35">
      <c r="H6061" s="35"/>
    </row>
    <row r="6062" spans="8:8" x14ac:dyDescent="0.35">
      <c r="H6062" s="35"/>
    </row>
    <row r="6063" spans="8:8" x14ac:dyDescent="0.35">
      <c r="H6063" s="35"/>
    </row>
    <row r="6064" spans="8:8" x14ac:dyDescent="0.35">
      <c r="H6064" s="35"/>
    </row>
    <row r="6065" spans="8:8" x14ac:dyDescent="0.35">
      <c r="H6065" s="35"/>
    </row>
    <row r="6066" spans="8:8" x14ac:dyDescent="0.35">
      <c r="H6066" s="35"/>
    </row>
    <row r="6067" spans="8:8" x14ac:dyDescent="0.35">
      <c r="H6067" s="35"/>
    </row>
    <row r="6068" spans="8:8" x14ac:dyDescent="0.35">
      <c r="H6068" s="35"/>
    </row>
    <row r="6069" spans="8:8" x14ac:dyDescent="0.35">
      <c r="H6069" s="35"/>
    </row>
    <row r="6070" spans="8:8" x14ac:dyDescent="0.35">
      <c r="H6070" s="35"/>
    </row>
    <row r="6071" spans="8:8" x14ac:dyDescent="0.35">
      <c r="H6071" s="35"/>
    </row>
    <row r="6072" spans="8:8" x14ac:dyDescent="0.35">
      <c r="H6072" s="35"/>
    </row>
    <row r="6073" spans="8:8" x14ac:dyDescent="0.35">
      <c r="H6073" s="35"/>
    </row>
    <row r="6074" spans="8:8" x14ac:dyDescent="0.35">
      <c r="H6074" s="35"/>
    </row>
    <row r="6075" spans="8:8" x14ac:dyDescent="0.35">
      <c r="H6075" s="35"/>
    </row>
    <row r="6076" spans="8:8" x14ac:dyDescent="0.35">
      <c r="H6076" s="35"/>
    </row>
    <row r="6077" spans="8:8" x14ac:dyDescent="0.35">
      <c r="H6077" s="35"/>
    </row>
    <row r="6078" spans="8:8" x14ac:dyDescent="0.35">
      <c r="H6078" s="35"/>
    </row>
    <row r="6079" spans="8:8" x14ac:dyDescent="0.35">
      <c r="H6079" s="35"/>
    </row>
    <row r="6080" spans="8:8" x14ac:dyDescent="0.35">
      <c r="H6080" s="35"/>
    </row>
    <row r="6081" spans="8:8" x14ac:dyDescent="0.35">
      <c r="H6081" s="35"/>
    </row>
    <row r="6082" spans="8:8" x14ac:dyDescent="0.35">
      <c r="H6082" s="35"/>
    </row>
    <row r="6083" spans="8:8" x14ac:dyDescent="0.35">
      <c r="H6083" s="35"/>
    </row>
    <row r="6084" spans="8:8" x14ac:dyDescent="0.35">
      <c r="H6084" s="35"/>
    </row>
    <row r="6085" spans="8:8" x14ac:dyDescent="0.35">
      <c r="H6085" s="35"/>
    </row>
    <row r="6086" spans="8:8" x14ac:dyDescent="0.35">
      <c r="H6086" s="35"/>
    </row>
    <row r="6087" spans="8:8" x14ac:dyDescent="0.35">
      <c r="H6087" s="35"/>
    </row>
    <row r="6088" spans="8:8" x14ac:dyDescent="0.35">
      <c r="H6088" s="35"/>
    </row>
    <row r="6089" spans="8:8" x14ac:dyDescent="0.35">
      <c r="H6089" s="35"/>
    </row>
    <row r="6090" spans="8:8" x14ac:dyDescent="0.35">
      <c r="H6090" s="35"/>
    </row>
    <row r="6091" spans="8:8" x14ac:dyDescent="0.35">
      <c r="H6091" s="35"/>
    </row>
    <row r="6092" spans="8:8" x14ac:dyDescent="0.35">
      <c r="H6092" s="35"/>
    </row>
    <row r="6093" spans="8:8" x14ac:dyDescent="0.35">
      <c r="H6093" s="35"/>
    </row>
    <row r="6094" spans="8:8" x14ac:dyDescent="0.35">
      <c r="H6094" s="35"/>
    </row>
    <row r="6095" spans="8:8" x14ac:dyDescent="0.35">
      <c r="H6095" s="35"/>
    </row>
    <row r="6096" spans="8:8" x14ac:dyDescent="0.35">
      <c r="H6096" s="35"/>
    </row>
    <row r="6097" spans="8:8" x14ac:dyDescent="0.35">
      <c r="H6097" s="35"/>
    </row>
    <row r="6098" spans="8:8" x14ac:dyDescent="0.35">
      <c r="H6098" s="35"/>
    </row>
    <row r="6099" spans="8:8" x14ac:dyDescent="0.35">
      <c r="H6099" s="35"/>
    </row>
    <row r="6100" spans="8:8" x14ac:dyDescent="0.35">
      <c r="H6100" s="35"/>
    </row>
    <row r="6101" spans="8:8" x14ac:dyDescent="0.35">
      <c r="H6101" s="35"/>
    </row>
    <row r="6102" spans="8:8" x14ac:dyDescent="0.35">
      <c r="H6102" s="35"/>
    </row>
    <row r="6103" spans="8:8" x14ac:dyDescent="0.35">
      <c r="H6103" s="35"/>
    </row>
    <row r="6104" spans="8:8" x14ac:dyDescent="0.35">
      <c r="H6104" s="35"/>
    </row>
    <row r="6105" spans="8:8" x14ac:dyDescent="0.35">
      <c r="H6105" s="35"/>
    </row>
    <row r="6106" spans="8:8" x14ac:dyDescent="0.35">
      <c r="H6106" s="35"/>
    </row>
    <row r="6107" spans="8:8" x14ac:dyDescent="0.35">
      <c r="H6107" s="35"/>
    </row>
    <row r="6108" spans="8:8" x14ac:dyDescent="0.35">
      <c r="H6108" s="35"/>
    </row>
    <row r="6109" spans="8:8" x14ac:dyDescent="0.35">
      <c r="H6109" s="35"/>
    </row>
    <row r="6110" spans="8:8" x14ac:dyDescent="0.35">
      <c r="H6110" s="35"/>
    </row>
    <row r="6111" spans="8:8" x14ac:dyDescent="0.35">
      <c r="H6111" s="35"/>
    </row>
    <row r="6112" spans="8:8" x14ac:dyDescent="0.35">
      <c r="H6112" s="35"/>
    </row>
    <row r="6113" spans="8:8" x14ac:dyDescent="0.35">
      <c r="H6113" s="35"/>
    </row>
    <row r="6114" spans="8:8" x14ac:dyDescent="0.35">
      <c r="H6114" s="35"/>
    </row>
    <row r="6115" spans="8:8" x14ac:dyDescent="0.35">
      <c r="H6115" s="35"/>
    </row>
    <row r="6116" spans="8:8" x14ac:dyDescent="0.35">
      <c r="H6116" s="35"/>
    </row>
    <row r="6117" spans="8:8" x14ac:dyDescent="0.35">
      <c r="H6117" s="35"/>
    </row>
    <row r="6118" spans="8:8" x14ac:dyDescent="0.35">
      <c r="H6118" s="35"/>
    </row>
    <row r="6119" spans="8:8" x14ac:dyDescent="0.35">
      <c r="H6119" s="35"/>
    </row>
    <row r="6120" spans="8:8" x14ac:dyDescent="0.35">
      <c r="H6120" s="35"/>
    </row>
    <row r="6121" spans="8:8" x14ac:dyDescent="0.35">
      <c r="H6121" s="35"/>
    </row>
    <row r="6122" spans="8:8" x14ac:dyDescent="0.35">
      <c r="H6122" s="35"/>
    </row>
    <row r="6123" spans="8:8" x14ac:dyDescent="0.35">
      <c r="H6123" s="35"/>
    </row>
    <row r="6124" spans="8:8" x14ac:dyDescent="0.35">
      <c r="H6124" s="35"/>
    </row>
    <row r="6125" spans="8:8" x14ac:dyDescent="0.35">
      <c r="H6125" s="35"/>
    </row>
    <row r="6126" spans="8:8" x14ac:dyDescent="0.35">
      <c r="H6126" s="35"/>
    </row>
    <row r="6127" spans="8:8" x14ac:dyDescent="0.35">
      <c r="H6127" s="35"/>
    </row>
    <row r="6128" spans="8:8" x14ac:dyDescent="0.35">
      <c r="H6128" s="35"/>
    </row>
    <row r="6129" spans="8:8" x14ac:dyDescent="0.35">
      <c r="H6129" s="35"/>
    </row>
    <row r="6130" spans="8:8" x14ac:dyDescent="0.35">
      <c r="H6130" s="35"/>
    </row>
    <row r="6131" spans="8:8" x14ac:dyDescent="0.35">
      <c r="H6131" s="35"/>
    </row>
    <row r="6132" spans="8:8" x14ac:dyDescent="0.35">
      <c r="H6132" s="35"/>
    </row>
    <row r="6133" spans="8:8" x14ac:dyDescent="0.35">
      <c r="H6133" s="35"/>
    </row>
    <row r="6134" spans="8:8" x14ac:dyDescent="0.35">
      <c r="H6134" s="35"/>
    </row>
    <row r="6135" spans="8:8" x14ac:dyDescent="0.35">
      <c r="H6135" s="35"/>
    </row>
    <row r="6136" spans="8:8" x14ac:dyDescent="0.35">
      <c r="H6136" s="35"/>
    </row>
    <row r="6137" spans="8:8" x14ac:dyDescent="0.35">
      <c r="H6137" s="35"/>
    </row>
    <row r="6138" spans="8:8" x14ac:dyDescent="0.35">
      <c r="H6138" s="35"/>
    </row>
    <row r="6139" spans="8:8" x14ac:dyDescent="0.35">
      <c r="H6139" s="35"/>
    </row>
    <row r="6140" spans="8:8" x14ac:dyDescent="0.35">
      <c r="H6140" s="35"/>
    </row>
    <row r="6141" spans="8:8" x14ac:dyDescent="0.35">
      <c r="H6141" s="35"/>
    </row>
    <row r="6142" spans="8:8" x14ac:dyDescent="0.35">
      <c r="H6142" s="35"/>
    </row>
    <row r="6143" spans="8:8" x14ac:dyDescent="0.35">
      <c r="H6143" s="35"/>
    </row>
    <row r="6144" spans="8:8" x14ac:dyDescent="0.35">
      <c r="H6144" s="35"/>
    </row>
    <row r="6145" spans="8:8" x14ac:dyDescent="0.35">
      <c r="H6145" s="35"/>
    </row>
    <row r="6146" spans="8:8" x14ac:dyDescent="0.35">
      <c r="H6146" s="35"/>
    </row>
    <row r="6147" spans="8:8" x14ac:dyDescent="0.35">
      <c r="H6147" s="35"/>
    </row>
    <row r="6148" spans="8:8" x14ac:dyDescent="0.35">
      <c r="H6148" s="35"/>
    </row>
    <row r="6149" spans="8:8" x14ac:dyDescent="0.35">
      <c r="H6149" s="35"/>
    </row>
    <row r="6150" spans="8:8" x14ac:dyDescent="0.35">
      <c r="H6150" s="35"/>
    </row>
    <row r="6151" spans="8:8" x14ac:dyDescent="0.35">
      <c r="H6151" s="35"/>
    </row>
    <row r="6152" spans="8:8" x14ac:dyDescent="0.35">
      <c r="H6152" s="35"/>
    </row>
    <row r="6153" spans="8:8" x14ac:dyDescent="0.35">
      <c r="H6153" s="35"/>
    </row>
    <row r="6154" spans="8:8" x14ac:dyDescent="0.35">
      <c r="H6154" s="35"/>
    </row>
    <row r="6155" spans="8:8" x14ac:dyDescent="0.35">
      <c r="H6155" s="35"/>
    </row>
    <row r="6156" spans="8:8" x14ac:dyDescent="0.35">
      <c r="H6156" s="35"/>
    </row>
    <row r="6157" spans="8:8" x14ac:dyDescent="0.35">
      <c r="H6157" s="35"/>
    </row>
    <row r="6158" spans="8:8" x14ac:dyDescent="0.35">
      <c r="H6158" s="35"/>
    </row>
    <row r="6159" spans="8:8" x14ac:dyDescent="0.35">
      <c r="H6159" s="35"/>
    </row>
    <row r="6160" spans="8:8" x14ac:dyDescent="0.35">
      <c r="H6160" s="35"/>
    </row>
    <row r="6161" spans="8:8" x14ac:dyDescent="0.35">
      <c r="H6161" s="35"/>
    </row>
    <row r="6162" spans="8:8" x14ac:dyDescent="0.35">
      <c r="H6162" s="35"/>
    </row>
    <row r="6163" spans="8:8" x14ac:dyDescent="0.35">
      <c r="H6163" s="35"/>
    </row>
    <row r="6164" spans="8:8" x14ac:dyDescent="0.35">
      <c r="H6164" s="35"/>
    </row>
    <row r="6165" spans="8:8" x14ac:dyDescent="0.35">
      <c r="H6165" s="35"/>
    </row>
    <row r="6166" spans="8:8" x14ac:dyDescent="0.35">
      <c r="H6166" s="35"/>
    </row>
    <row r="6167" spans="8:8" x14ac:dyDescent="0.35">
      <c r="H6167" s="35"/>
    </row>
    <row r="6168" spans="8:8" x14ac:dyDescent="0.35">
      <c r="H6168" s="35"/>
    </row>
    <row r="6169" spans="8:8" x14ac:dyDescent="0.35">
      <c r="H6169" s="35"/>
    </row>
    <row r="6170" spans="8:8" x14ac:dyDescent="0.35">
      <c r="H6170" s="35"/>
    </row>
    <row r="6171" spans="8:8" x14ac:dyDescent="0.35">
      <c r="H6171" s="35"/>
    </row>
    <row r="6172" spans="8:8" x14ac:dyDescent="0.35">
      <c r="H6172" s="35"/>
    </row>
    <row r="6173" spans="8:8" x14ac:dyDescent="0.35">
      <c r="H6173" s="35"/>
    </row>
    <row r="6174" spans="8:8" x14ac:dyDescent="0.35">
      <c r="H6174" s="35"/>
    </row>
    <row r="6175" spans="8:8" x14ac:dyDescent="0.35">
      <c r="H6175" s="35"/>
    </row>
    <row r="6176" spans="8:8" x14ac:dyDescent="0.35">
      <c r="H6176" s="35"/>
    </row>
    <row r="6177" spans="8:8" x14ac:dyDescent="0.35">
      <c r="H6177" s="35"/>
    </row>
    <row r="6178" spans="8:8" x14ac:dyDescent="0.35">
      <c r="H6178" s="35"/>
    </row>
    <row r="6179" spans="8:8" x14ac:dyDescent="0.35">
      <c r="H6179" s="35"/>
    </row>
    <row r="6180" spans="8:8" x14ac:dyDescent="0.35">
      <c r="H6180" s="35"/>
    </row>
    <row r="6181" spans="8:8" x14ac:dyDescent="0.35">
      <c r="H6181" s="35"/>
    </row>
    <row r="6182" spans="8:8" x14ac:dyDescent="0.35">
      <c r="H6182" s="35"/>
    </row>
    <row r="6183" spans="8:8" x14ac:dyDescent="0.35">
      <c r="H6183" s="35"/>
    </row>
    <row r="6184" spans="8:8" x14ac:dyDescent="0.35">
      <c r="H6184" s="35"/>
    </row>
    <row r="6185" spans="8:8" x14ac:dyDescent="0.35">
      <c r="H6185" s="35"/>
    </row>
    <row r="6186" spans="8:8" x14ac:dyDescent="0.35">
      <c r="H6186" s="35"/>
    </row>
    <row r="6187" spans="8:8" x14ac:dyDescent="0.35">
      <c r="H6187" s="35"/>
    </row>
    <row r="6188" spans="8:8" x14ac:dyDescent="0.35">
      <c r="H6188" s="35"/>
    </row>
    <row r="6189" spans="8:8" x14ac:dyDescent="0.35">
      <c r="H6189" s="35"/>
    </row>
    <row r="6190" spans="8:8" x14ac:dyDescent="0.35">
      <c r="H6190" s="35"/>
    </row>
    <row r="6191" spans="8:8" x14ac:dyDescent="0.35">
      <c r="H6191" s="35"/>
    </row>
    <row r="6192" spans="8:8" x14ac:dyDescent="0.35">
      <c r="H6192" s="35"/>
    </row>
    <row r="6193" spans="8:8" x14ac:dyDescent="0.35">
      <c r="H6193" s="35"/>
    </row>
    <row r="6194" spans="8:8" x14ac:dyDescent="0.35">
      <c r="H6194" s="35"/>
    </row>
    <row r="6195" spans="8:8" x14ac:dyDescent="0.35">
      <c r="H6195" s="35"/>
    </row>
    <row r="6196" spans="8:8" x14ac:dyDescent="0.35">
      <c r="H6196" s="35"/>
    </row>
    <row r="6197" spans="8:8" x14ac:dyDescent="0.35">
      <c r="H6197" s="35"/>
    </row>
    <row r="6198" spans="8:8" x14ac:dyDescent="0.35">
      <c r="H6198" s="35"/>
    </row>
    <row r="6199" spans="8:8" x14ac:dyDescent="0.35">
      <c r="H6199" s="35"/>
    </row>
    <row r="6200" spans="8:8" x14ac:dyDescent="0.35">
      <c r="H6200" s="35"/>
    </row>
    <row r="6201" spans="8:8" x14ac:dyDescent="0.35">
      <c r="H6201" s="35"/>
    </row>
    <row r="6202" spans="8:8" x14ac:dyDescent="0.35">
      <c r="H6202" s="35"/>
    </row>
    <row r="6203" spans="8:8" x14ac:dyDescent="0.35">
      <c r="H6203" s="35"/>
    </row>
    <row r="6204" spans="8:8" x14ac:dyDescent="0.35">
      <c r="H6204" s="35"/>
    </row>
    <row r="6205" spans="8:8" x14ac:dyDescent="0.35">
      <c r="H6205" s="35"/>
    </row>
    <row r="6206" spans="8:8" x14ac:dyDescent="0.35">
      <c r="H6206" s="35"/>
    </row>
    <row r="6207" spans="8:8" x14ac:dyDescent="0.35">
      <c r="H6207" s="35"/>
    </row>
    <row r="6208" spans="8:8" x14ac:dyDescent="0.35">
      <c r="H6208" s="35"/>
    </row>
    <row r="6209" spans="8:8" x14ac:dyDescent="0.35">
      <c r="H6209" s="35"/>
    </row>
    <row r="6210" spans="8:8" x14ac:dyDescent="0.35">
      <c r="H6210" s="35"/>
    </row>
    <row r="6211" spans="8:8" x14ac:dyDescent="0.35">
      <c r="H6211" s="35"/>
    </row>
    <row r="6212" spans="8:8" x14ac:dyDescent="0.35">
      <c r="H6212" s="35"/>
    </row>
    <row r="6213" spans="8:8" x14ac:dyDescent="0.35">
      <c r="H6213" s="35"/>
    </row>
    <row r="6214" spans="8:8" x14ac:dyDescent="0.35">
      <c r="H6214" s="35"/>
    </row>
    <row r="6215" spans="8:8" x14ac:dyDescent="0.35">
      <c r="H6215" s="35"/>
    </row>
    <row r="6216" spans="8:8" x14ac:dyDescent="0.35">
      <c r="H6216" s="35"/>
    </row>
    <row r="6217" spans="8:8" x14ac:dyDescent="0.35">
      <c r="H6217" s="35"/>
    </row>
    <row r="6218" spans="8:8" x14ac:dyDescent="0.35">
      <c r="H6218" s="35"/>
    </row>
    <row r="6219" spans="8:8" x14ac:dyDescent="0.35">
      <c r="H6219" s="35"/>
    </row>
    <row r="6220" spans="8:8" x14ac:dyDescent="0.35">
      <c r="H6220" s="35"/>
    </row>
    <row r="6221" spans="8:8" x14ac:dyDescent="0.35">
      <c r="H6221" s="35"/>
    </row>
    <row r="6222" spans="8:8" x14ac:dyDescent="0.35">
      <c r="H6222" s="35"/>
    </row>
    <row r="6223" spans="8:8" x14ac:dyDescent="0.35">
      <c r="H6223" s="35"/>
    </row>
    <row r="6224" spans="8:8" x14ac:dyDescent="0.35">
      <c r="H6224" s="35"/>
    </row>
    <row r="6225" spans="8:8" x14ac:dyDescent="0.35">
      <c r="H6225" s="35"/>
    </row>
    <row r="6226" spans="8:8" x14ac:dyDescent="0.35">
      <c r="H6226" s="35"/>
    </row>
    <row r="6227" spans="8:8" x14ac:dyDescent="0.35">
      <c r="H6227" s="35"/>
    </row>
    <row r="6228" spans="8:8" x14ac:dyDescent="0.35">
      <c r="H6228" s="35"/>
    </row>
    <row r="6229" spans="8:8" x14ac:dyDescent="0.35">
      <c r="H6229" s="35"/>
    </row>
    <row r="6230" spans="8:8" x14ac:dyDescent="0.35">
      <c r="H6230" s="35"/>
    </row>
    <row r="6231" spans="8:8" x14ac:dyDescent="0.35">
      <c r="H6231" s="35"/>
    </row>
    <row r="6232" spans="8:8" x14ac:dyDescent="0.35">
      <c r="H6232" s="35"/>
    </row>
    <row r="6233" spans="8:8" x14ac:dyDescent="0.35">
      <c r="H6233" s="35"/>
    </row>
    <row r="6234" spans="8:8" x14ac:dyDescent="0.35">
      <c r="H6234" s="35"/>
    </row>
    <row r="6235" spans="8:8" x14ac:dyDescent="0.35">
      <c r="H6235" s="35"/>
    </row>
    <row r="6236" spans="8:8" x14ac:dyDescent="0.35">
      <c r="H6236" s="35"/>
    </row>
    <row r="6237" spans="8:8" x14ac:dyDescent="0.35">
      <c r="H6237" s="35"/>
    </row>
    <row r="6238" spans="8:8" x14ac:dyDescent="0.35">
      <c r="H6238" s="35"/>
    </row>
    <row r="6239" spans="8:8" x14ac:dyDescent="0.35">
      <c r="H6239" s="35"/>
    </row>
    <row r="6240" spans="8:8" x14ac:dyDescent="0.35">
      <c r="H6240" s="35"/>
    </row>
    <row r="6241" spans="8:8" x14ac:dyDescent="0.35">
      <c r="H6241" s="35"/>
    </row>
    <row r="6242" spans="8:8" x14ac:dyDescent="0.35">
      <c r="H6242" s="35"/>
    </row>
    <row r="6243" spans="8:8" x14ac:dyDescent="0.35">
      <c r="H6243" s="35"/>
    </row>
    <row r="6244" spans="8:8" x14ac:dyDescent="0.35">
      <c r="H6244" s="35"/>
    </row>
    <row r="6245" spans="8:8" x14ac:dyDescent="0.35">
      <c r="H6245" s="35"/>
    </row>
    <row r="6246" spans="8:8" x14ac:dyDescent="0.35">
      <c r="H6246" s="35"/>
    </row>
    <row r="6247" spans="8:8" x14ac:dyDescent="0.35">
      <c r="H6247" s="35"/>
    </row>
    <row r="6248" spans="8:8" x14ac:dyDescent="0.35">
      <c r="H6248" s="35"/>
    </row>
    <row r="6249" spans="8:8" x14ac:dyDescent="0.35">
      <c r="H6249" s="35"/>
    </row>
    <row r="6250" spans="8:8" x14ac:dyDescent="0.35">
      <c r="H6250" s="35"/>
    </row>
    <row r="6251" spans="8:8" x14ac:dyDescent="0.35">
      <c r="H6251" s="35"/>
    </row>
    <row r="6252" spans="8:8" x14ac:dyDescent="0.35">
      <c r="H6252" s="35"/>
    </row>
    <row r="6253" spans="8:8" x14ac:dyDescent="0.35">
      <c r="H6253" s="35"/>
    </row>
    <row r="6254" spans="8:8" x14ac:dyDescent="0.35">
      <c r="H6254" s="35"/>
    </row>
    <row r="6255" spans="8:8" x14ac:dyDescent="0.35">
      <c r="H6255" s="35"/>
    </row>
    <row r="6256" spans="8:8" x14ac:dyDescent="0.35">
      <c r="H6256" s="35"/>
    </row>
    <row r="6257" spans="8:8" x14ac:dyDescent="0.35">
      <c r="H6257" s="35"/>
    </row>
    <row r="6258" spans="8:8" x14ac:dyDescent="0.35">
      <c r="H6258" s="35"/>
    </row>
    <row r="6259" spans="8:8" x14ac:dyDescent="0.35">
      <c r="H6259" s="35"/>
    </row>
    <row r="6260" spans="8:8" x14ac:dyDescent="0.35">
      <c r="H6260" s="35"/>
    </row>
    <row r="6261" spans="8:8" x14ac:dyDescent="0.35">
      <c r="H6261" s="35"/>
    </row>
    <row r="6262" spans="8:8" x14ac:dyDescent="0.35">
      <c r="H6262" s="35"/>
    </row>
    <row r="6263" spans="8:8" x14ac:dyDescent="0.35">
      <c r="H6263" s="35"/>
    </row>
    <row r="6264" spans="8:8" x14ac:dyDescent="0.35">
      <c r="H6264" s="35"/>
    </row>
    <row r="6265" spans="8:8" x14ac:dyDescent="0.35">
      <c r="H6265" s="35"/>
    </row>
    <row r="6266" spans="8:8" x14ac:dyDescent="0.35">
      <c r="H6266" s="35"/>
    </row>
    <row r="6267" spans="8:8" x14ac:dyDescent="0.35">
      <c r="H6267" s="35"/>
    </row>
    <row r="6268" spans="8:8" x14ac:dyDescent="0.35">
      <c r="H6268" s="35"/>
    </row>
    <row r="6269" spans="8:8" x14ac:dyDescent="0.35">
      <c r="H6269" s="35"/>
    </row>
    <row r="6270" spans="8:8" x14ac:dyDescent="0.35">
      <c r="H6270" s="35"/>
    </row>
    <row r="6271" spans="8:8" x14ac:dyDescent="0.35">
      <c r="H6271" s="35"/>
    </row>
    <row r="6272" spans="8:8" x14ac:dyDescent="0.35">
      <c r="H6272" s="35"/>
    </row>
    <row r="6273" spans="8:8" x14ac:dyDescent="0.35">
      <c r="H6273" s="35"/>
    </row>
    <row r="6274" spans="8:8" x14ac:dyDescent="0.35">
      <c r="H6274" s="35"/>
    </row>
    <row r="6275" spans="8:8" x14ac:dyDescent="0.35">
      <c r="H6275" s="35"/>
    </row>
    <row r="6276" spans="8:8" x14ac:dyDescent="0.35">
      <c r="H6276" s="35"/>
    </row>
    <row r="6277" spans="8:8" x14ac:dyDescent="0.35">
      <c r="H6277" s="35"/>
    </row>
    <row r="6278" spans="8:8" x14ac:dyDescent="0.35">
      <c r="H6278" s="35"/>
    </row>
    <row r="6279" spans="8:8" x14ac:dyDescent="0.35">
      <c r="H6279" s="35"/>
    </row>
    <row r="6280" spans="8:8" x14ac:dyDescent="0.35">
      <c r="H6280" s="35"/>
    </row>
    <row r="6281" spans="8:8" x14ac:dyDescent="0.35">
      <c r="H6281" s="35"/>
    </row>
    <row r="6282" spans="8:8" x14ac:dyDescent="0.35">
      <c r="H6282" s="35"/>
    </row>
    <row r="6283" spans="8:8" x14ac:dyDescent="0.35">
      <c r="H6283" s="35"/>
    </row>
    <row r="6284" spans="8:8" x14ac:dyDescent="0.35">
      <c r="H6284" s="35"/>
    </row>
    <row r="6285" spans="8:8" x14ac:dyDescent="0.35">
      <c r="H6285" s="35"/>
    </row>
    <row r="6286" spans="8:8" x14ac:dyDescent="0.35">
      <c r="H6286" s="35"/>
    </row>
    <row r="6287" spans="8:8" x14ac:dyDescent="0.35">
      <c r="H6287" s="35"/>
    </row>
    <row r="6288" spans="8:8" x14ac:dyDescent="0.35">
      <c r="H6288" s="35"/>
    </row>
    <row r="6289" spans="8:8" x14ac:dyDescent="0.35">
      <c r="H6289" s="35"/>
    </row>
    <row r="6290" spans="8:8" x14ac:dyDescent="0.35">
      <c r="H6290" s="35"/>
    </row>
    <row r="6291" spans="8:8" x14ac:dyDescent="0.35">
      <c r="H6291" s="35"/>
    </row>
    <row r="6292" spans="8:8" x14ac:dyDescent="0.35">
      <c r="H6292" s="35"/>
    </row>
    <row r="6293" spans="8:8" x14ac:dyDescent="0.35">
      <c r="H6293" s="35"/>
    </row>
    <row r="6294" spans="8:8" x14ac:dyDescent="0.35">
      <c r="H6294" s="35"/>
    </row>
    <row r="6295" spans="8:8" x14ac:dyDescent="0.35">
      <c r="H6295" s="35"/>
    </row>
    <row r="6296" spans="8:8" x14ac:dyDescent="0.35">
      <c r="H6296" s="35"/>
    </row>
    <row r="6297" spans="8:8" x14ac:dyDescent="0.35">
      <c r="H6297" s="35"/>
    </row>
    <row r="6298" spans="8:8" x14ac:dyDescent="0.35">
      <c r="H6298" s="35"/>
    </row>
    <row r="6299" spans="8:8" x14ac:dyDescent="0.35">
      <c r="H6299" s="35"/>
    </row>
    <row r="6300" spans="8:8" x14ac:dyDescent="0.35">
      <c r="H6300" s="35"/>
    </row>
    <row r="6301" spans="8:8" x14ac:dyDescent="0.35">
      <c r="H6301" s="35"/>
    </row>
    <row r="6302" spans="8:8" x14ac:dyDescent="0.35">
      <c r="H6302" s="35"/>
    </row>
    <row r="6303" spans="8:8" x14ac:dyDescent="0.35">
      <c r="H6303" s="35"/>
    </row>
    <row r="6304" spans="8:8" x14ac:dyDescent="0.35">
      <c r="H6304" s="35"/>
    </row>
    <row r="6305" spans="8:8" x14ac:dyDescent="0.35">
      <c r="H6305" s="35"/>
    </row>
    <row r="6306" spans="8:8" x14ac:dyDescent="0.35">
      <c r="H6306" s="35"/>
    </row>
    <row r="6307" spans="8:8" x14ac:dyDescent="0.35">
      <c r="H6307" s="35"/>
    </row>
    <row r="6308" spans="8:8" x14ac:dyDescent="0.35">
      <c r="H6308" s="35"/>
    </row>
    <row r="6309" spans="8:8" x14ac:dyDescent="0.35">
      <c r="H6309" s="35"/>
    </row>
    <row r="6310" spans="8:8" x14ac:dyDescent="0.35">
      <c r="H6310" s="35"/>
    </row>
    <row r="6311" spans="8:8" x14ac:dyDescent="0.35">
      <c r="H6311" s="35"/>
    </row>
    <row r="6312" spans="8:8" x14ac:dyDescent="0.35">
      <c r="H6312" s="35"/>
    </row>
    <row r="6313" spans="8:8" x14ac:dyDescent="0.35">
      <c r="H6313" s="35"/>
    </row>
    <row r="6314" spans="8:8" x14ac:dyDescent="0.35">
      <c r="H6314" s="35"/>
    </row>
    <row r="6315" spans="8:8" x14ac:dyDescent="0.35">
      <c r="H6315" s="35"/>
    </row>
    <row r="6316" spans="8:8" x14ac:dyDescent="0.35">
      <c r="H6316" s="35"/>
    </row>
    <row r="6317" spans="8:8" x14ac:dyDescent="0.35">
      <c r="H6317" s="35"/>
    </row>
    <row r="6318" spans="8:8" x14ac:dyDescent="0.35">
      <c r="H6318" s="35"/>
    </row>
    <row r="6319" spans="8:8" x14ac:dyDescent="0.35">
      <c r="H6319" s="35"/>
    </row>
    <row r="6320" spans="8:8" x14ac:dyDescent="0.35">
      <c r="H6320" s="35"/>
    </row>
    <row r="6321" spans="8:8" x14ac:dyDescent="0.35">
      <c r="H6321" s="35"/>
    </row>
    <row r="6322" spans="8:8" x14ac:dyDescent="0.35">
      <c r="H6322" s="35"/>
    </row>
    <row r="6323" spans="8:8" x14ac:dyDescent="0.35">
      <c r="H6323" s="35"/>
    </row>
    <row r="6324" spans="8:8" x14ac:dyDescent="0.35">
      <c r="H6324" s="35"/>
    </row>
    <row r="6325" spans="8:8" x14ac:dyDescent="0.35">
      <c r="H6325" s="35"/>
    </row>
    <row r="6326" spans="8:8" x14ac:dyDescent="0.35">
      <c r="H6326" s="35"/>
    </row>
    <row r="6327" spans="8:8" x14ac:dyDescent="0.35">
      <c r="H6327" s="35"/>
    </row>
    <row r="6328" spans="8:8" x14ac:dyDescent="0.35">
      <c r="H6328" s="35"/>
    </row>
    <row r="6329" spans="8:8" x14ac:dyDescent="0.35">
      <c r="H6329" s="35"/>
    </row>
    <row r="6330" spans="8:8" x14ac:dyDescent="0.35">
      <c r="H6330" s="35"/>
    </row>
    <row r="6331" spans="8:8" x14ac:dyDescent="0.35">
      <c r="H6331" s="35"/>
    </row>
    <row r="6332" spans="8:8" x14ac:dyDescent="0.35">
      <c r="H6332" s="35"/>
    </row>
    <row r="6333" spans="8:8" x14ac:dyDescent="0.35">
      <c r="H6333" s="35"/>
    </row>
    <row r="6334" spans="8:8" x14ac:dyDescent="0.35">
      <c r="H6334" s="35"/>
    </row>
    <row r="6335" spans="8:8" x14ac:dyDescent="0.35">
      <c r="H6335" s="35"/>
    </row>
    <row r="6336" spans="8:8" x14ac:dyDescent="0.35">
      <c r="H6336" s="35"/>
    </row>
    <row r="6337" spans="8:8" x14ac:dyDescent="0.35">
      <c r="H6337" s="35"/>
    </row>
    <row r="6338" spans="8:8" x14ac:dyDescent="0.35">
      <c r="H6338" s="35"/>
    </row>
    <row r="6339" spans="8:8" x14ac:dyDescent="0.35">
      <c r="H6339" s="35"/>
    </row>
    <row r="6340" spans="8:8" x14ac:dyDescent="0.35">
      <c r="H6340" s="35"/>
    </row>
    <row r="6341" spans="8:8" x14ac:dyDescent="0.35">
      <c r="H6341" s="35"/>
    </row>
    <row r="6342" spans="8:8" x14ac:dyDescent="0.35">
      <c r="H6342" s="35"/>
    </row>
    <row r="6343" spans="8:8" x14ac:dyDescent="0.35">
      <c r="H6343" s="35"/>
    </row>
    <row r="6344" spans="8:8" x14ac:dyDescent="0.35">
      <c r="H6344" s="35"/>
    </row>
    <row r="6345" spans="8:8" x14ac:dyDescent="0.35">
      <c r="H6345" s="35"/>
    </row>
    <row r="6346" spans="8:8" x14ac:dyDescent="0.35">
      <c r="H6346" s="35"/>
    </row>
    <row r="6347" spans="8:8" x14ac:dyDescent="0.35">
      <c r="H6347" s="35"/>
    </row>
    <row r="6348" spans="8:8" x14ac:dyDescent="0.35">
      <c r="H6348" s="35"/>
    </row>
    <row r="6349" spans="8:8" x14ac:dyDescent="0.35">
      <c r="H6349" s="35"/>
    </row>
    <row r="6350" spans="8:8" x14ac:dyDescent="0.35">
      <c r="H6350" s="35"/>
    </row>
    <row r="6351" spans="8:8" x14ac:dyDescent="0.35">
      <c r="H6351" s="35"/>
    </row>
    <row r="6352" spans="8:8" x14ac:dyDescent="0.35">
      <c r="H6352" s="35"/>
    </row>
    <row r="6353" spans="8:8" x14ac:dyDescent="0.35">
      <c r="H6353" s="35"/>
    </row>
    <row r="6354" spans="8:8" x14ac:dyDescent="0.35">
      <c r="H6354" s="35"/>
    </row>
    <row r="6355" spans="8:8" x14ac:dyDescent="0.35">
      <c r="H6355" s="35"/>
    </row>
    <row r="6356" spans="8:8" x14ac:dyDescent="0.35">
      <c r="H6356" s="35"/>
    </row>
    <row r="6357" spans="8:8" x14ac:dyDescent="0.35">
      <c r="H6357" s="35"/>
    </row>
    <row r="6358" spans="8:8" x14ac:dyDescent="0.35">
      <c r="H6358" s="35"/>
    </row>
    <row r="6359" spans="8:8" x14ac:dyDescent="0.35">
      <c r="H6359" s="35"/>
    </row>
    <row r="6360" spans="8:8" x14ac:dyDescent="0.35">
      <c r="H6360" s="35"/>
    </row>
    <row r="6361" spans="8:8" x14ac:dyDescent="0.35">
      <c r="H6361" s="35"/>
    </row>
    <row r="6362" spans="8:8" x14ac:dyDescent="0.35">
      <c r="H6362" s="35"/>
    </row>
    <row r="6363" spans="8:8" x14ac:dyDescent="0.35">
      <c r="H6363" s="35"/>
    </row>
    <row r="6364" spans="8:8" x14ac:dyDescent="0.35">
      <c r="H6364" s="35"/>
    </row>
    <row r="6365" spans="8:8" x14ac:dyDescent="0.35">
      <c r="H6365" s="35"/>
    </row>
    <row r="6366" spans="8:8" x14ac:dyDescent="0.35">
      <c r="H6366" s="35"/>
    </row>
    <row r="6367" spans="8:8" x14ac:dyDescent="0.35">
      <c r="H6367" s="35"/>
    </row>
    <row r="6368" spans="8:8" x14ac:dyDescent="0.35">
      <c r="H6368" s="35"/>
    </row>
    <row r="6369" spans="8:8" x14ac:dyDescent="0.35">
      <c r="H6369" s="35"/>
    </row>
    <row r="6370" spans="8:8" x14ac:dyDescent="0.35">
      <c r="H6370" s="35"/>
    </row>
    <row r="6371" spans="8:8" x14ac:dyDescent="0.35">
      <c r="H6371" s="35"/>
    </row>
    <row r="6372" spans="8:8" x14ac:dyDescent="0.35">
      <c r="H6372" s="35"/>
    </row>
    <row r="6373" spans="8:8" x14ac:dyDescent="0.35">
      <c r="H6373" s="35"/>
    </row>
    <row r="6374" spans="8:8" x14ac:dyDescent="0.35">
      <c r="H6374" s="35"/>
    </row>
    <row r="6375" spans="8:8" x14ac:dyDescent="0.35">
      <c r="H6375" s="35"/>
    </row>
    <row r="6376" spans="8:8" x14ac:dyDescent="0.35">
      <c r="H6376" s="35"/>
    </row>
    <row r="6377" spans="8:8" x14ac:dyDescent="0.35">
      <c r="H6377" s="35"/>
    </row>
    <row r="6378" spans="8:8" x14ac:dyDescent="0.35">
      <c r="H6378" s="35"/>
    </row>
    <row r="6379" spans="8:8" x14ac:dyDescent="0.35">
      <c r="H6379" s="35"/>
    </row>
    <row r="6380" spans="8:8" x14ac:dyDescent="0.35">
      <c r="H6380" s="35"/>
    </row>
    <row r="6381" spans="8:8" x14ac:dyDescent="0.35">
      <c r="H6381" s="35"/>
    </row>
    <row r="6382" spans="8:8" x14ac:dyDescent="0.35">
      <c r="H6382" s="35"/>
    </row>
    <row r="6383" spans="8:8" x14ac:dyDescent="0.35">
      <c r="H6383" s="35"/>
    </row>
    <row r="6384" spans="8:8" x14ac:dyDescent="0.35">
      <c r="H6384" s="35"/>
    </row>
    <row r="6385" spans="8:8" x14ac:dyDescent="0.35">
      <c r="H6385" s="35"/>
    </row>
    <row r="6386" spans="8:8" x14ac:dyDescent="0.35">
      <c r="H6386" s="35"/>
    </row>
    <row r="6387" spans="8:8" x14ac:dyDescent="0.35">
      <c r="H6387" s="35"/>
    </row>
    <row r="6388" spans="8:8" x14ac:dyDescent="0.35">
      <c r="H6388" s="35"/>
    </row>
    <row r="6389" spans="8:8" x14ac:dyDescent="0.35">
      <c r="H6389" s="35"/>
    </row>
    <row r="6390" spans="8:8" x14ac:dyDescent="0.35">
      <c r="H6390" s="35"/>
    </row>
    <row r="6391" spans="8:8" x14ac:dyDescent="0.35">
      <c r="H6391" s="35"/>
    </row>
    <row r="6392" spans="8:8" x14ac:dyDescent="0.35">
      <c r="H6392" s="35"/>
    </row>
    <row r="6393" spans="8:8" x14ac:dyDescent="0.35">
      <c r="H6393" s="35"/>
    </row>
    <row r="6394" spans="8:8" x14ac:dyDescent="0.35">
      <c r="H6394" s="35"/>
    </row>
    <row r="6395" spans="8:8" x14ac:dyDescent="0.35">
      <c r="H6395" s="35"/>
    </row>
    <row r="6396" spans="8:8" x14ac:dyDescent="0.35">
      <c r="H6396" s="35"/>
    </row>
    <row r="6397" spans="8:8" x14ac:dyDescent="0.35">
      <c r="H6397" s="35"/>
    </row>
    <row r="6398" spans="8:8" x14ac:dyDescent="0.35">
      <c r="H6398" s="35"/>
    </row>
    <row r="6399" spans="8:8" x14ac:dyDescent="0.35">
      <c r="H6399" s="35"/>
    </row>
    <row r="6400" spans="8:8" x14ac:dyDescent="0.35">
      <c r="H6400" s="35"/>
    </row>
    <row r="6401" spans="8:8" x14ac:dyDescent="0.35">
      <c r="H6401" s="35"/>
    </row>
    <row r="6402" spans="8:8" x14ac:dyDescent="0.35">
      <c r="H6402" s="35"/>
    </row>
    <row r="6403" spans="8:8" x14ac:dyDescent="0.35">
      <c r="H6403" s="35"/>
    </row>
    <row r="6404" spans="8:8" x14ac:dyDescent="0.35">
      <c r="H6404" s="35"/>
    </row>
    <row r="6405" spans="8:8" x14ac:dyDescent="0.35">
      <c r="H6405" s="35"/>
    </row>
    <row r="6406" spans="8:8" x14ac:dyDescent="0.35">
      <c r="H6406" s="35"/>
    </row>
    <row r="6407" spans="8:8" x14ac:dyDescent="0.35">
      <c r="H6407" s="35"/>
    </row>
    <row r="6408" spans="8:8" x14ac:dyDescent="0.35">
      <c r="H6408" s="35"/>
    </row>
    <row r="6409" spans="8:8" x14ac:dyDescent="0.35">
      <c r="H6409" s="35"/>
    </row>
    <row r="6410" spans="8:8" x14ac:dyDescent="0.35">
      <c r="H6410" s="35"/>
    </row>
    <row r="6411" spans="8:8" x14ac:dyDescent="0.35">
      <c r="H6411" s="35"/>
    </row>
    <row r="6412" spans="8:8" x14ac:dyDescent="0.35">
      <c r="H6412" s="35"/>
    </row>
    <row r="6413" spans="8:8" x14ac:dyDescent="0.35">
      <c r="H6413" s="35"/>
    </row>
    <row r="6414" spans="8:8" x14ac:dyDescent="0.35">
      <c r="H6414" s="35"/>
    </row>
    <row r="6415" spans="8:8" x14ac:dyDescent="0.35">
      <c r="H6415" s="35"/>
    </row>
    <row r="6416" spans="8:8" x14ac:dyDescent="0.35">
      <c r="H6416" s="35"/>
    </row>
    <row r="6417" spans="8:8" x14ac:dyDescent="0.35">
      <c r="H6417" s="35"/>
    </row>
    <row r="6418" spans="8:8" x14ac:dyDescent="0.35">
      <c r="H6418" s="35"/>
    </row>
    <row r="6419" spans="8:8" x14ac:dyDescent="0.35">
      <c r="H6419" s="35"/>
    </row>
    <row r="6420" spans="8:8" x14ac:dyDescent="0.35">
      <c r="H6420" s="35"/>
    </row>
    <row r="6421" spans="8:8" x14ac:dyDescent="0.35">
      <c r="H6421" s="35"/>
    </row>
    <row r="6422" spans="8:8" x14ac:dyDescent="0.35">
      <c r="H6422" s="35"/>
    </row>
    <row r="6423" spans="8:8" x14ac:dyDescent="0.35">
      <c r="H6423" s="35"/>
    </row>
    <row r="6424" spans="8:8" x14ac:dyDescent="0.35">
      <c r="H6424" s="35"/>
    </row>
    <row r="6425" spans="8:8" x14ac:dyDescent="0.35">
      <c r="H6425" s="35"/>
    </row>
    <row r="6426" spans="8:8" x14ac:dyDescent="0.35">
      <c r="H6426" s="35"/>
    </row>
    <row r="6427" spans="8:8" x14ac:dyDescent="0.35">
      <c r="H6427" s="35"/>
    </row>
    <row r="6428" spans="8:8" x14ac:dyDescent="0.35">
      <c r="H6428" s="35"/>
    </row>
    <row r="6429" spans="8:8" x14ac:dyDescent="0.35">
      <c r="H6429" s="35"/>
    </row>
    <row r="6430" spans="8:8" x14ac:dyDescent="0.35">
      <c r="H6430" s="35"/>
    </row>
    <row r="6431" spans="8:8" x14ac:dyDescent="0.35">
      <c r="H6431" s="35"/>
    </row>
    <row r="6432" spans="8:8" x14ac:dyDescent="0.35">
      <c r="H6432" s="35"/>
    </row>
    <row r="6433" spans="8:8" x14ac:dyDescent="0.35">
      <c r="H6433" s="35"/>
    </row>
    <row r="6434" spans="8:8" x14ac:dyDescent="0.35">
      <c r="H6434" s="35"/>
    </row>
    <row r="6435" spans="8:8" x14ac:dyDescent="0.35">
      <c r="H6435" s="35"/>
    </row>
    <row r="6436" spans="8:8" x14ac:dyDescent="0.35">
      <c r="H6436" s="35"/>
    </row>
    <row r="6437" spans="8:8" x14ac:dyDescent="0.35">
      <c r="H6437" s="35"/>
    </row>
    <row r="6438" spans="8:8" x14ac:dyDescent="0.35">
      <c r="H6438" s="35"/>
    </row>
    <row r="6439" spans="8:8" x14ac:dyDescent="0.35">
      <c r="H6439" s="35"/>
    </row>
    <row r="6440" spans="8:8" x14ac:dyDescent="0.35">
      <c r="H6440" s="35"/>
    </row>
    <row r="6441" spans="8:8" x14ac:dyDescent="0.35">
      <c r="H6441" s="35"/>
    </row>
    <row r="6442" spans="8:8" x14ac:dyDescent="0.35">
      <c r="H6442" s="35"/>
    </row>
    <row r="6443" spans="8:8" x14ac:dyDescent="0.35">
      <c r="H6443" s="35"/>
    </row>
    <row r="6444" spans="8:8" x14ac:dyDescent="0.35">
      <c r="H6444" s="35"/>
    </row>
    <row r="6445" spans="8:8" x14ac:dyDescent="0.35">
      <c r="H6445" s="35"/>
    </row>
    <row r="6446" spans="8:8" x14ac:dyDescent="0.35">
      <c r="H6446" s="35"/>
    </row>
    <row r="6447" spans="8:8" x14ac:dyDescent="0.35">
      <c r="H6447" s="35"/>
    </row>
    <row r="6448" spans="8:8" x14ac:dyDescent="0.35">
      <c r="H6448" s="35"/>
    </row>
    <row r="6449" spans="8:8" x14ac:dyDescent="0.35">
      <c r="H6449" s="35"/>
    </row>
    <row r="6450" spans="8:8" x14ac:dyDescent="0.35">
      <c r="H6450" s="35"/>
    </row>
    <row r="6451" spans="8:8" x14ac:dyDescent="0.35">
      <c r="H6451" s="35"/>
    </row>
    <row r="6452" spans="8:8" x14ac:dyDescent="0.35">
      <c r="H6452" s="35"/>
    </row>
    <row r="6453" spans="8:8" x14ac:dyDescent="0.35">
      <c r="H6453" s="35"/>
    </row>
    <row r="6454" spans="8:8" x14ac:dyDescent="0.35">
      <c r="H6454" s="35"/>
    </row>
    <row r="6455" spans="8:8" x14ac:dyDescent="0.35">
      <c r="H6455" s="35"/>
    </row>
    <row r="6456" spans="8:8" x14ac:dyDescent="0.35">
      <c r="H6456" s="35"/>
    </row>
    <row r="6457" spans="8:8" x14ac:dyDescent="0.35">
      <c r="H6457" s="35"/>
    </row>
    <row r="6458" spans="8:8" x14ac:dyDescent="0.35">
      <c r="H6458" s="35"/>
    </row>
    <row r="6459" spans="8:8" x14ac:dyDescent="0.35">
      <c r="H6459" s="35"/>
    </row>
    <row r="6460" spans="8:8" x14ac:dyDescent="0.35">
      <c r="H6460" s="35"/>
    </row>
    <row r="6461" spans="8:8" x14ac:dyDescent="0.35">
      <c r="H6461" s="35"/>
    </row>
    <row r="6462" spans="8:8" x14ac:dyDescent="0.35">
      <c r="H6462" s="35"/>
    </row>
    <row r="6463" spans="8:8" x14ac:dyDescent="0.35">
      <c r="H6463" s="35"/>
    </row>
    <row r="6464" spans="8:8" x14ac:dyDescent="0.35">
      <c r="H6464" s="35"/>
    </row>
    <row r="6465" spans="8:8" x14ac:dyDescent="0.35">
      <c r="H6465" s="35"/>
    </row>
    <row r="6466" spans="8:8" x14ac:dyDescent="0.35">
      <c r="H6466" s="35"/>
    </row>
    <row r="6467" spans="8:8" x14ac:dyDescent="0.35">
      <c r="H6467" s="35"/>
    </row>
    <row r="6468" spans="8:8" x14ac:dyDescent="0.35">
      <c r="H6468" s="35"/>
    </row>
    <row r="6469" spans="8:8" x14ac:dyDescent="0.35">
      <c r="H6469" s="35"/>
    </row>
    <row r="6470" spans="8:8" x14ac:dyDescent="0.35">
      <c r="H6470" s="35"/>
    </row>
    <row r="6471" spans="8:8" x14ac:dyDescent="0.35">
      <c r="H6471" s="35"/>
    </row>
    <row r="6472" spans="8:8" x14ac:dyDescent="0.35">
      <c r="H6472" s="35"/>
    </row>
    <row r="6473" spans="8:8" x14ac:dyDescent="0.35">
      <c r="H6473" s="35"/>
    </row>
    <row r="6474" spans="8:8" x14ac:dyDescent="0.35">
      <c r="H6474" s="35"/>
    </row>
    <row r="6475" spans="8:8" x14ac:dyDescent="0.35">
      <c r="H6475" s="35"/>
    </row>
    <row r="6476" spans="8:8" x14ac:dyDescent="0.35">
      <c r="H6476" s="35"/>
    </row>
    <row r="6477" spans="8:8" x14ac:dyDescent="0.35">
      <c r="H6477" s="35"/>
    </row>
    <row r="6478" spans="8:8" x14ac:dyDescent="0.35">
      <c r="H6478" s="35"/>
    </row>
    <row r="6479" spans="8:8" x14ac:dyDescent="0.35">
      <c r="H6479" s="35"/>
    </row>
    <row r="6480" spans="8:8" x14ac:dyDescent="0.35">
      <c r="H6480" s="35"/>
    </row>
    <row r="6481" spans="8:8" x14ac:dyDescent="0.35">
      <c r="H6481" s="35"/>
    </row>
    <row r="6482" spans="8:8" x14ac:dyDescent="0.35">
      <c r="H6482" s="35"/>
    </row>
    <row r="6483" spans="8:8" x14ac:dyDescent="0.35">
      <c r="H6483" s="35"/>
    </row>
    <row r="6484" spans="8:8" x14ac:dyDescent="0.35">
      <c r="H6484" s="35"/>
    </row>
    <row r="6485" spans="8:8" x14ac:dyDescent="0.35">
      <c r="H6485" s="35"/>
    </row>
    <row r="6486" spans="8:8" x14ac:dyDescent="0.35">
      <c r="H6486" s="35"/>
    </row>
    <row r="6487" spans="8:8" x14ac:dyDescent="0.35">
      <c r="H6487" s="35"/>
    </row>
    <row r="6488" spans="8:8" x14ac:dyDescent="0.35">
      <c r="H6488" s="35"/>
    </row>
    <row r="6489" spans="8:8" x14ac:dyDescent="0.35">
      <c r="H6489" s="35"/>
    </row>
    <row r="6490" spans="8:8" x14ac:dyDescent="0.35">
      <c r="H6490" s="35"/>
    </row>
    <row r="6491" spans="8:8" x14ac:dyDescent="0.35">
      <c r="H6491" s="35"/>
    </row>
    <row r="6492" spans="8:8" x14ac:dyDescent="0.35">
      <c r="H6492" s="35"/>
    </row>
    <row r="6493" spans="8:8" x14ac:dyDescent="0.35">
      <c r="H6493" s="35"/>
    </row>
    <row r="6494" spans="8:8" x14ac:dyDescent="0.35">
      <c r="H6494" s="35"/>
    </row>
    <row r="6495" spans="8:8" x14ac:dyDescent="0.35">
      <c r="H6495" s="35"/>
    </row>
    <row r="6496" spans="8:8" x14ac:dyDescent="0.35">
      <c r="H6496" s="35"/>
    </row>
    <row r="6497" spans="8:8" x14ac:dyDescent="0.35">
      <c r="H6497" s="35"/>
    </row>
    <row r="6498" spans="8:8" x14ac:dyDescent="0.35">
      <c r="H6498" s="35"/>
    </row>
    <row r="6499" spans="8:8" x14ac:dyDescent="0.35">
      <c r="H6499" s="35"/>
    </row>
    <row r="6500" spans="8:8" x14ac:dyDescent="0.35">
      <c r="H6500" s="35"/>
    </row>
    <row r="6501" spans="8:8" x14ac:dyDescent="0.35">
      <c r="H6501" s="35"/>
    </row>
    <row r="6502" spans="8:8" x14ac:dyDescent="0.35">
      <c r="H6502" s="35"/>
    </row>
    <row r="6503" spans="8:8" x14ac:dyDescent="0.35">
      <c r="H6503" s="35"/>
    </row>
    <row r="6504" spans="8:8" x14ac:dyDescent="0.35">
      <c r="H6504" s="35"/>
    </row>
    <row r="6505" spans="8:8" x14ac:dyDescent="0.35">
      <c r="H6505" s="35"/>
    </row>
    <row r="6506" spans="8:8" x14ac:dyDescent="0.35">
      <c r="H6506" s="35"/>
    </row>
    <row r="6507" spans="8:8" x14ac:dyDescent="0.35">
      <c r="H6507" s="35"/>
    </row>
    <row r="6508" spans="8:8" x14ac:dyDescent="0.35">
      <c r="H6508" s="35"/>
    </row>
    <row r="6509" spans="8:8" x14ac:dyDescent="0.35">
      <c r="H6509" s="35"/>
    </row>
    <row r="6510" spans="8:8" x14ac:dyDescent="0.35">
      <c r="H6510" s="35"/>
    </row>
    <row r="6511" spans="8:8" x14ac:dyDescent="0.35">
      <c r="H6511" s="35"/>
    </row>
    <row r="6512" spans="8:8" x14ac:dyDescent="0.35">
      <c r="H6512" s="35"/>
    </row>
    <row r="6513" spans="8:8" x14ac:dyDescent="0.35">
      <c r="H6513" s="35"/>
    </row>
    <row r="6514" spans="8:8" x14ac:dyDescent="0.35">
      <c r="H6514" s="35"/>
    </row>
    <row r="6515" spans="8:8" x14ac:dyDescent="0.35">
      <c r="H6515" s="35"/>
    </row>
    <row r="6516" spans="8:8" x14ac:dyDescent="0.35">
      <c r="H6516" s="35"/>
    </row>
    <row r="6517" spans="8:8" x14ac:dyDescent="0.35">
      <c r="H6517" s="35"/>
    </row>
    <row r="6518" spans="8:8" x14ac:dyDescent="0.35">
      <c r="H6518" s="35"/>
    </row>
    <row r="6519" spans="8:8" x14ac:dyDescent="0.35">
      <c r="H6519" s="35"/>
    </row>
    <row r="6520" spans="8:8" x14ac:dyDescent="0.35">
      <c r="H6520" s="35"/>
    </row>
    <row r="6521" spans="8:8" x14ac:dyDescent="0.35">
      <c r="H6521" s="35"/>
    </row>
    <row r="6522" spans="8:8" x14ac:dyDescent="0.35">
      <c r="H6522" s="35"/>
    </row>
    <row r="6523" spans="8:8" x14ac:dyDescent="0.35">
      <c r="H6523" s="35"/>
    </row>
    <row r="6524" spans="8:8" x14ac:dyDescent="0.35">
      <c r="H6524" s="35"/>
    </row>
    <row r="6525" spans="8:8" x14ac:dyDescent="0.35">
      <c r="H6525" s="35"/>
    </row>
    <row r="6526" spans="8:8" x14ac:dyDescent="0.35">
      <c r="H6526" s="35"/>
    </row>
    <row r="6527" spans="8:8" x14ac:dyDescent="0.35">
      <c r="H6527" s="35"/>
    </row>
    <row r="6528" spans="8:8" x14ac:dyDescent="0.35">
      <c r="H6528" s="35"/>
    </row>
    <row r="6529" spans="8:8" x14ac:dyDescent="0.35">
      <c r="H6529" s="35"/>
    </row>
    <row r="6530" spans="8:8" x14ac:dyDescent="0.35">
      <c r="H6530" s="35"/>
    </row>
    <row r="6531" spans="8:8" x14ac:dyDescent="0.35">
      <c r="H6531" s="35"/>
    </row>
    <row r="6532" spans="8:8" x14ac:dyDescent="0.35">
      <c r="H6532" s="35"/>
    </row>
    <row r="6533" spans="8:8" x14ac:dyDescent="0.35">
      <c r="H6533" s="35"/>
    </row>
    <row r="6534" spans="8:8" x14ac:dyDescent="0.35">
      <c r="H6534" s="35"/>
    </row>
    <row r="6535" spans="8:8" x14ac:dyDescent="0.35">
      <c r="H6535" s="35"/>
    </row>
    <row r="6536" spans="8:8" x14ac:dyDescent="0.35">
      <c r="H6536" s="35"/>
    </row>
    <row r="6537" spans="8:8" x14ac:dyDescent="0.35">
      <c r="H6537" s="35"/>
    </row>
    <row r="6538" spans="8:8" x14ac:dyDescent="0.35">
      <c r="H6538" s="35"/>
    </row>
    <row r="6539" spans="8:8" x14ac:dyDescent="0.35">
      <c r="H6539" s="35"/>
    </row>
    <row r="6540" spans="8:8" x14ac:dyDescent="0.35">
      <c r="H6540" s="35"/>
    </row>
    <row r="6541" spans="8:8" x14ac:dyDescent="0.35">
      <c r="H6541" s="35"/>
    </row>
    <row r="6542" spans="8:8" x14ac:dyDescent="0.35">
      <c r="H6542" s="35"/>
    </row>
    <row r="6543" spans="8:8" x14ac:dyDescent="0.35">
      <c r="H6543" s="35"/>
    </row>
    <row r="6544" spans="8:8" x14ac:dyDescent="0.35">
      <c r="H6544" s="35"/>
    </row>
    <row r="6545" spans="8:8" x14ac:dyDescent="0.35">
      <c r="H6545" s="35"/>
    </row>
    <row r="6546" spans="8:8" x14ac:dyDescent="0.35">
      <c r="H6546" s="35"/>
    </row>
    <row r="6547" spans="8:8" x14ac:dyDescent="0.35">
      <c r="H6547" s="35"/>
    </row>
    <row r="6548" spans="8:8" x14ac:dyDescent="0.35">
      <c r="H6548" s="35"/>
    </row>
    <row r="6549" spans="8:8" x14ac:dyDescent="0.35">
      <c r="H6549" s="35"/>
    </row>
    <row r="6550" spans="8:8" x14ac:dyDescent="0.35">
      <c r="H6550" s="35"/>
    </row>
    <row r="6551" spans="8:8" x14ac:dyDescent="0.35">
      <c r="H6551" s="35"/>
    </row>
    <row r="6552" spans="8:8" x14ac:dyDescent="0.35">
      <c r="H6552" s="35"/>
    </row>
    <row r="6553" spans="8:8" x14ac:dyDescent="0.35">
      <c r="H6553" s="35"/>
    </row>
    <row r="6554" spans="8:8" x14ac:dyDescent="0.35">
      <c r="H6554" s="35"/>
    </row>
    <row r="6555" spans="8:8" x14ac:dyDescent="0.35">
      <c r="H6555" s="35"/>
    </row>
    <row r="6556" spans="8:8" x14ac:dyDescent="0.35">
      <c r="H6556" s="35"/>
    </row>
    <row r="6557" spans="8:8" x14ac:dyDescent="0.35">
      <c r="H6557" s="35"/>
    </row>
    <row r="6558" spans="8:8" x14ac:dyDescent="0.35">
      <c r="H6558" s="35"/>
    </row>
    <row r="6559" spans="8:8" x14ac:dyDescent="0.35">
      <c r="H6559" s="35"/>
    </row>
    <row r="6560" spans="8:8" x14ac:dyDescent="0.35">
      <c r="H6560" s="35"/>
    </row>
    <row r="6561" spans="8:8" x14ac:dyDescent="0.35">
      <c r="H6561" s="35"/>
    </row>
    <row r="6562" spans="8:8" x14ac:dyDescent="0.35">
      <c r="H6562" s="35"/>
    </row>
    <row r="6563" spans="8:8" x14ac:dyDescent="0.35">
      <c r="H6563" s="35"/>
    </row>
    <row r="6564" spans="8:8" x14ac:dyDescent="0.35">
      <c r="H6564" s="35"/>
    </row>
    <row r="6565" spans="8:8" x14ac:dyDescent="0.35">
      <c r="H6565" s="35"/>
    </row>
    <row r="6566" spans="8:8" x14ac:dyDescent="0.35">
      <c r="H6566" s="35"/>
    </row>
    <row r="6567" spans="8:8" x14ac:dyDescent="0.35">
      <c r="H6567" s="35"/>
    </row>
    <row r="6568" spans="8:8" x14ac:dyDescent="0.35">
      <c r="H6568" s="35"/>
    </row>
    <row r="6569" spans="8:8" x14ac:dyDescent="0.35">
      <c r="H6569" s="35"/>
    </row>
    <row r="6570" spans="8:8" x14ac:dyDescent="0.35">
      <c r="H6570" s="35"/>
    </row>
    <row r="6571" spans="8:8" x14ac:dyDescent="0.35">
      <c r="H6571" s="35"/>
    </row>
    <row r="6572" spans="8:8" x14ac:dyDescent="0.35">
      <c r="H6572" s="35"/>
    </row>
    <row r="6573" spans="8:8" x14ac:dyDescent="0.35">
      <c r="H6573" s="35"/>
    </row>
    <row r="6574" spans="8:8" x14ac:dyDescent="0.35">
      <c r="H6574" s="35"/>
    </row>
    <row r="6575" spans="8:8" x14ac:dyDescent="0.35">
      <c r="H6575" s="35"/>
    </row>
    <row r="6576" spans="8:8" x14ac:dyDescent="0.35">
      <c r="H6576" s="35"/>
    </row>
    <row r="6577" spans="8:8" x14ac:dyDescent="0.35">
      <c r="H6577" s="35"/>
    </row>
    <row r="6578" spans="8:8" x14ac:dyDescent="0.35">
      <c r="H6578" s="35"/>
    </row>
    <row r="6579" spans="8:8" x14ac:dyDescent="0.35">
      <c r="H6579" s="35"/>
    </row>
    <row r="6580" spans="8:8" x14ac:dyDescent="0.35">
      <c r="H6580" s="35"/>
    </row>
    <row r="6581" spans="8:8" x14ac:dyDescent="0.35">
      <c r="H6581" s="35"/>
    </row>
    <row r="6582" spans="8:8" x14ac:dyDescent="0.35">
      <c r="H6582" s="35"/>
    </row>
    <row r="6583" spans="8:8" x14ac:dyDescent="0.35">
      <c r="H6583" s="35"/>
    </row>
    <row r="6584" spans="8:8" x14ac:dyDescent="0.35">
      <c r="H6584" s="35"/>
    </row>
    <row r="6585" spans="8:8" x14ac:dyDescent="0.35">
      <c r="H6585" s="35"/>
    </row>
    <row r="6586" spans="8:8" x14ac:dyDescent="0.35">
      <c r="H6586" s="35"/>
    </row>
    <row r="6587" spans="8:8" x14ac:dyDescent="0.35">
      <c r="H6587" s="35"/>
    </row>
    <row r="6588" spans="8:8" x14ac:dyDescent="0.35">
      <c r="H6588" s="35"/>
    </row>
    <row r="6589" spans="8:8" x14ac:dyDescent="0.35">
      <c r="H6589" s="35"/>
    </row>
    <row r="6590" spans="8:8" x14ac:dyDescent="0.35">
      <c r="H6590" s="35"/>
    </row>
    <row r="6591" spans="8:8" x14ac:dyDescent="0.35">
      <c r="H6591" s="35"/>
    </row>
    <row r="6592" spans="8:8" x14ac:dyDescent="0.35">
      <c r="H6592" s="35"/>
    </row>
    <row r="6593" spans="8:8" x14ac:dyDescent="0.35">
      <c r="H6593" s="35"/>
    </row>
    <row r="6594" spans="8:8" x14ac:dyDescent="0.35">
      <c r="H6594" s="35"/>
    </row>
    <row r="6595" spans="8:8" x14ac:dyDescent="0.35">
      <c r="H6595" s="35"/>
    </row>
    <row r="6596" spans="8:8" x14ac:dyDescent="0.35">
      <c r="H6596" s="35"/>
    </row>
    <row r="6597" spans="8:8" x14ac:dyDescent="0.35">
      <c r="H6597" s="35"/>
    </row>
    <row r="6598" spans="8:8" x14ac:dyDescent="0.35">
      <c r="H6598" s="35"/>
    </row>
    <row r="6599" spans="8:8" x14ac:dyDescent="0.35">
      <c r="H6599" s="35"/>
    </row>
    <row r="6600" spans="8:8" x14ac:dyDescent="0.35">
      <c r="H6600" s="35"/>
    </row>
    <row r="6601" spans="8:8" x14ac:dyDescent="0.35">
      <c r="H6601" s="35"/>
    </row>
    <row r="6602" spans="8:8" x14ac:dyDescent="0.35">
      <c r="H6602" s="35"/>
    </row>
    <row r="6603" spans="8:8" x14ac:dyDescent="0.35">
      <c r="H6603" s="35"/>
    </row>
    <row r="6604" spans="8:8" x14ac:dyDescent="0.35">
      <c r="H6604" s="35"/>
    </row>
    <row r="6605" spans="8:8" x14ac:dyDescent="0.35">
      <c r="H6605" s="35"/>
    </row>
    <row r="6606" spans="8:8" x14ac:dyDescent="0.35">
      <c r="H6606" s="35"/>
    </row>
    <row r="6607" spans="8:8" x14ac:dyDescent="0.35">
      <c r="H6607" s="35"/>
    </row>
    <row r="6608" spans="8:8" x14ac:dyDescent="0.35">
      <c r="H6608" s="35"/>
    </row>
    <row r="6609" spans="8:8" x14ac:dyDescent="0.35">
      <c r="H6609" s="35"/>
    </row>
    <row r="6610" spans="8:8" x14ac:dyDescent="0.35">
      <c r="H6610" s="35"/>
    </row>
    <row r="6611" spans="8:8" x14ac:dyDescent="0.35">
      <c r="H6611" s="35"/>
    </row>
    <row r="6612" spans="8:8" x14ac:dyDescent="0.35">
      <c r="H6612" s="35"/>
    </row>
    <row r="6613" spans="8:8" x14ac:dyDescent="0.35">
      <c r="H6613" s="35"/>
    </row>
    <row r="6614" spans="8:8" x14ac:dyDescent="0.35">
      <c r="H6614" s="35"/>
    </row>
    <row r="6615" spans="8:8" x14ac:dyDescent="0.35">
      <c r="H6615" s="35"/>
    </row>
    <row r="6616" spans="8:8" x14ac:dyDescent="0.35">
      <c r="H6616" s="35"/>
    </row>
    <row r="6617" spans="8:8" x14ac:dyDescent="0.35">
      <c r="H6617" s="35"/>
    </row>
    <row r="6618" spans="8:8" x14ac:dyDescent="0.35">
      <c r="H6618" s="35"/>
    </row>
    <row r="6619" spans="8:8" x14ac:dyDescent="0.35">
      <c r="H6619" s="35"/>
    </row>
    <row r="6620" spans="8:8" x14ac:dyDescent="0.35">
      <c r="H6620" s="35"/>
    </row>
    <row r="6621" spans="8:8" x14ac:dyDescent="0.35">
      <c r="H6621" s="35"/>
    </row>
    <row r="6622" spans="8:8" x14ac:dyDescent="0.35">
      <c r="H6622" s="35"/>
    </row>
    <row r="6623" spans="8:8" x14ac:dyDescent="0.35">
      <c r="H6623" s="35"/>
    </row>
    <row r="6624" spans="8:8" x14ac:dyDescent="0.35">
      <c r="H6624" s="35"/>
    </row>
    <row r="6625" spans="8:8" x14ac:dyDescent="0.35">
      <c r="H6625" s="35"/>
    </row>
    <row r="6626" spans="8:8" x14ac:dyDescent="0.35">
      <c r="H6626" s="35"/>
    </row>
    <row r="6627" spans="8:8" x14ac:dyDescent="0.35">
      <c r="H6627" s="35"/>
    </row>
    <row r="6628" spans="8:8" x14ac:dyDescent="0.35">
      <c r="H6628" s="35"/>
    </row>
    <row r="6629" spans="8:8" x14ac:dyDescent="0.35">
      <c r="H6629" s="35"/>
    </row>
    <row r="6630" spans="8:8" x14ac:dyDescent="0.35">
      <c r="H6630" s="35"/>
    </row>
    <row r="6631" spans="8:8" x14ac:dyDescent="0.35">
      <c r="H6631" s="35"/>
    </row>
    <row r="6632" spans="8:8" x14ac:dyDescent="0.35">
      <c r="H6632" s="35"/>
    </row>
    <row r="6633" spans="8:8" x14ac:dyDescent="0.35">
      <c r="H6633" s="35"/>
    </row>
    <row r="6634" spans="8:8" x14ac:dyDescent="0.35">
      <c r="H6634" s="35"/>
    </row>
    <row r="6635" spans="8:8" x14ac:dyDescent="0.35">
      <c r="H6635" s="35"/>
    </row>
    <row r="6636" spans="8:8" x14ac:dyDescent="0.35">
      <c r="H6636" s="35"/>
    </row>
    <row r="6637" spans="8:8" x14ac:dyDescent="0.35">
      <c r="H6637" s="35"/>
    </row>
    <row r="6638" spans="8:8" x14ac:dyDescent="0.35">
      <c r="H6638" s="35"/>
    </row>
    <row r="6639" spans="8:8" x14ac:dyDescent="0.35">
      <c r="H6639" s="35"/>
    </row>
    <row r="6640" spans="8:8" x14ac:dyDescent="0.35">
      <c r="H6640" s="35"/>
    </row>
    <row r="6641" spans="8:8" x14ac:dyDescent="0.35">
      <c r="H6641" s="35"/>
    </row>
    <row r="6642" spans="8:8" x14ac:dyDescent="0.35">
      <c r="H6642" s="35"/>
    </row>
    <row r="6643" spans="8:8" x14ac:dyDescent="0.35">
      <c r="H6643" s="35"/>
    </row>
    <row r="6644" spans="8:8" x14ac:dyDescent="0.35">
      <c r="H6644" s="35"/>
    </row>
    <row r="6645" spans="8:8" x14ac:dyDescent="0.35">
      <c r="H6645" s="35"/>
    </row>
    <row r="6646" spans="8:8" x14ac:dyDescent="0.35">
      <c r="H6646" s="35"/>
    </row>
    <row r="6647" spans="8:8" x14ac:dyDescent="0.35">
      <c r="H6647" s="35"/>
    </row>
    <row r="6648" spans="8:8" x14ac:dyDescent="0.35">
      <c r="H6648" s="35"/>
    </row>
    <row r="6649" spans="8:8" x14ac:dyDescent="0.35">
      <c r="H6649" s="35"/>
    </row>
    <row r="6650" spans="8:8" x14ac:dyDescent="0.35">
      <c r="H6650" s="35"/>
    </row>
    <row r="6651" spans="8:8" x14ac:dyDescent="0.35">
      <c r="H6651" s="35"/>
    </row>
    <row r="6652" spans="8:8" x14ac:dyDescent="0.35">
      <c r="H6652" s="35"/>
    </row>
    <row r="6653" spans="8:8" x14ac:dyDescent="0.35">
      <c r="H6653" s="35"/>
    </row>
    <row r="6654" spans="8:8" x14ac:dyDescent="0.35">
      <c r="H6654" s="35"/>
    </row>
    <row r="6655" spans="8:8" x14ac:dyDescent="0.35">
      <c r="H6655" s="35"/>
    </row>
    <row r="6656" spans="8:8" x14ac:dyDescent="0.35">
      <c r="H6656" s="35"/>
    </row>
    <row r="6657" spans="8:8" x14ac:dyDescent="0.35">
      <c r="H6657" s="35"/>
    </row>
    <row r="6658" spans="8:8" x14ac:dyDescent="0.35">
      <c r="H6658" s="35"/>
    </row>
    <row r="6659" spans="8:8" x14ac:dyDescent="0.35">
      <c r="H6659" s="35"/>
    </row>
    <row r="6660" spans="8:8" x14ac:dyDescent="0.35">
      <c r="H6660" s="35"/>
    </row>
    <row r="6661" spans="8:8" x14ac:dyDescent="0.35">
      <c r="H6661" s="35"/>
    </row>
    <row r="6662" spans="8:8" x14ac:dyDescent="0.35">
      <c r="H6662" s="35"/>
    </row>
    <row r="6663" spans="8:8" x14ac:dyDescent="0.35">
      <c r="H6663" s="35"/>
    </row>
    <row r="6664" spans="8:8" x14ac:dyDescent="0.35">
      <c r="H6664" s="35"/>
    </row>
    <row r="6665" spans="8:8" x14ac:dyDescent="0.35">
      <c r="H6665" s="35"/>
    </row>
    <row r="6666" spans="8:8" x14ac:dyDescent="0.35">
      <c r="H6666" s="35"/>
    </row>
    <row r="6667" spans="8:8" x14ac:dyDescent="0.35">
      <c r="H6667" s="35"/>
    </row>
    <row r="6668" spans="8:8" x14ac:dyDescent="0.35">
      <c r="H6668" s="35"/>
    </row>
    <row r="6669" spans="8:8" x14ac:dyDescent="0.35">
      <c r="H6669" s="35"/>
    </row>
    <row r="6670" spans="8:8" x14ac:dyDescent="0.35">
      <c r="H6670" s="35"/>
    </row>
    <row r="6671" spans="8:8" x14ac:dyDescent="0.35">
      <c r="H6671" s="35"/>
    </row>
    <row r="6672" spans="8:8" x14ac:dyDescent="0.35">
      <c r="H6672" s="35"/>
    </row>
    <row r="6673" spans="8:8" x14ac:dyDescent="0.35">
      <c r="H6673" s="35"/>
    </row>
    <row r="6674" spans="8:8" x14ac:dyDescent="0.35">
      <c r="H6674" s="35"/>
    </row>
    <row r="6675" spans="8:8" x14ac:dyDescent="0.35">
      <c r="H6675" s="35"/>
    </row>
    <row r="6676" spans="8:8" x14ac:dyDescent="0.35">
      <c r="H6676" s="35"/>
    </row>
    <row r="6677" spans="8:8" x14ac:dyDescent="0.35">
      <c r="H6677" s="35"/>
    </row>
    <row r="6678" spans="8:8" x14ac:dyDescent="0.35">
      <c r="H6678" s="35"/>
    </row>
    <row r="6679" spans="8:8" x14ac:dyDescent="0.35">
      <c r="H6679" s="35"/>
    </row>
    <row r="6680" spans="8:8" x14ac:dyDescent="0.35">
      <c r="H6680" s="35"/>
    </row>
    <row r="6681" spans="8:8" x14ac:dyDescent="0.35">
      <c r="H6681" s="35"/>
    </row>
    <row r="6682" spans="8:8" x14ac:dyDescent="0.35">
      <c r="H6682" s="35"/>
    </row>
    <row r="6683" spans="8:8" x14ac:dyDescent="0.35">
      <c r="H6683" s="35"/>
    </row>
    <row r="6684" spans="8:8" x14ac:dyDescent="0.35">
      <c r="H6684" s="35"/>
    </row>
    <row r="6685" spans="8:8" x14ac:dyDescent="0.35">
      <c r="H6685" s="35"/>
    </row>
    <row r="6686" spans="8:8" x14ac:dyDescent="0.35">
      <c r="H6686" s="35"/>
    </row>
    <row r="6687" spans="8:8" x14ac:dyDescent="0.35">
      <c r="H6687" s="35"/>
    </row>
    <row r="6688" spans="8:8" x14ac:dyDescent="0.35">
      <c r="H6688" s="35"/>
    </row>
    <row r="6689" spans="8:8" x14ac:dyDescent="0.35">
      <c r="H6689" s="35"/>
    </row>
    <row r="6690" spans="8:8" x14ac:dyDescent="0.35">
      <c r="H6690" s="35"/>
    </row>
    <row r="6691" spans="8:8" x14ac:dyDescent="0.35">
      <c r="H6691" s="35"/>
    </row>
    <row r="6692" spans="8:8" x14ac:dyDescent="0.35">
      <c r="H6692" s="35"/>
    </row>
    <row r="6693" spans="8:8" x14ac:dyDescent="0.35">
      <c r="H6693" s="35"/>
    </row>
    <row r="6694" spans="8:8" x14ac:dyDescent="0.35">
      <c r="H6694" s="35"/>
    </row>
    <row r="6695" spans="8:8" x14ac:dyDescent="0.35">
      <c r="H6695" s="35"/>
    </row>
    <row r="6696" spans="8:8" x14ac:dyDescent="0.35">
      <c r="H6696" s="35"/>
    </row>
    <row r="6697" spans="8:8" x14ac:dyDescent="0.35">
      <c r="H6697" s="35"/>
    </row>
    <row r="6698" spans="8:8" x14ac:dyDescent="0.35">
      <c r="H6698" s="35"/>
    </row>
    <row r="6699" spans="8:8" x14ac:dyDescent="0.35">
      <c r="H6699" s="35"/>
    </row>
    <row r="6700" spans="8:8" x14ac:dyDescent="0.35">
      <c r="H6700" s="35"/>
    </row>
    <row r="6701" spans="8:8" x14ac:dyDescent="0.35">
      <c r="H6701" s="35"/>
    </row>
    <row r="6702" spans="8:8" x14ac:dyDescent="0.35">
      <c r="H6702" s="35"/>
    </row>
    <row r="6703" spans="8:8" x14ac:dyDescent="0.35">
      <c r="H6703" s="35"/>
    </row>
    <row r="6704" spans="8:8" x14ac:dyDescent="0.35">
      <c r="H6704" s="35"/>
    </row>
    <row r="6705" spans="8:8" x14ac:dyDescent="0.35">
      <c r="H6705" s="35"/>
    </row>
    <row r="6706" spans="8:8" x14ac:dyDescent="0.35">
      <c r="H6706" s="35"/>
    </row>
    <row r="6707" spans="8:8" x14ac:dyDescent="0.35">
      <c r="H6707" s="35"/>
    </row>
    <row r="6708" spans="8:8" x14ac:dyDescent="0.35">
      <c r="H6708" s="35"/>
    </row>
    <row r="6709" spans="8:8" x14ac:dyDescent="0.35">
      <c r="H6709" s="35"/>
    </row>
    <row r="6710" spans="8:8" x14ac:dyDescent="0.35">
      <c r="H6710" s="35"/>
    </row>
    <row r="6711" spans="8:8" x14ac:dyDescent="0.35">
      <c r="H6711" s="35"/>
    </row>
    <row r="6712" spans="8:8" x14ac:dyDescent="0.35">
      <c r="H6712" s="35"/>
    </row>
    <row r="6713" spans="8:8" x14ac:dyDescent="0.35">
      <c r="H6713" s="35"/>
    </row>
    <row r="6714" spans="8:8" x14ac:dyDescent="0.35">
      <c r="H6714" s="35"/>
    </row>
    <row r="6715" spans="8:8" x14ac:dyDescent="0.35">
      <c r="H6715" s="35"/>
    </row>
    <row r="6716" spans="8:8" x14ac:dyDescent="0.35">
      <c r="H6716" s="35"/>
    </row>
    <row r="6717" spans="8:8" x14ac:dyDescent="0.35">
      <c r="H6717" s="35"/>
    </row>
    <row r="6718" spans="8:8" x14ac:dyDescent="0.35">
      <c r="H6718" s="35"/>
    </row>
    <row r="6719" spans="8:8" x14ac:dyDescent="0.35">
      <c r="H6719" s="35"/>
    </row>
    <row r="6720" spans="8:8" x14ac:dyDescent="0.35">
      <c r="H6720" s="35"/>
    </row>
    <row r="6721" spans="8:8" x14ac:dyDescent="0.35">
      <c r="H6721" s="35"/>
    </row>
    <row r="6722" spans="8:8" x14ac:dyDescent="0.35">
      <c r="H6722" s="35"/>
    </row>
    <row r="6723" spans="8:8" x14ac:dyDescent="0.35">
      <c r="H6723" s="35"/>
    </row>
    <row r="6724" spans="8:8" x14ac:dyDescent="0.35">
      <c r="H6724" s="35"/>
    </row>
    <row r="6725" spans="8:8" x14ac:dyDescent="0.35">
      <c r="H6725" s="35"/>
    </row>
    <row r="6726" spans="8:8" x14ac:dyDescent="0.35">
      <c r="H6726" s="35"/>
    </row>
    <row r="6727" spans="8:8" x14ac:dyDescent="0.35">
      <c r="H6727" s="35"/>
    </row>
    <row r="6728" spans="8:8" x14ac:dyDescent="0.35">
      <c r="H6728" s="35"/>
    </row>
    <row r="6729" spans="8:8" x14ac:dyDescent="0.35">
      <c r="H6729" s="35"/>
    </row>
    <row r="6730" spans="8:8" x14ac:dyDescent="0.35">
      <c r="H6730" s="35"/>
    </row>
    <row r="6731" spans="8:8" x14ac:dyDescent="0.35">
      <c r="H6731" s="35"/>
    </row>
    <row r="6732" spans="8:8" x14ac:dyDescent="0.35">
      <c r="H6732" s="35"/>
    </row>
    <row r="6733" spans="8:8" x14ac:dyDescent="0.35">
      <c r="H6733" s="35"/>
    </row>
    <row r="6734" spans="8:8" x14ac:dyDescent="0.35">
      <c r="H6734" s="35"/>
    </row>
    <row r="6735" spans="8:8" x14ac:dyDescent="0.35">
      <c r="H6735" s="35"/>
    </row>
    <row r="6736" spans="8:8" x14ac:dyDescent="0.35">
      <c r="H6736" s="35"/>
    </row>
    <row r="6737" spans="8:8" x14ac:dyDescent="0.35">
      <c r="H6737" s="35"/>
    </row>
    <row r="6738" spans="8:8" x14ac:dyDescent="0.35">
      <c r="H6738" s="35"/>
    </row>
    <row r="6739" spans="8:8" x14ac:dyDescent="0.35">
      <c r="H6739" s="35"/>
    </row>
    <row r="6740" spans="8:8" x14ac:dyDescent="0.35">
      <c r="H6740" s="35"/>
    </row>
    <row r="6741" spans="8:8" x14ac:dyDescent="0.35">
      <c r="H6741" s="35"/>
    </row>
    <row r="6742" spans="8:8" x14ac:dyDescent="0.35">
      <c r="H6742" s="35"/>
    </row>
    <row r="6743" spans="8:8" x14ac:dyDescent="0.35">
      <c r="H6743" s="35"/>
    </row>
    <row r="6744" spans="8:8" x14ac:dyDescent="0.35">
      <c r="H6744" s="35"/>
    </row>
    <row r="6745" spans="8:8" x14ac:dyDescent="0.35">
      <c r="H6745" s="35"/>
    </row>
    <row r="6746" spans="8:8" x14ac:dyDescent="0.35">
      <c r="H6746" s="35"/>
    </row>
    <row r="6747" spans="8:8" x14ac:dyDescent="0.35">
      <c r="H6747" s="35"/>
    </row>
    <row r="6748" spans="8:8" x14ac:dyDescent="0.35">
      <c r="H6748" s="35"/>
    </row>
    <row r="6749" spans="8:8" x14ac:dyDescent="0.35">
      <c r="H6749" s="35"/>
    </row>
    <row r="6750" spans="8:8" x14ac:dyDescent="0.35">
      <c r="H6750" s="35"/>
    </row>
    <row r="6751" spans="8:8" x14ac:dyDescent="0.35">
      <c r="H6751" s="35"/>
    </row>
    <row r="6752" spans="8:8" x14ac:dyDescent="0.35">
      <c r="H6752" s="35"/>
    </row>
    <row r="6753" spans="8:8" x14ac:dyDescent="0.35">
      <c r="H6753" s="35"/>
    </row>
    <row r="6754" spans="8:8" x14ac:dyDescent="0.35">
      <c r="H6754" s="35"/>
    </row>
    <row r="6755" spans="8:8" x14ac:dyDescent="0.35">
      <c r="H6755" s="35"/>
    </row>
    <row r="6756" spans="8:8" x14ac:dyDescent="0.35">
      <c r="H6756" s="35"/>
    </row>
    <row r="6757" spans="8:8" x14ac:dyDescent="0.35">
      <c r="H6757" s="35"/>
    </row>
    <row r="6758" spans="8:8" x14ac:dyDescent="0.35">
      <c r="H6758" s="35"/>
    </row>
    <row r="6759" spans="8:8" x14ac:dyDescent="0.35">
      <c r="H6759" s="35"/>
    </row>
    <row r="6760" spans="8:8" x14ac:dyDescent="0.35">
      <c r="H6760" s="35"/>
    </row>
    <row r="6761" spans="8:8" x14ac:dyDescent="0.35">
      <c r="H6761" s="35"/>
    </row>
    <row r="6762" spans="8:8" x14ac:dyDescent="0.35">
      <c r="H6762" s="35"/>
    </row>
    <row r="6763" spans="8:8" x14ac:dyDescent="0.35">
      <c r="H6763" s="35"/>
    </row>
    <row r="6764" spans="8:8" x14ac:dyDescent="0.35">
      <c r="H6764" s="35"/>
    </row>
    <row r="6765" spans="8:8" x14ac:dyDescent="0.35">
      <c r="H6765" s="35"/>
    </row>
    <row r="6766" spans="8:8" x14ac:dyDescent="0.35">
      <c r="H6766" s="35"/>
    </row>
    <row r="6767" spans="8:8" x14ac:dyDescent="0.35">
      <c r="H6767" s="35"/>
    </row>
    <row r="6768" spans="8:8" x14ac:dyDescent="0.35">
      <c r="H6768" s="35"/>
    </row>
    <row r="6769" spans="8:8" x14ac:dyDescent="0.35">
      <c r="H6769" s="35"/>
    </row>
    <row r="6770" spans="8:8" x14ac:dyDescent="0.35">
      <c r="H6770" s="35"/>
    </row>
    <row r="6771" spans="8:8" x14ac:dyDescent="0.35">
      <c r="H6771" s="35"/>
    </row>
    <row r="6772" spans="8:8" x14ac:dyDescent="0.35">
      <c r="H6772" s="35"/>
    </row>
    <row r="6773" spans="8:8" x14ac:dyDescent="0.35">
      <c r="H6773" s="35"/>
    </row>
    <row r="6774" spans="8:8" x14ac:dyDescent="0.35">
      <c r="H6774" s="35"/>
    </row>
    <row r="6775" spans="8:8" x14ac:dyDescent="0.35">
      <c r="H6775" s="35"/>
    </row>
    <row r="6776" spans="8:8" x14ac:dyDescent="0.35">
      <c r="H6776" s="35"/>
    </row>
    <row r="6777" spans="8:8" x14ac:dyDescent="0.35">
      <c r="H6777" s="35"/>
    </row>
    <row r="6778" spans="8:8" x14ac:dyDescent="0.35">
      <c r="H6778" s="35"/>
    </row>
    <row r="6779" spans="8:8" x14ac:dyDescent="0.35">
      <c r="H6779" s="35"/>
    </row>
    <row r="6780" spans="8:8" x14ac:dyDescent="0.35">
      <c r="H6780" s="35"/>
    </row>
    <row r="6781" spans="8:8" x14ac:dyDescent="0.35">
      <c r="H6781" s="35"/>
    </row>
    <row r="6782" spans="8:8" x14ac:dyDescent="0.35">
      <c r="H6782" s="35"/>
    </row>
    <row r="6783" spans="8:8" x14ac:dyDescent="0.35">
      <c r="H6783" s="35"/>
    </row>
    <row r="6784" spans="8:8" x14ac:dyDescent="0.35">
      <c r="H6784" s="35"/>
    </row>
    <row r="6785" spans="8:8" x14ac:dyDescent="0.35">
      <c r="H6785" s="35"/>
    </row>
    <row r="6786" spans="8:8" x14ac:dyDescent="0.35">
      <c r="H6786" s="35"/>
    </row>
    <row r="6787" spans="8:8" x14ac:dyDescent="0.35">
      <c r="H6787" s="35"/>
    </row>
    <row r="6788" spans="8:8" x14ac:dyDescent="0.35">
      <c r="H6788" s="35"/>
    </row>
    <row r="6789" spans="8:8" x14ac:dyDescent="0.35">
      <c r="H6789" s="35"/>
    </row>
    <row r="6790" spans="8:8" x14ac:dyDescent="0.35">
      <c r="H6790" s="35"/>
    </row>
    <row r="6791" spans="8:8" x14ac:dyDescent="0.35">
      <c r="H6791" s="35"/>
    </row>
    <row r="6792" spans="8:8" x14ac:dyDescent="0.35">
      <c r="H6792" s="35"/>
    </row>
    <row r="6793" spans="8:8" x14ac:dyDescent="0.35">
      <c r="H6793" s="35"/>
    </row>
    <row r="6794" spans="8:8" x14ac:dyDescent="0.35">
      <c r="H6794" s="35"/>
    </row>
    <row r="6795" spans="8:8" x14ac:dyDescent="0.35">
      <c r="H6795" s="35"/>
    </row>
    <row r="6796" spans="8:8" x14ac:dyDescent="0.35">
      <c r="H6796" s="35"/>
    </row>
    <row r="6797" spans="8:8" x14ac:dyDescent="0.35">
      <c r="H6797" s="35"/>
    </row>
    <row r="6798" spans="8:8" x14ac:dyDescent="0.35">
      <c r="H6798" s="35"/>
    </row>
    <row r="6799" spans="8:8" x14ac:dyDescent="0.35">
      <c r="H6799" s="35"/>
    </row>
    <row r="6800" spans="8:8" x14ac:dyDescent="0.35">
      <c r="H6800" s="35"/>
    </row>
    <row r="6801" spans="8:8" x14ac:dyDescent="0.35">
      <c r="H6801" s="35"/>
    </row>
    <row r="6802" spans="8:8" x14ac:dyDescent="0.35">
      <c r="H6802" s="35"/>
    </row>
    <row r="6803" spans="8:8" x14ac:dyDescent="0.35">
      <c r="H6803" s="35"/>
    </row>
    <row r="6804" spans="8:8" x14ac:dyDescent="0.35">
      <c r="H6804" s="35"/>
    </row>
    <row r="6805" spans="8:8" x14ac:dyDescent="0.35">
      <c r="H6805" s="35"/>
    </row>
    <row r="6806" spans="8:8" x14ac:dyDescent="0.35">
      <c r="H6806" s="35"/>
    </row>
    <row r="6807" spans="8:8" x14ac:dyDescent="0.35">
      <c r="H6807" s="35"/>
    </row>
    <row r="6808" spans="8:8" x14ac:dyDescent="0.35">
      <c r="H6808" s="35"/>
    </row>
    <row r="6809" spans="8:8" x14ac:dyDescent="0.35">
      <c r="H6809" s="35"/>
    </row>
    <row r="6810" spans="8:8" x14ac:dyDescent="0.35">
      <c r="H6810" s="35"/>
    </row>
    <row r="6811" spans="8:8" x14ac:dyDescent="0.35">
      <c r="H6811" s="35"/>
    </row>
    <row r="6812" spans="8:8" x14ac:dyDescent="0.35">
      <c r="H6812" s="35"/>
    </row>
    <row r="6813" spans="8:8" x14ac:dyDescent="0.35">
      <c r="H6813" s="35"/>
    </row>
    <row r="6814" spans="8:8" x14ac:dyDescent="0.35">
      <c r="H6814" s="35"/>
    </row>
    <row r="6815" spans="8:8" x14ac:dyDescent="0.35">
      <c r="H6815" s="35"/>
    </row>
    <row r="6816" spans="8:8" x14ac:dyDescent="0.35">
      <c r="H6816" s="35"/>
    </row>
    <row r="6817" spans="8:8" x14ac:dyDescent="0.35">
      <c r="H6817" s="35"/>
    </row>
    <row r="6818" spans="8:8" x14ac:dyDescent="0.35">
      <c r="H6818" s="35"/>
    </row>
    <row r="6819" spans="8:8" x14ac:dyDescent="0.35">
      <c r="H6819" s="35"/>
    </row>
    <row r="6820" spans="8:8" x14ac:dyDescent="0.35">
      <c r="H6820" s="35"/>
    </row>
    <row r="6821" spans="8:8" x14ac:dyDescent="0.35">
      <c r="H6821" s="35"/>
    </row>
    <row r="6822" spans="8:8" x14ac:dyDescent="0.35">
      <c r="H6822" s="35"/>
    </row>
    <row r="6823" spans="8:8" x14ac:dyDescent="0.35">
      <c r="H6823" s="35"/>
    </row>
    <row r="6824" spans="8:8" x14ac:dyDescent="0.35">
      <c r="H6824" s="35"/>
    </row>
    <row r="6825" spans="8:8" x14ac:dyDescent="0.35">
      <c r="H6825" s="35"/>
    </row>
    <row r="6826" spans="8:8" x14ac:dyDescent="0.35">
      <c r="H6826" s="35"/>
    </row>
    <row r="6827" spans="8:8" x14ac:dyDescent="0.35">
      <c r="H6827" s="35"/>
    </row>
    <row r="6828" spans="8:8" x14ac:dyDescent="0.35">
      <c r="H6828" s="35"/>
    </row>
    <row r="6829" spans="8:8" x14ac:dyDescent="0.35">
      <c r="H6829" s="35"/>
    </row>
    <row r="6830" spans="8:8" x14ac:dyDescent="0.35">
      <c r="H6830" s="35"/>
    </row>
    <row r="6831" spans="8:8" x14ac:dyDescent="0.35">
      <c r="H6831" s="35"/>
    </row>
    <row r="6832" spans="8:8" x14ac:dyDescent="0.35">
      <c r="H6832" s="35"/>
    </row>
    <row r="6833" spans="8:8" x14ac:dyDescent="0.35">
      <c r="H6833" s="35"/>
    </row>
    <row r="6834" spans="8:8" x14ac:dyDescent="0.35">
      <c r="H6834" s="35"/>
    </row>
    <row r="6835" spans="8:8" x14ac:dyDescent="0.35">
      <c r="H6835" s="35"/>
    </row>
    <row r="6836" spans="8:8" x14ac:dyDescent="0.35">
      <c r="H6836" s="35"/>
    </row>
    <row r="6837" spans="8:8" x14ac:dyDescent="0.35">
      <c r="H6837" s="35"/>
    </row>
    <row r="6838" spans="8:8" x14ac:dyDescent="0.35">
      <c r="H6838" s="35"/>
    </row>
    <row r="6839" spans="8:8" x14ac:dyDescent="0.35">
      <c r="H6839" s="35"/>
    </row>
    <row r="6840" spans="8:8" x14ac:dyDescent="0.35">
      <c r="H6840" s="35"/>
    </row>
    <row r="6841" spans="8:8" x14ac:dyDescent="0.35">
      <c r="H6841" s="35"/>
    </row>
    <row r="6842" spans="8:8" x14ac:dyDescent="0.35">
      <c r="H6842" s="35"/>
    </row>
    <row r="6843" spans="8:8" x14ac:dyDescent="0.35">
      <c r="H6843" s="35"/>
    </row>
    <row r="6844" spans="8:8" x14ac:dyDescent="0.35">
      <c r="H6844" s="35"/>
    </row>
    <row r="6845" spans="8:8" x14ac:dyDescent="0.35">
      <c r="H6845" s="35"/>
    </row>
    <row r="6846" spans="8:8" x14ac:dyDescent="0.35">
      <c r="H6846" s="35"/>
    </row>
    <row r="6847" spans="8:8" x14ac:dyDescent="0.35">
      <c r="H6847" s="35"/>
    </row>
    <row r="6848" spans="8:8" x14ac:dyDescent="0.35">
      <c r="H6848" s="35"/>
    </row>
    <row r="6849" spans="8:8" x14ac:dyDescent="0.35">
      <c r="H6849" s="35"/>
    </row>
    <row r="6850" spans="8:8" x14ac:dyDescent="0.35">
      <c r="H6850" s="35"/>
    </row>
    <row r="6851" spans="8:8" x14ac:dyDescent="0.35">
      <c r="H6851" s="35"/>
    </row>
    <row r="6852" spans="8:8" x14ac:dyDescent="0.35">
      <c r="H6852" s="35"/>
    </row>
    <row r="6853" spans="8:8" x14ac:dyDescent="0.35">
      <c r="H6853" s="35"/>
    </row>
    <row r="6854" spans="8:8" x14ac:dyDescent="0.35">
      <c r="H6854" s="35"/>
    </row>
    <row r="6855" spans="8:8" x14ac:dyDescent="0.35">
      <c r="H6855" s="35"/>
    </row>
    <row r="6856" spans="8:8" x14ac:dyDescent="0.35">
      <c r="H6856" s="35"/>
    </row>
    <row r="6857" spans="8:8" x14ac:dyDescent="0.35">
      <c r="H6857" s="35"/>
    </row>
    <row r="6858" spans="8:8" x14ac:dyDescent="0.35">
      <c r="H6858" s="35"/>
    </row>
    <row r="6859" spans="8:8" x14ac:dyDescent="0.35">
      <c r="H6859" s="35"/>
    </row>
    <row r="6860" spans="8:8" x14ac:dyDescent="0.35">
      <c r="H6860" s="35"/>
    </row>
    <row r="6861" spans="8:8" x14ac:dyDescent="0.35">
      <c r="H6861" s="35"/>
    </row>
    <row r="6862" spans="8:8" x14ac:dyDescent="0.35">
      <c r="H6862" s="35"/>
    </row>
    <row r="6863" spans="8:8" x14ac:dyDescent="0.35">
      <c r="H6863" s="35"/>
    </row>
    <row r="6864" spans="8:8" x14ac:dyDescent="0.35">
      <c r="H6864" s="35"/>
    </row>
    <row r="6865" spans="8:8" x14ac:dyDescent="0.35">
      <c r="H6865" s="35"/>
    </row>
    <row r="6866" spans="8:8" x14ac:dyDescent="0.35">
      <c r="H6866" s="35"/>
    </row>
    <row r="6867" spans="8:8" x14ac:dyDescent="0.35">
      <c r="H6867" s="35"/>
    </row>
    <row r="6868" spans="8:8" x14ac:dyDescent="0.35">
      <c r="H6868" s="35"/>
    </row>
    <row r="6869" spans="8:8" x14ac:dyDescent="0.35">
      <c r="H6869" s="35"/>
    </row>
    <row r="6870" spans="8:8" x14ac:dyDescent="0.35">
      <c r="H6870" s="35"/>
    </row>
    <row r="6871" spans="8:8" x14ac:dyDescent="0.35">
      <c r="H6871" s="35"/>
    </row>
    <row r="6872" spans="8:8" x14ac:dyDescent="0.35">
      <c r="H6872" s="35"/>
    </row>
    <row r="6873" spans="8:8" x14ac:dyDescent="0.35">
      <c r="H6873" s="35"/>
    </row>
    <row r="6874" spans="8:8" x14ac:dyDescent="0.35">
      <c r="H6874" s="35"/>
    </row>
    <row r="6875" spans="8:8" x14ac:dyDescent="0.35">
      <c r="H6875" s="35"/>
    </row>
    <row r="6876" spans="8:8" x14ac:dyDescent="0.35">
      <c r="H6876" s="35"/>
    </row>
    <row r="6877" spans="8:8" x14ac:dyDescent="0.35">
      <c r="H6877" s="35"/>
    </row>
    <row r="6878" spans="8:8" x14ac:dyDescent="0.35">
      <c r="H6878" s="35"/>
    </row>
    <row r="6879" spans="8:8" x14ac:dyDescent="0.35">
      <c r="H6879" s="35"/>
    </row>
    <row r="6880" spans="8:8" x14ac:dyDescent="0.35">
      <c r="H6880" s="35"/>
    </row>
    <row r="6881" spans="8:8" x14ac:dyDescent="0.35">
      <c r="H6881" s="35"/>
    </row>
    <row r="6882" spans="8:8" x14ac:dyDescent="0.35">
      <c r="H6882" s="35"/>
    </row>
    <row r="6883" spans="8:8" x14ac:dyDescent="0.35">
      <c r="H6883" s="35"/>
    </row>
    <row r="6884" spans="8:8" x14ac:dyDescent="0.35">
      <c r="H6884" s="35"/>
    </row>
    <row r="6885" spans="8:8" x14ac:dyDescent="0.35">
      <c r="H6885" s="35"/>
    </row>
    <row r="6886" spans="8:8" x14ac:dyDescent="0.35">
      <c r="H6886" s="35"/>
    </row>
    <row r="6887" spans="8:8" x14ac:dyDescent="0.35">
      <c r="H6887" s="35"/>
    </row>
    <row r="6888" spans="8:8" x14ac:dyDescent="0.35">
      <c r="H6888" s="35"/>
    </row>
    <row r="6889" spans="8:8" x14ac:dyDescent="0.35">
      <c r="H6889" s="35"/>
    </row>
    <row r="6890" spans="8:8" x14ac:dyDescent="0.35">
      <c r="H6890" s="35"/>
    </row>
    <row r="6891" spans="8:8" x14ac:dyDescent="0.35">
      <c r="H6891" s="35"/>
    </row>
    <row r="6892" spans="8:8" x14ac:dyDescent="0.35">
      <c r="H6892" s="35"/>
    </row>
    <row r="6893" spans="8:8" x14ac:dyDescent="0.35">
      <c r="H6893" s="35"/>
    </row>
    <row r="6894" spans="8:8" x14ac:dyDescent="0.35">
      <c r="H6894" s="35"/>
    </row>
    <row r="6895" spans="8:8" x14ac:dyDescent="0.35">
      <c r="H6895" s="35"/>
    </row>
    <row r="6896" spans="8:8" x14ac:dyDescent="0.35">
      <c r="H6896" s="35"/>
    </row>
    <row r="6897" spans="8:8" x14ac:dyDescent="0.35">
      <c r="H6897" s="35"/>
    </row>
    <row r="6898" spans="8:8" x14ac:dyDescent="0.35">
      <c r="H6898" s="35"/>
    </row>
    <row r="6899" spans="8:8" x14ac:dyDescent="0.35">
      <c r="H6899" s="35"/>
    </row>
    <row r="6900" spans="8:8" x14ac:dyDescent="0.35">
      <c r="H6900" s="35"/>
    </row>
    <row r="6901" spans="8:8" x14ac:dyDescent="0.35">
      <c r="H6901" s="35"/>
    </row>
    <row r="6902" spans="8:8" x14ac:dyDescent="0.35">
      <c r="H6902" s="35"/>
    </row>
    <row r="6903" spans="8:8" x14ac:dyDescent="0.35">
      <c r="H6903" s="35"/>
    </row>
    <row r="6904" spans="8:8" x14ac:dyDescent="0.35">
      <c r="H6904" s="35"/>
    </row>
    <row r="6905" spans="8:8" x14ac:dyDescent="0.35">
      <c r="H6905" s="35"/>
    </row>
    <row r="6906" spans="8:8" x14ac:dyDescent="0.35">
      <c r="H6906" s="35"/>
    </row>
    <row r="6907" spans="8:8" x14ac:dyDescent="0.35">
      <c r="H6907" s="35"/>
    </row>
    <row r="6908" spans="8:8" x14ac:dyDescent="0.35">
      <c r="H6908" s="35"/>
    </row>
    <row r="6909" spans="8:8" x14ac:dyDescent="0.35">
      <c r="H6909" s="35"/>
    </row>
    <row r="6910" spans="8:8" x14ac:dyDescent="0.35">
      <c r="H6910" s="35"/>
    </row>
    <row r="6911" spans="8:8" x14ac:dyDescent="0.35">
      <c r="H6911" s="35"/>
    </row>
    <row r="6912" spans="8:8" x14ac:dyDescent="0.35">
      <c r="H6912" s="35"/>
    </row>
    <row r="6913" spans="8:8" x14ac:dyDescent="0.35">
      <c r="H6913" s="35"/>
    </row>
    <row r="6914" spans="8:8" x14ac:dyDescent="0.35">
      <c r="H6914" s="35"/>
    </row>
    <row r="6915" spans="8:8" x14ac:dyDescent="0.35">
      <c r="H6915" s="35"/>
    </row>
    <row r="6916" spans="8:8" x14ac:dyDescent="0.35">
      <c r="H6916" s="35"/>
    </row>
    <row r="6917" spans="8:8" x14ac:dyDescent="0.35">
      <c r="H6917" s="35"/>
    </row>
    <row r="6918" spans="8:8" x14ac:dyDescent="0.35">
      <c r="H6918" s="35"/>
    </row>
    <row r="6919" spans="8:8" x14ac:dyDescent="0.35">
      <c r="H6919" s="35"/>
    </row>
    <row r="6920" spans="8:8" x14ac:dyDescent="0.35">
      <c r="H6920" s="35"/>
    </row>
    <row r="6921" spans="8:8" x14ac:dyDescent="0.35">
      <c r="H6921" s="35"/>
    </row>
    <row r="6922" spans="8:8" x14ac:dyDescent="0.35">
      <c r="H6922" s="35"/>
    </row>
    <row r="6923" spans="8:8" x14ac:dyDescent="0.35">
      <c r="H6923" s="35"/>
    </row>
    <row r="6924" spans="8:8" x14ac:dyDescent="0.35">
      <c r="H6924" s="35"/>
    </row>
    <row r="6925" spans="8:8" x14ac:dyDescent="0.35">
      <c r="H6925" s="35"/>
    </row>
    <row r="6926" spans="8:8" x14ac:dyDescent="0.35">
      <c r="H6926" s="35"/>
    </row>
    <row r="6927" spans="8:8" x14ac:dyDescent="0.35">
      <c r="H6927" s="35"/>
    </row>
    <row r="6928" spans="8:8" x14ac:dyDescent="0.35">
      <c r="H6928" s="35"/>
    </row>
    <row r="6929" spans="8:8" x14ac:dyDescent="0.35">
      <c r="H6929" s="35"/>
    </row>
    <row r="6930" spans="8:8" x14ac:dyDescent="0.35">
      <c r="H6930" s="35"/>
    </row>
    <row r="6931" spans="8:8" x14ac:dyDescent="0.35">
      <c r="H6931" s="35"/>
    </row>
    <row r="6932" spans="8:8" x14ac:dyDescent="0.35">
      <c r="H6932" s="35"/>
    </row>
    <row r="6933" spans="8:8" x14ac:dyDescent="0.35">
      <c r="H6933" s="35"/>
    </row>
    <row r="6934" spans="8:8" x14ac:dyDescent="0.35">
      <c r="H6934" s="35"/>
    </row>
    <row r="6935" spans="8:8" x14ac:dyDescent="0.35">
      <c r="H6935" s="35"/>
    </row>
    <row r="6936" spans="8:8" x14ac:dyDescent="0.35">
      <c r="H6936" s="35"/>
    </row>
    <row r="6937" spans="8:8" x14ac:dyDescent="0.35">
      <c r="H6937" s="35"/>
    </row>
    <row r="6938" spans="8:8" x14ac:dyDescent="0.35">
      <c r="H6938" s="35"/>
    </row>
    <row r="6939" spans="8:8" x14ac:dyDescent="0.35">
      <c r="H6939" s="35"/>
    </row>
    <row r="6940" spans="8:8" x14ac:dyDescent="0.35">
      <c r="H6940" s="35"/>
    </row>
    <row r="6941" spans="8:8" x14ac:dyDescent="0.35">
      <c r="H6941" s="35"/>
    </row>
    <row r="6942" spans="8:8" x14ac:dyDescent="0.35">
      <c r="H6942" s="35"/>
    </row>
    <row r="6943" spans="8:8" x14ac:dyDescent="0.35">
      <c r="H6943" s="35"/>
    </row>
    <row r="6944" spans="8:8" x14ac:dyDescent="0.35">
      <c r="H6944" s="35"/>
    </row>
    <row r="6945" spans="8:8" x14ac:dyDescent="0.35">
      <c r="H6945" s="35"/>
    </row>
    <row r="6946" spans="8:8" x14ac:dyDescent="0.35">
      <c r="H6946" s="35"/>
    </row>
    <row r="6947" spans="8:8" x14ac:dyDescent="0.35">
      <c r="H6947" s="35"/>
    </row>
    <row r="6948" spans="8:8" x14ac:dyDescent="0.35">
      <c r="H6948" s="35"/>
    </row>
    <row r="6949" spans="8:8" x14ac:dyDescent="0.35">
      <c r="H6949" s="35"/>
    </row>
    <row r="6950" spans="8:8" x14ac:dyDescent="0.35">
      <c r="H6950" s="35"/>
    </row>
    <row r="6951" spans="8:8" x14ac:dyDescent="0.35">
      <c r="H6951" s="35"/>
    </row>
    <row r="6952" spans="8:8" x14ac:dyDescent="0.35">
      <c r="H6952" s="35"/>
    </row>
    <row r="6953" spans="8:8" x14ac:dyDescent="0.35">
      <c r="H6953" s="35"/>
    </row>
    <row r="6954" spans="8:8" x14ac:dyDescent="0.35">
      <c r="H6954" s="35"/>
    </row>
    <row r="6955" spans="8:8" x14ac:dyDescent="0.35">
      <c r="H6955" s="35"/>
    </row>
    <row r="6956" spans="8:8" x14ac:dyDescent="0.35">
      <c r="H6956" s="35"/>
    </row>
    <row r="6957" spans="8:8" x14ac:dyDescent="0.35">
      <c r="H6957" s="35"/>
    </row>
    <row r="6958" spans="8:8" x14ac:dyDescent="0.35">
      <c r="H6958" s="35"/>
    </row>
    <row r="6959" spans="8:8" x14ac:dyDescent="0.35">
      <c r="H6959" s="35"/>
    </row>
    <row r="6960" spans="8:8" x14ac:dyDescent="0.35">
      <c r="H6960" s="35"/>
    </row>
    <row r="6961" spans="8:8" x14ac:dyDescent="0.35">
      <c r="H6961" s="35"/>
    </row>
    <row r="6962" spans="8:8" x14ac:dyDescent="0.35">
      <c r="H6962" s="35"/>
    </row>
    <row r="6963" spans="8:8" x14ac:dyDescent="0.35">
      <c r="H6963" s="35"/>
    </row>
    <row r="6964" spans="8:8" x14ac:dyDescent="0.35">
      <c r="H6964" s="35"/>
    </row>
    <row r="6965" spans="8:8" x14ac:dyDescent="0.35">
      <c r="H6965" s="35"/>
    </row>
    <row r="6966" spans="8:8" x14ac:dyDescent="0.35">
      <c r="H6966" s="35"/>
    </row>
    <row r="6967" spans="8:8" x14ac:dyDescent="0.35">
      <c r="H6967" s="35"/>
    </row>
    <row r="6968" spans="8:8" x14ac:dyDescent="0.35">
      <c r="H6968" s="35"/>
    </row>
    <row r="6969" spans="8:8" x14ac:dyDescent="0.35">
      <c r="H6969" s="35"/>
    </row>
    <row r="6970" spans="8:8" x14ac:dyDescent="0.35">
      <c r="H6970" s="35"/>
    </row>
    <row r="6971" spans="8:8" x14ac:dyDescent="0.35">
      <c r="H6971" s="35"/>
    </row>
    <row r="6972" spans="8:8" x14ac:dyDescent="0.35">
      <c r="H6972" s="35"/>
    </row>
    <row r="6973" spans="8:8" x14ac:dyDescent="0.35">
      <c r="H6973" s="35"/>
    </row>
    <row r="6974" spans="8:8" x14ac:dyDescent="0.35">
      <c r="H6974" s="35"/>
    </row>
    <row r="6975" spans="8:8" x14ac:dyDescent="0.35">
      <c r="H6975" s="35"/>
    </row>
    <row r="6976" spans="8:8" x14ac:dyDescent="0.35">
      <c r="H6976" s="35"/>
    </row>
    <row r="6977" spans="8:8" x14ac:dyDescent="0.35">
      <c r="H6977" s="35"/>
    </row>
    <row r="6978" spans="8:8" x14ac:dyDescent="0.35">
      <c r="H6978" s="35"/>
    </row>
    <row r="6979" spans="8:8" x14ac:dyDescent="0.35">
      <c r="H6979" s="35"/>
    </row>
    <row r="6980" spans="8:8" x14ac:dyDescent="0.35">
      <c r="H6980" s="35"/>
    </row>
    <row r="6981" spans="8:8" x14ac:dyDescent="0.35">
      <c r="H6981" s="35"/>
    </row>
    <row r="6982" spans="8:8" x14ac:dyDescent="0.35">
      <c r="H6982" s="35"/>
    </row>
    <row r="6983" spans="8:8" x14ac:dyDescent="0.35">
      <c r="H6983" s="35"/>
    </row>
    <row r="6984" spans="8:8" x14ac:dyDescent="0.35">
      <c r="H6984" s="35"/>
    </row>
    <row r="6985" spans="8:8" x14ac:dyDescent="0.35">
      <c r="H6985" s="35"/>
    </row>
    <row r="6986" spans="8:8" x14ac:dyDescent="0.35">
      <c r="H6986" s="35"/>
    </row>
    <row r="6987" spans="8:8" x14ac:dyDescent="0.35">
      <c r="H6987" s="35"/>
    </row>
    <row r="6988" spans="8:8" x14ac:dyDescent="0.35">
      <c r="H6988" s="35"/>
    </row>
    <row r="6989" spans="8:8" x14ac:dyDescent="0.35">
      <c r="H6989" s="35"/>
    </row>
    <row r="6990" spans="8:8" x14ac:dyDescent="0.35">
      <c r="H6990" s="35"/>
    </row>
    <row r="6991" spans="8:8" x14ac:dyDescent="0.35">
      <c r="H6991" s="35"/>
    </row>
    <row r="6992" spans="8:8" x14ac:dyDescent="0.35">
      <c r="H6992" s="35"/>
    </row>
    <row r="6993" spans="8:8" x14ac:dyDescent="0.35">
      <c r="H6993" s="35"/>
    </row>
    <row r="6994" spans="8:8" x14ac:dyDescent="0.35">
      <c r="H6994" s="35"/>
    </row>
    <row r="6995" spans="8:8" x14ac:dyDescent="0.35">
      <c r="H6995" s="35"/>
    </row>
    <row r="6996" spans="8:8" x14ac:dyDescent="0.35">
      <c r="H6996" s="35"/>
    </row>
    <row r="6997" spans="8:8" x14ac:dyDescent="0.35">
      <c r="H6997" s="35"/>
    </row>
    <row r="6998" spans="8:8" x14ac:dyDescent="0.35">
      <c r="H6998" s="35"/>
    </row>
    <row r="6999" spans="8:8" x14ac:dyDescent="0.35">
      <c r="H6999" s="35"/>
    </row>
    <row r="7000" spans="8:8" x14ac:dyDescent="0.35">
      <c r="H7000" s="35"/>
    </row>
    <row r="7001" spans="8:8" x14ac:dyDescent="0.35">
      <c r="H7001" s="35"/>
    </row>
    <row r="7002" spans="8:8" x14ac:dyDescent="0.35">
      <c r="H7002" s="35"/>
    </row>
    <row r="7003" spans="8:8" x14ac:dyDescent="0.35">
      <c r="H7003" s="35"/>
    </row>
    <row r="7004" spans="8:8" x14ac:dyDescent="0.35">
      <c r="H7004" s="35"/>
    </row>
    <row r="7005" spans="8:8" x14ac:dyDescent="0.35">
      <c r="H7005" s="35"/>
    </row>
    <row r="7006" spans="8:8" x14ac:dyDescent="0.35">
      <c r="H7006" s="35"/>
    </row>
    <row r="7007" spans="8:8" x14ac:dyDescent="0.35">
      <c r="H7007" s="35"/>
    </row>
    <row r="7008" spans="8:8" x14ac:dyDescent="0.35">
      <c r="H7008" s="35"/>
    </row>
    <row r="7009" spans="8:8" x14ac:dyDescent="0.35">
      <c r="H7009" s="35"/>
    </row>
    <row r="7010" spans="8:8" x14ac:dyDescent="0.35">
      <c r="H7010" s="35"/>
    </row>
    <row r="7011" spans="8:8" x14ac:dyDescent="0.35">
      <c r="H7011" s="35"/>
    </row>
    <row r="7012" spans="8:8" x14ac:dyDescent="0.35">
      <c r="H7012" s="35"/>
    </row>
    <row r="7013" spans="8:8" x14ac:dyDescent="0.35">
      <c r="H7013" s="35"/>
    </row>
    <row r="7014" spans="8:8" x14ac:dyDescent="0.35">
      <c r="H7014" s="35"/>
    </row>
    <row r="7015" spans="8:8" x14ac:dyDescent="0.35">
      <c r="H7015" s="35"/>
    </row>
    <row r="7016" spans="8:8" x14ac:dyDescent="0.35">
      <c r="H7016" s="35"/>
    </row>
    <row r="7017" spans="8:8" x14ac:dyDescent="0.35">
      <c r="H7017" s="35"/>
    </row>
    <row r="7018" spans="8:8" x14ac:dyDescent="0.35">
      <c r="H7018" s="35"/>
    </row>
    <row r="7019" spans="8:8" x14ac:dyDescent="0.35">
      <c r="H7019" s="35"/>
    </row>
    <row r="7020" spans="8:8" x14ac:dyDescent="0.35">
      <c r="H7020" s="35"/>
    </row>
    <row r="7021" spans="8:8" x14ac:dyDescent="0.35">
      <c r="H7021" s="35"/>
    </row>
    <row r="7022" spans="8:8" x14ac:dyDescent="0.35">
      <c r="H7022" s="35"/>
    </row>
    <row r="7023" spans="8:8" x14ac:dyDescent="0.35">
      <c r="H7023" s="35"/>
    </row>
    <row r="7024" spans="8:8" x14ac:dyDescent="0.35">
      <c r="H7024" s="35"/>
    </row>
    <row r="7025" spans="8:8" x14ac:dyDescent="0.35">
      <c r="H7025" s="35"/>
    </row>
    <row r="7026" spans="8:8" x14ac:dyDescent="0.35">
      <c r="H7026" s="35"/>
    </row>
    <row r="7027" spans="8:8" x14ac:dyDescent="0.35">
      <c r="H7027" s="35"/>
    </row>
    <row r="7028" spans="8:8" x14ac:dyDescent="0.35">
      <c r="H7028" s="35"/>
    </row>
    <row r="7029" spans="8:8" x14ac:dyDescent="0.35">
      <c r="H7029" s="35"/>
    </row>
    <row r="7030" spans="8:8" x14ac:dyDescent="0.35">
      <c r="H7030" s="35"/>
    </row>
    <row r="7031" spans="8:8" x14ac:dyDescent="0.35">
      <c r="H7031" s="35"/>
    </row>
    <row r="7032" spans="8:8" x14ac:dyDescent="0.35">
      <c r="H7032" s="35"/>
    </row>
    <row r="7033" spans="8:8" x14ac:dyDescent="0.35">
      <c r="H7033" s="35"/>
    </row>
    <row r="7034" spans="8:8" x14ac:dyDescent="0.35">
      <c r="H7034" s="35"/>
    </row>
    <row r="7035" spans="8:8" x14ac:dyDescent="0.35">
      <c r="H7035" s="35"/>
    </row>
    <row r="7036" spans="8:8" x14ac:dyDescent="0.35">
      <c r="H7036" s="35"/>
    </row>
    <row r="7037" spans="8:8" x14ac:dyDescent="0.35">
      <c r="H7037" s="35"/>
    </row>
    <row r="7038" spans="8:8" x14ac:dyDescent="0.35">
      <c r="H7038" s="35"/>
    </row>
    <row r="7039" spans="8:8" x14ac:dyDescent="0.35">
      <c r="H7039" s="35"/>
    </row>
    <row r="7040" spans="8:8" x14ac:dyDescent="0.35">
      <c r="H7040" s="35"/>
    </row>
    <row r="7041" spans="8:8" x14ac:dyDescent="0.35">
      <c r="H7041" s="35"/>
    </row>
    <row r="7042" spans="8:8" x14ac:dyDescent="0.35">
      <c r="H7042" s="35"/>
    </row>
    <row r="7043" spans="8:8" x14ac:dyDescent="0.35">
      <c r="H7043" s="35"/>
    </row>
    <row r="7044" spans="8:8" x14ac:dyDescent="0.35">
      <c r="H7044" s="35"/>
    </row>
    <row r="7045" spans="8:8" x14ac:dyDescent="0.35">
      <c r="H7045" s="35"/>
    </row>
    <row r="7046" spans="8:8" x14ac:dyDescent="0.35">
      <c r="H7046" s="35"/>
    </row>
    <row r="7047" spans="8:8" x14ac:dyDescent="0.35">
      <c r="H7047" s="35"/>
    </row>
    <row r="7048" spans="8:8" x14ac:dyDescent="0.35">
      <c r="H7048" s="35"/>
    </row>
    <row r="7049" spans="8:8" x14ac:dyDescent="0.35">
      <c r="H7049" s="35"/>
    </row>
    <row r="7050" spans="8:8" x14ac:dyDescent="0.35">
      <c r="H7050" s="35"/>
    </row>
    <row r="7051" spans="8:8" x14ac:dyDescent="0.35">
      <c r="H7051" s="35"/>
    </row>
    <row r="7052" spans="8:8" x14ac:dyDescent="0.35">
      <c r="H7052" s="35"/>
    </row>
    <row r="7053" spans="8:8" x14ac:dyDescent="0.35">
      <c r="H7053" s="35"/>
    </row>
    <row r="7054" spans="8:8" x14ac:dyDescent="0.35">
      <c r="H7054" s="35"/>
    </row>
    <row r="7055" spans="8:8" x14ac:dyDescent="0.35">
      <c r="H7055" s="35"/>
    </row>
    <row r="7056" spans="8:8" x14ac:dyDescent="0.35">
      <c r="H7056" s="35"/>
    </row>
    <row r="7057" spans="8:8" x14ac:dyDescent="0.35">
      <c r="H7057" s="35"/>
    </row>
    <row r="7058" spans="8:8" x14ac:dyDescent="0.35">
      <c r="H7058" s="35"/>
    </row>
    <row r="7059" spans="8:8" x14ac:dyDescent="0.35">
      <c r="H7059" s="35"/>
    </row>
    <row r="7060" spans="8:8" x14ac:dyDescent="0.35">
      <c r="H7060" s="35"/>
    </row>
    <row r="7061" spans="8:8" x14ac:dyDescent="0.35">
      <c r="H7061" s="35"/>
    </row>
    <row r="7062" spans="8:8" x14ac:dyDescent="0.35">
      <c r="H7062" s="35"/>
    </row>
    <row r="7063" spans="8:8" x14ac:dyDescent="0.35">
      <c r="H7063" s="35"/>
    </row>
    <row r="7064" spans="8:8" x14ac:dyDescent="0.35">
      <c r="H7064" s="35"/>
    </row>
    <row r="7065" spans="8:8" x14ac:dyDescent="0.35">
      <c r="H7065" s="35"/>
    </row>
    <row r="7066" spans="8:8" x14ac:dyDescent="0.35">
      <c r="H7066" s="35"/>
    </row>
    <row r="7067" spans="8:8" x14ac:dyDescent="0.35">
      <c r="H7067" s="35"/>
    </row>
    <row r="7068" spans="8:8" x14ac:dyDescent="0.35">
      <c r="H7068" s="35"/>
    </row>
    <row r="7069" spans="8:8" x14ac:dyDescent="0.35">
      <c r="H7069" s="35"/>
    </row>
    <row r="7070" spans="8:8" x14ac:dyDescent="0.35">
      <c r="H7070" s="35"/>
    </row>
    <row r="7071" spans="8:8" x14ac:dyDescent="0.35">
      <c r="H7071" s="35"/>
    </row>
    <row r="7072" spans="8:8" x14ac:dyDescent="0.35">
      <c r="H7072" s="35"/>
    </row>
    <row r="7073" spans="8:8" x14ac:dyDescent="0.35">
      <c r="H7073" s="35"/>
    </row>
    <row r="7074" spans="8:8" x14ac:dyDescent="0.35">
      <c r="H7074" s="35"/>
    </row>
    <row r="7075" spans="8:8" x14ac:dyDescent="0.35">
      <c r="H7075" s="35"/>
    </row>
    <row r="7076" spans="8:8" x14ac:dyDescent="0.35">
      <c r="H7076" s="35"/>
    </row>
    <row r="7077" spans="8:8" x14ac:dyDescent="0.35">
      <c r="H7077" s="35"/>
    </row>
    <row r="7078" spans="8:8" x14ac:dyDescent="0.35">
      <c r="H7078" s="35"/>
    </row>
    <row r="7079" spans="8:8" x14ac:dyDescent="0.35">
      <c r="H7079" s="35"/>
    </row>
    <row r="7080" spans="8:8" x14ac:dyDescent="0.35">
      <c r="H7080" s="35"/>
    </row>
    <row r="7081" spans="8:8" x14ac:dyDescent="0.35">
      <c r="H7081" s="35"/>
    </row>
    <row r="7082" spans="8:8" x14ac:dyDescent="0.35">
      <c r="H7082" s="35"/>
    </row>
    <row r="7083" spans="8:8" x14ac:dyDescent="0.35">
      <c r="H7083" s="35"/>
    </row>
    <row r="7084" spans="8:8" x14ac:dyDescent="0.35">
      <c r="H7084" s="35"/>
    </row>
    <row r="7085" spans="8:8" x14ac:dyDescent="0.35">
      <c r="H7085" s="35"/>
    </row>
    <row r="7086" spans="8:8" x14ac:dyDescent="0.35">
      <c r="H7086" s="35"/>
    </row>
    <row r="7087" spans="8:8" x14ac:dyDescent="0.35">
      <c r="H7087" s="35"/>
    </row>
    <row r="7088" spans="8:8" x14ac:dyDescent="0.35">
      <c r="H7088" s="35"/>
    </row>
    <row r="7089" spans="8:8" x14ac:dyDescent="0.35">
      <c r="H7089" s="35"/>
    </row>
    <row r="7090" spans="8:8" x14ac:dyDescent="0.35">
      <c r="H7090" s="35"/>
    </row>
    <row r="7091" spans="8:8" x14ac:dyDescent="0.35">
      <c r="H7091" s="35"/>
    </row>
    <row r="7092" spans="8:8" x14ac:dyDescent="0.35">
      <c r="H7092" s="35"/>
    </row>
    <row r="7093" spans="8:8" x14ac:dyDescent="0.35">
      <c r="H7093" s="35"/>
    </row>
    <row r="7094" spans="8:8" x14ac:dyDescent="0.35">
      <c r="H7094" s="35"/>
    </row>
    <row r="7095" spans="8:8" x14ac:dyDescent="0.35">
      <c r="H7095" s="35"/>
    </row>
    <row r="7096" spans="8:8" x14ac:dyDescent="0.35">
      <c r="H7096" s="35"/>
    </row>
    <row r="7097" spans="8:8" x14ac:dyDescent="0.35">
      <c r="H7097" s="35"/>
    </row>
    <row r="7098" spans="8:8" x14ac:dyDescent="0.35">
      <c r="H7098" s="35"/>
    </row>
    <row r="7099" spans="8:8" x14ac:dyDescent="0.35">
      <c r="H7099" s="35"/>
    </row>
    <row r="7100" spans="8:8" x14ac:dyDescent="0.35">
      <c r="H7100" s="35"/>
    </row>
    <row r="7101" spans="8:8" x14ac:dyDescent="0.35">
      <c r="H7101" s="35"/>
    </row>
    <row r="7102" spans="8:8" x14ac:dyDescent="0.35">
      <c r="H7102" s="35"/>
    </row>
    <row r="7103" spans="8:8" x14ac:dyDescent="0.35">
      <c r="H7103" s="35"/>
    </row>
    <row r="7104" spans="8:8" x14ac:dyDescent="0.35">
      <c r="H7104" s="35"/>
    </row>
    <row r="7105" spans="8:8" x14ac:dyDescent="0.35">
      <c r="H7105" s="35"/>
    </row>
    <row r="7106" spans="8:8" x14ac:dyDescent="0.35">
      <c r="H7106" s="35"/>
    </row>
    <row r="7107" spans="8:8" x14ac:dyDescent="0.35">
      <c r="H7107" s="35"/>
    </row>
    <row r="7108" spans="8:8" x14ac:dyDescent="0.35">
      <c r="H7108" s="35"/>
    </row>
    <row r="7109" spans="8:8" x14ac:dyDescent="0.35">
      <c r="H7109" s="35"/>
    </row>
    <row r="7110" spans="8:8" x14ac:dyDescent="0.35">
      <c r="H7110" s="35"/>
    </row>
    <row r="7111" spans="8:8" x14ac:dyDescent="0.35">
      <c r="H7111" s="35"/>
    </row>
    <row r="7112" spans="8:8" x14ac:dyDescent="0.35">
      <c r="H7112" s="35"/>
    </row>
    <row r="7113" spans="8:8" x14ac:dyDescent="0.35">
      <c r="H7113" s="35"/>
    </row>
    <row r="7114" spans="8:8" x14ac:dyDescent="0.35">
      <c r="H7114" s="35"/>
    </row>
    <row r="7115" spans="8:8" x14ac:dyDescent="0.35">
      <c r="H7115" s="35"/>
    </row>
    <row r="7116" spans="8:8" x14ac:dyDescent="0.35">
      <c r="H7116" s="35"/>
    </row>
    <row r="7117" spans="8:8" x14ac:dyDescent="0.35">
      <c r="H7117" s="35"/>
    </row>
    <row r="7118" spans="8:8" x14ac:dyDescent="0.35">
      <c r="H7118" s="35"/>
    </row>
    <row r="7119" spans="8:8" x14ac:dyDescent="0.35">
      <c r="H7119" s="35"/>
    </row>
    <row r="7120" spans="8:8" x14ac:dyDescent="0.35">
      <c r="H7120" s="35"/>
    </row>
    <row r="7121" spans="8:8" x14ac:dyDescent="0.35">
      <c r="H7121" s="35"/>
    </row>
    <row r="7122" spans="8:8" x14ac:dyDescent="0.35">
      <c r="H7122" s="35"/>
    </row>
    <row r="7123" spans="8:8" x14ac:dyDescent="0.35">
      <c r="H7123" s="35"/>
    </row>
    <row r="7124" spans="8:8" x14ac:dyDescent="0.35">
      <c r="H7124" s="35"/>
    </row>
    <row r="7125" spans="8:8" x14ac:dyDescent="0.35">
      <c r="H7125" s="35"/>
    </row>
    <row r="7126" spans="8:8" x14ac:dyDescent="0.35">
      <c r="H7126" s="35"/>
    </row>
    <row r="7127" spans="8:8" x14ac:dyDescent="0.35">
      <c r="H7127" s="35"/>
    </row>
    <row r="7128" spans="8:8" x14ac:dyDescent="0.35">
      <c r="H7128" s="35"/>
    </row>
    <row r="7129" spans="8:8" x14ac:dyDescent="0.35">
      <c r="H7129" s="35"/>
    </row>
    <row r="7130" spans="8:8" x14ac:dyDescent="0.35">
      <c r="H7130" s="35"/>
    </row>
    <row r="7131" spans="8:8" x14ac:dyDescent="0.35">
      <c r="H7131" s="35"/>
    </row>
    <row r="7132" spans="8:8" x14ac:dyDescent="0.35">
      <c r="H7132" s="35"/>
    </row>
    <row r="7133" spans="8:8" x14ac:dyDescent="0.35">
      <c r="H7133" s="35"/>
    </row>
    <row r="7134" spans="8:8" x14ac:dyDescent="0.35">
      <c r="H7134" s="35"/>
    </row>
    <row r="7135" spans="8:8" x14ac:dyDescent="0.35">
      <c r="H7135" s="35"/>
    </row>
    <row r="7136" spans="8:8" x14ac:dyDescent="0.35">
      <c r="H7136" s="35"/>
    </row>
    <row r="7137" spans="8:8" x14ac:dyDescent="0.35">
      <c r="H7137" s="35"/>
    </row>
    <row r="7138" spans="8:8" x14ac:dyDescent="0.35">
      <c r="H7138" s="35"/>
    </row>
    <row r="7139" spans="8:8" x14ac:dyDescent="0.35">
      <c r="H7139" s="35"/>
    </row>
    <row r="7140" spans="8:8" x14ac:dyDescent="0.35">
      <c r="H7140" s="35"/>
    </row>
    <row r="7141" spans="8:8" x14ac:dyDescent="0.35">
      <c r="H7141" s="35"/>
    </row>
    <row r="7142" spans="8:8" x14ac:dyDescent="0.35">
      <c r="H7142" s="35"/>
    </row>
    <row r="7143" spans="8:8" x14ac:dyDescent="0.35">
      <c r="H7143" s="35"/>
    </row>
    <row r="7144" spans="8:8" x14ac:dyDescent="0.35">
      <c r="H7144" s="35"/>
    </row>
    <row r="7145" spans="8:8" x14ac:dyDescent="0.35">
      <c r="H7145" s="35"/>
    </row>
    <row r="7146" spans="8:8" x14ac:dyDescent="0.35">
      <c r="H7146" s="35"/>
    </row>
    <row r="7147" spans="8:8" x14ac:dyDescent="0.35">
      <c r="H7147" s="35"/>
    </row>
    <row r="7148" spans="8:8" x14ac:dyDescent="0.35">
      <c r="H7148" s="35"/>
    </row>
    <row r="7149" spans="8:8" x14ac:dyDescent="0.35">
      <c r="H7149" s="35"/>
    </row>
    <row r="7150" spans="8:8" x14ac:dyDescent="0.35">
      <c r="H7150" s="35"/>
    </row>
    <row r="7151" spans="8:8" x14ac:dyDescent="0.35">
      <c r="H7151" s="35"/>
    </row>
    <row r="7152" spans="8:8" x14ac:dyDescent="0.35">
      <c r="H7152" s="35"/>
    </row>
    <row r="7153" spans="8:8" x14ac:dyDescent="0.35">
      <c r="H7153" s="35"/>
    </row>
    <row r="7154" spans="8:8" x14ac:dyDescent="0.35">
      <c r="H7154" s="35"/>
    </row>
    <row r="7155" spans="8:8" x14ac:dyDescent="0.35">
      <c r="H7155" s="35"/>
    </row>
    <row r="7156" spans="8:8" x14ac:dyDescent="0.35">
      <c r="H7156" s="35"/>
    </row>
    <row r="7157" spans="8:8" x14ac:dyDescent="0.35">
      <c r="H7157" s="35"/>
    </row>
    <row r="7158" spans="8:8" x14ac:dyDescent="0.35">
      <c r="H7158" s="35"/>
    </row>
    <row r="7159" spans="8:8" x14ac:dyDescent="0.35">
      <c r="H7159" s="35"/>
    </row>
    <row r="7160" spans="8:8" x14ac:dyDescent="0.35">
      <c r="H7160" s="35"/>
    </row>
    <row r="7161" spans="8:8" x14ac:dyDescent="0.35">
      <c r="H7161" s="35"/>
    </row>
    <row r="7162" spans="8:8" x14ac:dyDescent="0.35">
      <c r="H7162" s="35"/>
    </row>
    <row r="7163" spans="8:8" x14ac:dyDescent="0.35">
      <c r="H7163" s="35"/>
    </row>
    <row r="7164" spans="8:8" x14ac:dyDescent="0.35">
      <c r="H7164" s="35"/>
    </row>
    <row r="7165" spans="8:8" x14ac:dyDescent="0.35">
      <c r="H7165" s="35"/>
    </row>
    <row r="7166" spans="8:8" x14ac:dyDescent="0.35">
      <c r="H7166" s="35"/>
    </row>
    <row r="7167" spans="8:8" x14ac:dyDescent="0.35">
      <c r="H7167" s="35"/>
    </row>
    <row r="7168" spans="8:8" x14ac:dyDescent="0.35">
      <c r="H7168" s="35"/>
    </row>
    <row r="7169" spans="8:8" x14ac:dyDescent="0.35">
      <c r="H7169" s="35"/>
    </row>
    <row r="7170" spans="8:8" x14ac:dyDescent="0.35">
      <c r="H7170" s="35"/>
    </row>
    <row r="7171" spans="8:8" x14ac:dyDescent="0.35">
      <c r="H7171" s="35"/>
    </row>
    <row r="7172" spans="8:8" x14ac:dyDescent="0.35">
      <c r="H7172" s="35"/>
    </row>
    <row r="7173" spans="8:8" x14ac:dyDescent="0.35">
      <c r="H7173" s="35"/>
    </row>
    <row r="7174" spans="8:8" x14ac:dyDescent="0.35">
      <c r="H7174" s="35"/>
    </row>
    <row r="7175" spans="8:8" x14ac:dyDescent="0.35">
      <c r="H7175" s="35"/>
    </row>
    <row r="7176" spans="8:8" x14ac:dyDescent="0.35">
      <c r="H7176" s="35"/>
    </row>
    <row r="7177" spans="8:8" x14ac:dyDescent="0.35">
      <c r="H7177" s="35"/>
    </row>
    <row r="7178" spans="8:8" x14ac:dyDescent="0.35">
      <c r="H7178" s="35"/>
    </row>
    <row r="7179" spans="8:8" x14ac:dyDescent="0.35">
      <c r="H7179" s="35"/>
    </row>
    <row r="7180" spans="8:8" x14ac:dyDescent="0.35">
      <c r="H7180" s="35"/>
    </row>
    <row r="7181" spans="8:8" x14ac:dyDescent="0.35">
      <c r="H7181" s="35"/>
    </row>
    <row r="7182" spans="8:8" x14ac:dyDescent="0.35">
      <c r="H7182" s="35"/>
    </row>
    <row r="7183" spans="8:8" x14ac:dyDescent="0.35">
      <c r="H7183" s="35"/>
    </row>
    <row r="7184" spans="8:8" x14ac:dyDescent="0.35">
      <c r="H7184" s="35"/>
    </row>
    <row r="7185" spans="8:8" x14ac:dyDescent="0.35">
      <c r="H7185" s="35"/>
    </row>
    <row r="7186" spans="8:8" x14ac:dyDescent="0.35">
      <c r="H7186" s="35"/>
    </row>
    <row r="7187" spans="8:8" x14ac:dyDescent="0.35">
      <c r="H7187" s="35"/>
    </row>
    <row r="7188" spans="8:8" x14ac:dyDescent="0.35">
      <c r="H7188" s="35"/>
    </row>
    <row r="7189" spans="8:8" x14ac:dyDescent="0.35">
      <c r="H7189" s="35"/>
    </row>
    <row r="7190" spans="8:8" x14ac:dyDescent="0.35">
      <c r="H7190" s="35"/>
    </row>
    <row r="7191" spans="8:8" x14ac:dyDescent="0.35">
      <c r="H7191" s="35"/>
    </row>
    <row r="7192" spans="8:8" x14ac:dyDescent="0.35">
      <c r="H7192" s="35"/>
    </row>
    <row r="7193" spans="8:8" x14ac:dyDescent="0.35">
      <c r="H7193" s="35"/>
    </row>
    <row r="7194" spans="8:8" x14ac:dyDescent="0.35">
      <c r="H7194" s="35"/>
    </row>
    <row r="7195" spans="8:8" x14ac:dyDescent="0.35">
      <c r="H7195" s="35"/>
    </row>
    <row r="7196" spans="8:8" x14ac:dyDescent="0.35">
      <c r="H7196" s="35"/>
    </row>
    <row r="7197" spans="8:8" x14ac:dyDescent="0.35">
      <c r="H7197" s="35"/>
    </row>
    <row r="7198" spans="8:8" x14ac:dyDescent="0.35">
      <c r="H7198" s="35"/>
    </row>
    <row r="7199" spans="8:8" x14ac:dyDescent="0.35">
      <c r="H7199" s="35"/>
    </row>
    <row r="7200" spans="8:8" x14ac:dyDescent="0.35">
      <c r="H7200" s="35"/>
    </row>
    <row r="7201" spans="8:8" x14ac:dyDescent="0.35">
      <c r="H7201" s="35"/>
    </row>
    <row r="7202" spans="8:8" x14ac:dyDescent="0.35">
      <c r="H7202" s="35"/>
    </row>
    <row r="7203" spans="8:8" x14ac:dyDescent="0.35">
      <c r="H7203" s="35"/>
    </row>
    <row r="7204" spans="8:8" x14ac:dyDescent="0.35">
      <c r="H7204" s="35"/>
    </row>
    <row r="7205" spans="8:8" x14ac:dyDescent="0.35">
      <c r="H7205" s="35"/>
    </row>
    <row r="7206" spans="8:8" x14ac:dyDescent="0.35">
      <c r="H7206" s="35"/>
    </row>
    <row r="7207" spans="8:8" x14ac:dyDescent="0.35">
      <c r="H7207" s="35"/>
    </row>
    <row r="7208" spans="8:8" x14ac:dyDescent="0.35">
      <c r="H7208" s="35"/>
    </row>
    <row r="7209" spans="8:8" x14ac:dyDescent="0.35">
      <c r="H7209" s="35"/>
    </row>
    <row r="7210" spans="8:8" x14ac:dyDescent="0.35">
      <c r="H7210" s="35"/>
    </row>
    <row r="7211" spans="8:8" x14ac:dyDescent="0.35">
      <c r="H7211" s="35"/>
    </row>
    <row r="7212" spans="8:8" x14ac:dyDescent="0.35">
      <c r="H7212" s="35"/>
    </row>
    <row r="7213" spans="8:8" x14ac:dyDescent="0.35">
      <c r="H7213" s="35"/>
    </row>
    <row r="7214" spans="8:8" x14ac:dyDescent="0.35">
      <c r="H7214" s="35"/>
    </row>
    <row r="7215" spans="8:8" x14ac:dyDescent="0.35">
      <c r="H7215" s="35"/>
    </row>
    <row r="7216" spans="8:8" x14ac:dyDescent="0.35">
      <c r="H7216" s="35"/>
    </row>
    <row r="7217" spans="8:8" x14ac:dyDescent="0.35">
      <c r="H7217" s="35"/>
    </row>
    <row r="7218" spans="8:8" x14ac:dyDescent="0.35">
      <c r="H7218" s="35"/>
    </row>
    <row r="7219" spans="8:8" x14ac:dyDescent="0.35">
      <c r="H7219" s="35"/>
    </row>
    <row r="7220" spans="8:8" x14ac:dyDescent="0.35">
      <c r="H7220" s="35"/>
    </row>
    <row r="7221" spans="8:8" x14ac:dyDescent="0.35">
      <c r="H7221" s="35"/>
    </row>
    <row r="7222" spans="8:8" x14ac:dyDescent="0.35">
      <c r="H7222" s="35"/>
    </row>
    <row r="7223" spans="8:8" x14ac:dyDescent="0.35">
      <c r="H7223" s="35"/>
    </row>
    <row r="7224" spans="8:8" x14ac:dyDescent="0.35">
      <c r="H7224" s="35"/>
    </row>
    <row r="7225" spans="8:8" x14ac:dyDescent="0.35">
      <c r="H7225" s="35"/>
    </row>
    <row r="7226" spans="8:8" x14ac:dyDescent="0.35">
      <c r="H7226" s="35"/>
    </row>
    <row r="7227" spans="8:8" x14ac:dyDescent="0.35">
      <c r="H7227" s="35"/>
    </row>
    <row r="7228" spans="8:8" x14ac:dyDescent="0.35">
      <c r="H7228" s="35"/>
    </row>
    <row r="7229" spans="8:8" x14ac:dyDescent="0.35">
      <c r="H7229" s="35"/>
    </row>
    <row r="7230" spans="8:8" x14ac:dyDescent="0.35">
      <c r="H7230" s="35"/>
    </row>
    <row r="7231" spans="8:8" x14ac:dyDescent="0.35">
      <c r="H7231" s="35"/>
    </row>
    <row r="7232" spans="8:8" x14ac:dyDescent="0.35">
      <c r="H7232" s="35"/>
    </row>
    <row r="7233" spans="8:8" x14ac:dyDescent="0.35">
      <c r="H7233" s="35"/>
    </row>
    <row r="7234" spans="8:8" x14ac:dyDescent="0.35">
      <c r="H7234" s="35"/>
    </row>
    <row r="7235" spans="8:8" x14ac:dyDescent="0.35">
      <c r="H7235" s="35"/>
    </row>
    <row r="7236" spans="8:8" x14ac:dyDescent="0.35">
      <c r="H7236" s="35"/>
    </row>
    <row r="7237" spans="8:8" x14ac:dyDescent="0.35">
      <c r="H7237" s="35"/>
    </row>
    <row r="7238" spans="8:8" x14ac:dyDescent="0.35">
      <c r="H7238" s="35"/>
    </row>
    <row r="7239" spans="8:8" x14ac:dyDescent="0.35">
      <c r="H7239" s="35"/>
    </row>
    <row r="7240" spans="8:8" x14ac:dyDescent="0.35">
      <c r="H7240" s="35"/>
    </row>
    <row r="7241" spans="8:8" x14ac:dyDescent="0.35">
      <c r="H7241" s="35"/>
    </row>
    <row r="7242" spans="8:8" x14ac:dyDescent="0.35">
      <c r="H7242" s="35"/>
    </row>
    <row r="7243" spans="8:8" x14ac:dyDescent="0.35">
      <c r="H7243" s="35"/>
    </row>
    <row r="7244" spans="8:8" x14ac:dyDescent="0.35">
      <c r="H7244" s="35"/>
    </row>
    <row r="7245" spans="8:8" x14ac:dyDescent="0.35">
      <c r="H7245" s="35"/>
    </row>
    <row r="7246" spans="8:8" x14ac:dyDescent="0.35">
      <c r="H7246" s="35"/>
    </row>
    <row r="7247" spans="8:8" x14ac:dyDescent="0.35">
      <c r="H7247" s="35"/>
    </row>
    <row r="7248" spans="8:8" x14ac:dyDescent="0.35">
      <c r="H7248" s="35"/>
    </row>
    <row r="7249" spans="8:8" x14ac:dyDescent="0.35">
      <c r="H7249" s="35"/>
    </row>
    <row r="7250" spans="8:8" x14ac:dyDescent="0.35">
      <c r="H7250" s="35"/>
    </row>
    <row r="7251" spans="8:8" x14ac:dyDescent="0.35">
      <c r="H7251" s="35"/>
    </row>
    <row r="7252" spans="8:8" x14ac:dyDescent="0.35">
      <c r="H7252" s="35"/>
    </row>
    <row r="7253" spans="8:8" x14ac:dyDescent="0.35">
      <c r="H7253" s="35"/>
    </row>
    <row r="7254" spans="8:8" x14ac:dyDescent="0.35">
      <c r="H7254" s="35"/>
    </row>
    <row r="7255" spans="8:8" x14ac:dyDescent="0.35">
      <c r="H7255" s="35"/>
    </row>
    <row r="7256" spans="8:8" x14ac:dyDescent="0.35">
      <c r="H7256" s="35"/>
    </row>
    <row r="7257" spans="8:8" x14ac:dyDescent="0.35">
      <c r="H7257" s="35"/>
    </row>
    <row r="7258" spans="8:8" x14ac:dyDescent="0.35">
      <c r="H7258" s="35"/>
    </row>
    <row r="7259" spans="8:8" x14ac:dyDescent="0.35">
      <c r="H7259" s="35"/>
    </row>
    <row r="7260" spans="8:8" x14ac:dyDescent="0.35">
      <c r="H7260" s="35"/>
    </row>
    <row r="7261" spans="8:8" x14ac:dyDescent="0.35">
      <c r="H7261" s="35"/>
    </row>
    <row r="7262" spans="8:8" x14ac:dyDescent="0.35">
      <c r="H7262" s="35"/>
    </row>
    <row r="7263" spans="8:8" x14ac:dyDescent="0.35">
      <c r="H7263" s="35"/>
    </row>
    <row r="7264" spans="8:8" x14ac:dyDescent="0.35">
      <c r="H7264" s="35"/>
    </row>
    <row r="7265" spans="8:8" x14ac:dyDescent="0.35">
      <c r="H7265" s="35"/>
    </row>
    <row r="7266" spans="8:8" x14ac:dyDescent="0.35">
      <c r="H7266" s="35"/>
    </row>
    <row r="7267" spans="8:8" x14ac:dyDescent="0.35">
      <c r="H7267" s="35"/>
    </row>
    <row r="7268" spans="8:8" x14ac:dyDescent="0.35">
      <c r="H7268" s="35"/>
    </row>
    <row r="7269" spans="8:8" x14ac:dyDescent="0.35">
      <c r="H7269" s="35"/>
    </row>
    <row r="7270" spans="8:8" x14ac:dyDescent="0.35">
      <c r="H7270" s="35"/>
    </row>
    <row r="7271" spans="8:8" x14ac:dyDescent="0.35">
      <c r="H7271" s="35"/>
    </row>
    <row r="7272" spans="8:8" x14ac:dyDescent="0.35">
      <c r="H7272" s="35"/>
    </row>
    <row r="7273" spans="8:8" x14ac:dyDescent="0.35">
      <c r="H7273" s="35"/>
    </row>
    <row r="7274" spans="8:8" x14ac:dyDescent="0.35">
      <c r="H7274" s="35"/>
    </row>
    <row r="7275" spans="8:8" x14ac:dyDescent="0.35">
      <c r="H7275" s="35"/>
    </row>
    <row r="7276" spans="8:8" x14ac:dyDescent="0.35">
      <c r="H7276" s="35"/>
    </row>
    <row r="7277" spans="8:8" x14ac:dyDescent="0.35">
      <c r="H7277" s="35"/>
    </row>
    <row r="7278" spans="8:8" x14ac:dyDescent="0.35">
      <c r="H7278" s="35"/>
    </row>
    <row r="7279" spans="8:8" x14ac:dyDescent="0.35">
      <c r="H7279" s="35"/>
    </row>
    <row r="7280" spans="8:8" x14ac:dyDescent="0.35">
      <c r="H7280" s="35"/>
    </row>
    <row r="7281" spans="8:8" x14ac:dyDescent="0.35">
      <c r="H7281" s="35"/>
    </row>
    <row r="7282" spans="8:8" x14ac:dyDescent="0.35">
      <c r="H7282" s="35"/>
    </row>
    <row r="7283" spans="8:8" x14ac:dyDescent="0.35">
      <c r="H7283" s="35"/>
    </row>
    <row r="7284" spans="8:8" x14ac:dyDescent="0.35">
      <c r="H7284" s="35"/>
    </row>
    <row r="7285" spans="8:8" x14ac:dyDescent="0.35">
      <c r="H7285" s="35"/>
    </row>
    <row r="7286" spans="8:8" x14ac:dyDescent="0.35">
      <c r="H7286" s="35"/>
    </row>
    <row r="7287" spans="8:8" x14ac:dyDescent="0.35">
      <c r="H7287" s="35"/>
    </row>
    <row r="7288" spans="8:8" x14ac:dyDescent="0.35">
      <c r="H7288" s="35"/>
    </row>
    <row r="7289" spans="8:8" x14ac:dyDescent="0.35">
      <c r="H7289" s="35"/>
    </row>
    <row r="7290" spans="8:8" x14ac:dyDescent="0.35">
      <c r="H7290" s="35"/>
    </row>
    <row r="7291" spans="8:8" x14ac:dyDescent="0.35">
      <c r="H7291" s="35"/>
    </row>
    <row r="7292" spans="8:8" x14ac:dyDescent="0.35">
      <c r="H7292" s="35"/>
    </row>
    <row r="7293" spans="8:8" x14ac:dyDescent="0.35">
      <c r="H7293" s="35"/>
    </row>
    <row r="7294" spans="8:8" x14ac:dyDescent="0.35">
      <c r="H7294" s="35"/>
    </row>
    <row r="7295" spans="8:8" x14ac:dyDescent="0.35">
      <c r="H7295" s="35"/>
    </row>
    <row r="7296" spans="8:8" x14ac:dyDescent="0.35">
      <c r="H7296" s="35"/>
    </row>
    <row r="7297" spans="8:8" x14ac:dyDescent="0.35">
      <c r="H7297" s="35"/>
    </row>
    <row r="7298" spans="8:8" x14ac:dyDescent="0.35">
      <c r="H7298" s="35"/>
    </row>
    <row r="7299" spans="8:8" x14ac:dyDescent="0.35">
      <c r="H7299" s="35"/>
    </row>
    <row r="7300" spans="8:8" x14ac:dyDescent="0.35">
      <c r="H7300" s="35"/>
    </row>
    <row r="7301" spans="8:8" x14ac:dyDescent="0.35">
      <c r="H7301" s="35"/>
    </row>
    <row r="7302" spans="8:8" x14ac:dyDescent="0.35">
      <c r="H7302" s="35"/>
    </row>
    <row r="7303" spans="8:8" x14ac:dyDescent="0.35">
      <c r="H7303" s="35"/>
    </row>
    <row r="7304" spans="8:8" x14ac:dyDescent="0.35">
      <c r="H7304" s="35"/>
    </row>
    <row r="7305" spans="8:8" x14ac:dyDescent="0.35">
      <c r="H7305" s="35"/>
    </row>
    <row r="7306" spans="8:8" x14ac:dyDescent="0.35">
      <c r="H7306" s="35"/>
    </row>
    <row r="7307" spans="8:8" x14ac:dyDescent="0.35">
      <c r="H7307" s="35"/>
    </row>
    <row r="7308" spans="8:8" x14ac:dyDescent="0.35">
      <c r="H7308" s="35"/>
    </row>
    <row r="7309" spans="8:8" x14ac:dyDescent="0.35">
      <c r="H7309" s="35"/>
    </row>
    <row r="7310" spans="8:8" x14ac:dyDescent="0.35">
      <c r="H7310" s="35"/>
    </row>
    <row r="7311" spans="8:8" x14ac:dyDescent="0.35">
      <c r="H7311" s="35"/>
    </row>
    <row r="7312" spans="8:8" x14ac:dyDescent="0.35">
      <c r="H7312" s="35"/>
    </row>
    <row r="7313" spans="8:8" x14ac:dyDescent="0.35">
      <c r="H7313" s="35"/>
    </row>
    <row r="7314" spans="8:8" x14ac:dyDescent="0.35">
      <c r="H7314" s="35"/>
    </row>
    <row r="7315" spans="8:8" x14ac:dyDescent="0.35">
      <c r="H7315" s="35"/>
    </row>
    <row r="7316" spans="8:8" x14ac:dyDescent="0.35">
      <c r="H7316" s="35"/>
    </row>
    <row r="7317" spans="8:8" x14ac:dyDescent="0.35">
      <c r="H7317" s="35"/>
    </row>
    <row r="7318" spans="8:8" x14ac:dyDescent="0.35">
      <c r="H7318" s="35"/>
    </row>
    <row r="7319" spans="8:8" x14ac:dyDescent="0.35">
      <c r="H7319" s="35"/>
    </row>
    <row r="7320" spans="8:8" x14ac:dyDescent="0.35">
      <c r="H7320" s="35"/>
    </row>
    <row r="7321" spans="8:8" x14ac:dyDescent="0.35">
      <c r="H7321" s="35"/>
    </row>
    <row r="7322" spans="8:8" x14ac:dyDescent="0.35">
      <c r="H7322" s="35"/>
    </row>
    <row r="7323" spans="8:8" x14ac:dyDescent="0.35">
      <c r="H7323" s="35"/>
    </row>
    <row r="7324" spans="8:8" x14ac:dyDescent="0.35">
      <c r="H7324" s="35"/>
    </row>
    <row r="7325" spans="8:8" x14ac:dyDescent="0.35">
      <c r="H7325" s="35"/>
    </row>
    <row r="7326" spans="8:8" x14ac:dyDescent="0.35">
      <c r="H7326" s="35"/>
    </row>
    <row r="7327" spans="8:8" x14ac:dyDescent="0.35">
      <c r="H7327" s="35"/>
    </row>
    <row r="7328" spans="8:8" x14ac:dyDescent="0.35">
      <c r="H7328" s="35"/>
    </row>
    <row r="7329" spans="8:8" x14ac:dyDescent="0.35">
      <c r="H7329" s="35"/>
    </row>
    <row r="7330" spans="8:8" x14ac:dyDescent="0.35">
      <c r="H7330" s="35"/>
    </row>
    <row r="7331" spans="8:8" x14ac:dyDescent="0.35">
      <c r="H7331" s="35"/>
    </row>
    <row r="7332" spans="8:8" x14ac:dyDescent="0.35">
      <c r="H7332" s="35"/>
    </row>
    <row r="7333" spans="8:8" x14ac:dyDescent="0.35">
      <c r="H7333" s="35"/>
    </row>
    <row r="7334" spans="8:8" x14ac:dyDescent="0.35">
      <c r="H7334" s="35"/>
    </row>
    <row r="7335" spans="8:8" x14ac:dyDescent="0.35">
      <c r="H7335" s="35"/>
    </row>
    <row r="7336" spans="8:8" x14ac:dyDescent="0.35">
      <c r="H7336" s="35"/>
    </row>
    <row r="7337" spans="8:8" x14ac:dyDescent="0.35">
      <c r="H7337" s="35"/>
    </row>
    <row r="7338" spans="8:8" x14ac:dyDescent="0.35">
      <c r="H7338" s="35"/>
    </row>
    <row r="7339" spans="8:8" x14ac:dyDescent="0.35">
      <c r="H7339" s="35"/>
    </row>
    <row r="7340" spans="8:8" x14ac:dyDescent="0.35">
      <c r="H7340" s="35"/>
    </row>
    <row r="7341" spans="8:8" x14ac:dyDescent="0.35">
      <c r="H7341" s="35"/>
    </row>
    <row r="7342" spans="8:8" x14ac:dyDescent="0.35">
      <c r="H7342" s="35"/>
    </row>
    <row r="7343" spans="8:8" x14ac:dyDescent="0.35">
      <c r="H7343" s="35"/>
    </row>
    <row r="7344" spans="8:8" x14ac:dyDescent="0.35">
      <c r="H7344" s="35"/>
    </row>
    <row r="7345" spans="8:8" x14ac:dyDescent="0.35">
      <c r="H7345" s="35"/>
    </row>
    <row r="7346" spans="8:8" x14ac:dyDescent="0.35">
      <c r="H7346" s="35"/>
    </row>
    <row r="7347" spans="8:8" x14ac:dyDescent="0.35">
      <c r="H7347" s="35"/>
    </row>
    <row r="7348" spans="8:8" x14ac:dyDescent="0.35">
      <c r="H7348" s="35"/>
    </row>
    <row r="7349" spans="8:8" x14ac:dyDescent="0.35">
      <c r="H7349" s="35"/>
    </row>
    <row r="7350" spans="8:8" x14ac:dyDescent="0.35">
      <c r="H7350" s="35"/>
    </row>
    <row r="7351" spans="8:8" x14ac:dyDescent="0.35">
      <c r="H7351" s="35"/>
    </row>
    <row r="7352" spans="8:8" x14ac:dyDescent="0.35">
      <c r="H7352" s="35"/>
    </row>
    <row r="7353" spans="8:8" x14ac:dyDescent="0.35">
      <c r="H7353" s="35"/>
    </row>
    <row r="7354" spans="8:8" x14ac:dyDescent="0.35">
      <c r="H7354" s="35"/>
    </row>
    <row r="7355" spans="8:8" x14ac:dyDescent="0.35">
      <c r="H7355" s="35"/>
    </row>
    <row r="7356" spans="8:8" x14ac:dyDescent="0.35">
      <c r="H7356" s="35"/>
    </row>
    <row r="7357" spans="8:8" x14ac:dyDescent="0.35">
      <c r="H7357" s="35"/>
    </row>
    <row r="7358" spans="8:8" x14ac:dyDescent="0.35">
      <c r="H7358" s="35"/>
    </row>
    <row r="7359" spans="8:8" x14ac:dyDescent="0.35">
      <c r="H7359" s="35"/>
    </row>
    <row r="7360" spans="8:8" x14ac:dyDescent="0.35">
      <c r="H7360" s="35"/>
    </row>
    <row r="7361" spans="8:8" x14ac:dyDescent="0.35">
      <c r="H7361" s="35"/>
    </row>
    <row r="7362" spans="8:8" x14ac:dyDescent="0.35">
      <c r="H7362" s="35"/>
    </row>
    <row r="7363" spans="8:8" x14ac:dyDescent="0.35">
      <c r="H7363" s="35"/>
    </row>
    <row r="7364" spans="8:8" x14ac:dyDescent="0.35">
      <c r="H7364" s="35"/>
    </row>
    <row r="7365" spans="8:8" x14ac:dyDescent="0.35">
      <c r="H7365" s="35"/>
    </row>
    <row r="7366" spans="8:8" x14ac:dyDescent="0.35">
      <c r="H7366" s="35"/>
    </row>
    <row r="7367" spans="8:8" x14ac:dyDescent="0.35">
      <c r="H7367" s="35"/>
    </row>
    <row r="7368" spans="8:8" x14ac:dyDescent="0.35">
      <c r="H7368" s="35"/>
    </row>
    <row r="7369" spans="8:8" x14ac:dyDescent="0.35">
      <c r="H7369" s="35"/>
    </row>
    <row r="7370" spans="8:8" x14ac:dyDescent="0.35">
      <c r="H7370" s="35"/>
    </row>
    <row r="7371" spans="8:8" x14ac:dyDescent="0.35">
      <c r="H7371" s="35"/>
    </row>
    <row r="7372" spans="8:8" x14ac:dyDescent="0.35">
      <c r="H7372" s="35"/>
    </row>
    <row r="7373" spans="8:8" x14ac:dyDescent="0.35">
      <c r="H7373" s="35"/>
    </row>
    <row r="7374" spans="8:8" x14ac:dyDescent="0.35">
      <c r="H7374" s="35"/>
    </row>
    <row r="7375" spans="8:8" x14ac:dyDescent="0.35">
      <c r="H7375" s="35"/>
    </row>
    <row r="7376" spans="8:8" x14ac:dyDescent="0.35">
      <c r="H7376" s="35"/>
    </row>
    <row r="7377" spans="8:8" x14ac:dyDescent="0.35">
      <c r="H7377" s="35"/>
    </row>
    <row r="7378" spans="8:8" x14ac:dyDescent="0.35">
      <c r="H7378" s="35"/>
    </row>
    <row r="7379" spans="8:8" x14ac:dyDescent="0.35">
      <c r="H7379" s="35"/>
    </row>
    <row r="7380" spans="8:8" x14ac:dyDescent="0.35">
      <c r="H7380" s="35"/>
    </row>
    <row r="7381" spans="8:8" x14ac:dyDescent="0.35">
      <c r="H7381" s="35"/>
    </row>
    <row r="7382" spans="8:8" x14ac:dyDescent="0.35">
      <c r="H7382" s="35"/>
    </row>
    <row r="7383" spans="8:8" x14ac:dyDescent="0.35">
      <c r="H7383" s="35"/>
    </row>
    <row r="7384" spans="8:8" x14ac:dyDescent="0.35">
      <c r="H7384" s="35"/>
    </row>
    <row r="7385" spans="8:8" x14ac:dyDescent="0.35">
      <c r="H7385" s="35"/>
    </row>
    <row r="7386" spans="8:8" x14ac:dyDescent="0.35">
      <c r="H7386" s="35"/>
    </row>
    <row r="7387" spans="8:8" x14ac:dyDescent="0.35">
      <c r="H7387" s="35"/>
    </row>
    <row r="7388" spans="8:8" x14ac:dyDescent="0.35">
      <c r="H7388" s="35"/>
    </row>
    <row r="7389" spans="8:8" x14ac:dyDescent="0.35">
      <c r="H7389" s="35"/>
    </row>
    <row r="7390" spans="8:8" x14ac:dyDescent="0.35">
      <c r="H7390" s="35"/>
    </row>
    <row r="7391" spans="8:8" x14ac:dyDescent="0.35">
      <c r="H7391" s="35"/>
    </row>
    <row r="7392" spans="8:8" x14ac:dyDescent="0.35">
      <c r="H7392" s="35"/>
    </row>
    <row r="7393" spans="8:8" x14ac:dyDescent="0.35">
      <c r="H7393" s="35"/>
    </row>
    <row r="7394" spans="8:8" x14ac:dyDescent="0.35">
      <c r="H7394" s="35"/>
    </row>
    <row r="7395" spans="8:8" x14ac:dyDescent="0.35">
      <c r="H7395" s="35"/>
    </row>
    <row r="7396" spans="8:8" x14ac:dyDescent="0.35">
      <c r="H7396" s="35"/>
    </row>
    <row r="7397" spans="8:8" x14ac:dyDescent="0.35">
      <c r="H7397" s="35"/>
    </row>
    <row r="7398" spans="8:8" x14ac:dyDescent="0.35">
      <c r="H7398" s="35"/>
    </row>
    <row r="7399" spans="8:8" x14ac:dyDescent="0.35">
      <c r="H7399" s="35"/>
    </row>
    <row r="7400" spans="8:8" x14ac:dyDescent="0.35">
      <c r="H7400" s="35"/>
    </row>
    <row r="7401" spans="8:8" x14ac:dyDescent="0.35">
      <c r="H7401" s="35"/>
    </row>
    <row r="7402" spans="8:8" x14ac:dyDescent="0.35">
      <c r="H7402" s="35"/>
    </row>
    <row r="7403" spans="8:8" x14ac:dyDescent="0.35">
      <c r="H7403" s="35"/>
    </row>
    <row r="7404" spans="8:8" x14ac:dyDescent="0.35">
      <c r="H7404" s="35"/>
    </row>
    <row r="7405" spans="8:8" x14ac:dyDescent="0.35">
      <c r="H7405" s="35"/>
    </row>
    <row r="7406" spans="8:8" x14ac:dyDescent="0.35">
      <c r="H7406" s="35"/>
    </row>
    <row r="7407" spans="8:8" x14ac:dyDescent="0.35">
      <c r="H7407" s="35"/>
    </row>
    <row r="7408" spans="8:8" x14ac:dyDescent="0.35">
      <c r="H7408" s="35"/>
    </row>
    <row r="7409" spans="8:8" x14ac:dyDescent="0.35">
      <c r="H7409" s="35"/>
    </row>
    <row r="7410" spans="8:8" x14ac:dyDescent="0.35">
      <c r="H7410" s="35"/>
    </row>
    <row r="7411" spans="8:8" x14ac:dyDescent="0.35">
      <c r="H7411" s="35"/>
    </row>
    <row r="7412" spans="8:8" x14ac:dyDescent="0.35">
      <c r="H7412" s="35"/>
    </row>
    <row r="7413" spans="8:8" x14ac:dyDescent="0.35">
      <c r="H7413" s="35"/>
    </row>
    <row r="7414" spans="8:8" x14ac:dyDescent="0.35">
      <c r="H7414" s="35"/>
    </row>
    <row r="7415" spans="8:8" x14ac:dyDescent="0.35">
      <c r="H7415" s="35"/>
    </row>
    <row r="7416" spans="8:8" x14ac:dyDescent="0.35">
      <c r="H7416" s="35"/>
    </row>
    <row r="7417" spans="8:8" x14ac:dyDescent="0.35">
      <c r="H7417" s="35"/>
    </row>
    <row r="7418" spans="8:8" x14ac:dyDescent="0.35">
      <c r="H7418" s="35"/>
    </row>
    <row r="7419" spans="8:8" x14ac:dyDescent="0.35">
      <c r="H7419" s="35"/>
    </row>
    <row r="7420" spans="8:8" x14ac:dyDescent="0.35">
      <c r="H7420" s="35"/>
    </row>
    <row r="7421" spans="8:8" x14ac:dyDescent="0.35">
      <c r="H7421" s="35"/>
    </row>
    <row r="7422" spans="8:8" x14ac:dyDescent="0.35">
      <c r="H7422" s="35"/>
    </row>
    <row r="7423" spans="8:8" x14ac:dyDescent="0.35">
      <c r="H7423" s="35"/>
    </row>
    <row r="7424" spans="8:8" x14ac:dyDescent="0.35">
      <c r="H7424" s="35"/>
    </row>
    <row r="7425" spans="8:8" x14ac:dyDescent="0.35">
      <c r="H7425" s="35"/>
    </row>
    <row r="7426" spans="8:8" x14ac:dyDescent="0.35">
      <c r="H7426" s="35"/>
    </row>
    <row r="7427" spans="8:8" x14ac:dyDescent="0.35">
      <c r="H7427" s="35"/>
    </row>
    <row r="7428" spans="8:8" x14ac:dyDescent="0.35">
      <c r="H7428" s="35"/>
    </row>
    <row r="7429" spans="8:8" x14ac:dyDescent="0.35">
      <c r="H7429" s="35"/>
    </row>
    <row r="7430" spans="8:8" x14ac:dyDescent="0.35">
      <c r="H7430" s="35"/>
    </row>
    <row r="7431" spans="8:8" x14ac:dyDescent="0.35">
      <c r="H7431" s="35"/>
    </row>
    <row r="7432" spans="8:8" x14ac:dyDescent="0.35">
      <c r="H7432" s="35"/>
    </row>
    <row r="7433" spans="8:8" x14ac:dyDescent="0.35">
      <c r="H7433" s="35"/>
    </row>
    <row r="7434" spans="8:8" x14ac:dyDescent="0.35">
      <c r="H7434" s="35"/>
    </row>
    <row r="7435" spans="8:8" x14ac:dyDescent="0.35">
      <c r="H7435" s="35"/>
    </row>
    <row r="7436" spans="8:8" x14ac:dyDescent="0.35">
      <c r="H7436" s="35"/>
    </row>
    <row r="7437" spans="8:8" x14ac:dyDescent="0.35">
      <c r="H7437" s="35"/>
    </row>
    <row r="7438" spans="8:8" x14ac:dyDescent="0.35">
      <c r="H7438" s="35"/>
    </row>
    <row r="7439" spans="8:8" x14ac:dyDescent="0.35">
      <c r="H7439" s="35"/>
    </row>
    <row r="7440" spans="8:8" x14ac:dyDescent="0.35">
      <c r="H7440" s="35"/>
    </row>
    <row r="7441" spans="8:8" x14ac:dyDescent="0.35">
      <c r="H7441" s="35"/>
    </row>
    <row r="7442" spans="8:8" x14ac:dyDescent="0.35">
      <c r="H7442" s="35"/>
    </row>
    <row r="7443" spans="8:8" x14ac:dyDescent="0.35">
      <c r="H7443" s="35"/>
    </row>
    <row r="7444" spans="8:8" x14ac:dyDescent="0.35">
      <c r="H7444" s="35"/>
    </row>
    <row r="7445" spans="8:8" x14ac:dyDescent="0.35">
      <c r="H7445" s="35"/>
    </row>
    <row r="7446" spans="8:8" x14ac:dyDescent="0.35">
      <c r="H7446" s="35"/>
    </row>
    <row r="7447" spans="8:8" x14ac:dyDescent="0.35">
      <c r="H7447" s="35"/>
    </row>
    <row r="7448" spans="8:8" x14ac:dyDescent="0.35">
      <c r="H7448" s="35"/>
    </row>
    <row r="7449" spans="8:8" x14ac:dyDescent="0.35">
      <c r="H7449" s="35"/>
    </row>
    <row r="7450" spans="8:8" x14ac:dyDescent="0.35">
      <c r="H7450" s="35"/>
    </row>
    <row r="7451" spans="8:8" x14ac:dyDescent="0.35">
      <c r="H7451" s="35"/>
    </row>
    <row r="7452" spans="8:8" x14ac:dyDescent="0.35">
      <c r="H7452" s="35"/>
    </row>
    <row r="7453" spans="8:8" x14ac:dyDescent="0.35">
      <c r="H7453" s="35"/>
    </row>
    <row r="7454" spans="8:8" x14ac:dyDescent="0.35">
      <c r="H7454" s="35"/>
    </row>
    <row r="7455" spans="8:8" x14ac:dyDescent="0.35">
      <c r="H7455" s="35"/>
    </row>
    <row r="7456" spans="8:8" x14ac:dyDescent="0.35">
      <c r="H7456" s="35"/>
    </row>
    <row r="7457" spans="8:8" x14ac:dyDescent="0.35">
      <c r="H7457" s="35"/>
    </row>
    <row r="7458" spans="8:8" x14ac:dyDescent="0.35">
      <c r="H7458" s="35"/>
    </row>
    <row r="7459" spans="8:8" x14ac:dyDescent="0.35">
      <c r="H7459" s="35"/>
    </row>
    <row r="7460" spans="8:8" x14ac:dyDescent="0.35">
      <c r="H7460" s="35"/>
    </row>
    <row r="7461" spans="8:8" x14ac:dyDescent="0.35">
      <c r="H7461" s="35"/>
    </row>
    <row r="7462" spans="8:8" x14ac:dyDescent="0.35">
      <c r="H7462" s="35"/>
    </row>
    <row r="7463" spans="8:8" x14ac:dyDescent="0.35">
      <c r="H7463" s="35"/>
    </row>
    <row r="7464" spans="8:8" x14ac:dyDescent="0.35">
      <c r="H7464" s="35"/>
    </row>
    <row r="7465" spans="8:8" x14ac:dyDescent="0.35">
      <c r="H7465" s="35"/>
    </row>
    <row r="7466" spans="8:8" x14ac:dyDescent="0.35">
      <c r="H7466" s="35"/>
    </row>
    <row r="7467" spans="8:8" x14ac:dyDescent="0.35">
      <c r="H7467" s="35"/>
    </row>
    <row r="7468" spans="8:8" x14ac:dyDescent="0.35">
      <c r="H7468" s="35"/>
    </row>
    <row r="7469" spans="8:8" x14ac:dyDescent="0.35">
      <c r="H7469" s="35"/>
    </row>
    <row r="7470" spans="8:8" x14ac:dyDescent="0.35">
      <c r="H7470" s="35"/>
    </row>
    <row r="7471" spans="8:8" x14ac:dyDescent="0.35">
      <c r="H7471" s="35"/>
    </row>
    <row r="7472" spans="8:8" x14ac:dyDescent="0.35">
      <c r="H7472" s="35"/>
    </row>
    <row r="7473" spans="8:8" x14ac:dyDescent="0.35">
      <c r="H7473" s="35"/>
    </row>
    <row r="7474" spans="8:8" x14ac:dyDescent="0.35">
      <c r="H7474" s="35"/>
    </row>
    <row r="7475" spans="8:8" x14ac:dyDescent="0.35">
      <c r="H7475" s="35"/>
    </row>
    <row r="7476" spans="8:8" x14ac:dyDescent="0.35">
      <c r="H7476" s="35"/>
    </row>
    <row r="7477" spans="8:8" x14ac:dyDescent="0.35">
      <c r="H7477" s="35"/>
    </row>
    <row r="7478" spans="8:8" x14ac:dyDescent="0.35">
      <c r="H7478" s="35"/>
    </row>
    <row r="7479" spans="8:8" x14ac:dyDescent="0.35">
      <c r="H7479" s="35"/>
    </row>
    <row r="7480" spans="8:8" x14ac:dyDescent="0.35">
      <c r="H7480" s="35"/>
    </row>
    <row r="7481" spans="8:8" x14ac:dyDescent="0.35">
      <c r="H7481" s="35"/>
    </row>
    <row r="7482" spans="8:8" x14ac:dyDescent="0.35">
      <c r="H7482" s="35"/>
    </row>
    <row r="7483" spans="8:8" x14ac:dyDescent="0.35">
      <c r="H7483" s="35"/>
    </row>
    <row r="7484" spans="8:8" x14ac:dyDescent="0.35">
      <c r="H7484" s="35"/>
    </row>
    <row r="7485" spans="8:8" x14ac:dyDescent="0.35">
      <c r="H7485" s="35"/>
    </row>
    <row r="7486" spans="8:8" x14ac:dyDescent="0.35">
      <c r="H7486" s="35"/>
    </row>
    <row r="7487" spans="8:8" x14ac:dyDescent="0.35">
      <c r="H7487" s="35"/>
    </row>
    <row r="7488" spans="8:8" x14ac:dyDescent="0.35">
      <c r="H7488" s="35"/>
    </row>
    <row r="7489" spans="8:8" x14ac:dyDescent="0.35">
      <c r="H7489" s="35"/>
    </row>
    <row r="7490" spans="8:8" x14ac:dyDescent="0.35">
      <c r="H7490" s="35"/>
    </row>
    <row r="7491" spans="8:8" x14ac:dyDescent="0.35">
      <c r="H7491" s="35"/>
    </row>
    <row r="7492" spans="8:8" x14ac:dyDescent="0.35">
      <c r="H7492" s="35"/>
    </row>
    <row r="7493" spans="8:8" x14ac:dyDescent="0.35">
      <c r="H7493" s="35"/>
    </row>
    <row r="7494" spans="8:8" x14ac:dyDescent="0.35">
      <c r="H7494" s="35"/>
    </row>
    <row r="7495" spans="8:8" x14ac:dyDescent="0.35">
      <c r="H7495" s="35"/>
    </row>
    <row r="7496" spans="8:8" x14ac:dyDescent="0.35">
      <c r="H7496" s="35"/>
    </row>
    <row r="7497" spans="8:8" x14ac:dyDescent="0.35">
      <c r="H7497" s="35"/>
    </row>
    <row r="7498" spans="8:8" x14ac:dyDescent="0.35">
      <c r="H7498" s="35"/>
    </row>
    <row r="7499" spans="8:8" x14ac:dyDescent="0.35">
      <c r="H7499" s="35"/>
    </row>
    <row r="7500" spans="8:8" x14ac:dyDescent="0.35">
      <c r="H7500" s="35"/>
    </row>
    <row r="7501" spans="8:8" x14ac:dyDescent="0.35">
      <c r="H7501" s="35"/>
    </row>
    <row r="7502" spans="8:8" x14ac:dyDescent="0.35">
      <c r="H7502" s="35"/>
    </row>
    <row r="7503" spans="8:8" x14ac:dyDescent="0.35">
      <c r="H7503" s="35"/>
    </row>
    <row r="7504" spans="8:8" x14ac:dyDescent="0.35">
      <c r="H7504" s="35"/>
    </row>
    <row r="7505" spans="8:8" x14ac:dyDescent="0.35">
      <c r="H7505" s="35"/>
    </row>
    <row r="7506" spans="8:8" x14ac:dyDescent="0.35">
      <c r="H7506" s="35"/>
    </row>
    <row r="7507" spans="8:8" x14ac:dyDescent="0.35">
      <c r="H7507" s="35"/>
    </row>
    <row r="7508" spans="8:8" x14ac:dyDescent="0.35">
      <c r="H7508" s="35"/>
    </row>
    <row r="7509" spans="8:8" x14ac:dyDescent="0.35">
      <c r="H7509" s="35"/>
    </row>
    <row r="7510" spans="8:8" x14ac:dyDescent="0.35">
      <c r="H7510" s="35"/>
    </row>
    <row r="7511" spans="8:8" x14ac:dyDescent="0.35">
      <c r="H7511" s="35"/>
    </row>
    <row r="7512" spans="8:8" x14ac:dyDescent="0.35">
      <c r="H7512" s="35"/>
    </row>
    <row r="7513" spans="8:8" x14ac:dyDescent="0.35">
      <c r="H7513" s="35"/>
    </row>
    <row r="7514" spans="8:8" x14ac:dyDescent="0.35">
      <c r="H7514" s="35"/>
    </row>
    <row r="7515" spans="8:8" x14ac:dyDescent="0.35">
      <c r="H7515" s="35"/>
    </row>
    <row r="7516" spans="8:8" x14ac:dyDescent="0.35">
      <c r="H7516" s="35"/>
    </row>
    <row r="7517" spans="8:8" x14ac:dyDescent="0.35">
      <c r="H7517" s="35"/>
    </row>
    <row r="7518" spans="8:8" x14ac:dyDescent="0.35">
      <c r="H7518" s="35"/>
    </row>
    <row r="7519" spans="8:8" x14ac:dyDescent="0.35">
      <c r="H7519" s="35"/>
    </row>
    <row r="7520" spans="8:8" x14ac:dyDescent="0.35">
      <c r="H7520" s="35"/>
    </row>
    <row r="7521" spans="8:8" x14ac:dyDescent="0.35">
      <c r="H7521" s="35"/>
    </row>
    <row r="7522" spans="8:8" x14ac:dyDescent="0.35">
      <c r="H7522" s="35"/>
    </row>
    <row r="7523" spans="8:8" x14ac:dyDescent="0.35">
      <c r="H7523" s="35"/>
    </row>
    <row r="7524" spans="8:8" x14ac:dyDescent="0.35">
      <c r="H7524" s="35"/>
    </row>
    <row r="7525" spans="8:8" x14ac:dyDescent="0.35">
      <c r="H7525" s="35"/>
    </row>
    <row r="7526" spans="8:8" x14ac:dyDescent="0.35">
      <c r="H7526" s="35"/>
    </row>
    <row r="7527" spans="8:8" x14ac:dyDescent="0.35">
      <c r="H7527" s="35"/>
    </row>
    <row r="7528" spans="8:8" x14ac:dyDescent="0.35">
      <c r="H7528" s="35"/>
    </row>
    <row r="7529" spans="8:8" x14ac:dyDescent="0.35">
      <c r="H7529" s="35"/>
    </row>
    <row r="7530" spans="8:8" x14ac:dyDescent="0.35">
      <c r="H7530" s="35"/>
    </row>
    <row r="7531" spans="8:8" x14ac:dyDescent="0.35">
      <c r="H7531" s="35"/>
    </row>
    <row r="7532" spans="8:8" x14ac:dyDescent="0.35">
      <c r="H7532" s="35"/>
    </row>
    <row r="7533" spans="8:8" x14ac:dyDescent="0.35">
      <c r="H7533" s="35"/>
    </row>
    <row r="7534" spans="8:8" x14ac:dyDescent="0.35">
      <c r="H7534" s="35"/>
    </row>
    <row r="7535" spans="8:8" x14ac:dyDescent="0.35">
      <c r="H7535" s="35"/>
    </row>
    <row r="7536" spans="8:8" x14ac:dyDescent="0.35">
      <c r="H7536" s="35"/>
    </row>
    <row r="7537" spans="8:8" x14ac:dyDescent="0.35">
      <c r="H7537" s="35"/>
    </row>
    <row r="7538" spans="8:8" x14ac:dyDescent="0.35">
      <c r="H7538" s="35"/>
    </row>
    <row r="7539" spans="8:8" x14ac:dyDescent="0.35">
      <c r="H7539" s="35"/>
    </row>
    <row r="7540" spans="8:8" x14ac:dyDescent="0.35">
      <c r="H7540" s="35"/>
    </row>
    <row r="7541" spans="8:8" x14ac:dyDescent="0.35">
      <c r="H7541" s="35"/>
    </row>
    <row r="7542" spans="8:8" x14ac:dyDescent="0.35">
      <c r="H7542" s="35"/>
    </row>
    <row r="7543" spans="8:8" x14ac:dyDescent="0.35">
      <c r="H7543" s="35"/>
    </row>
    <row r="7544" spans="8:8" x14ac:dyDescent="0.35">
      <c r="H7544" s="35"/>
    </row>
    <row r="7545" spans="8:8" x14ac:dyDescent="0.35">
      <c r="H7545" s="35"/>
    </row>
    <row r="7546" spans="8:8" x14ac:dyDescent="0.35">
      <c r="H7546" s="35"/>
    </row>
    <row r="7547" spans="8:8" x14ac:dyDescent="0.35">
      <c r="H7547" s="35"/>
    </row>
    <row r="7548" spans="8:8" x14ac:dyDescent="0.35">
      <c r="H7548" s="35"/>
    </row>
    <row r="7549" spans="8:8" x14ac:dyDescent="0.35">
      <c r="H7549" s="35"/>
    </row>
    <row r="7550" spans="8:8" x14ac:dyDescent="0.35">
      <c r="H7550" s="35"/>
    </row>
    <row r="7551" spans="8:8" x14ac:dyDescent="0.35">
      <c r="H7551" s="35"/>
    </row>
    <row r="7552" spans="8:8" x14ac:dyDescent="0.35">
      <c r="H7552" s="35"/>
    </row>
    <row r="7553" spans="8:8" x14ac:dyDescent="0.35">
      <c r="H7553" s="35"/>
    </row>
    <row r="7554" spans="8:8" x14ac:dyDescent="0.35">
      <c r="H7554" s="35"/>
    </row>
    <row r="7555" spans="8:8" x14ac:dyDescent="0.35">
      <c r="H7555" s="35"/>
    </row>
    <row r="7556" spans="8:8" x14ac:dyDescent="0.35">
      <c r="H7556" s="35"/>
    </row>
    <row r="7557" spans="8:8" x14ac:dyDescent="0.35">
      <c r="H7557" s="35"/>
    </row>
    <row r="7558" spans="8:8" x14ac:dyDescent="0.35">
      <c r="H7558" s="35"/>
    </row>
    <row r="7559" spans="8:8" x14ac:dyDescent="0.35">
      <c r="H7559" s="35"/>
    </row>
    <row r="7560" spans="8:8" x14ac:dyDescent="0.35">
      <c r="H7560" s="35"/>
    </row>
    <row r="7561" spans="8:8" x14ac:dyDescent="0.35">
      <c r="H7561" s="35"/>
    </row>
    <row r="7562" spans="8:8" x14ac:dyDescent="0.35">
      <c r="H7562" s="35"/>
    </row>
    <row r="7563" spans="8:8" x14ac:dyDescent="0.35">
      <c r="H7563" s="35"/>
    </row>
    <row r="7564" spans="8:8" x14ac:dyDescent="0.35">
      <c r="H7564" s="35"/>
    </row>
    <row r="7565" spans="8:8" x14ac:dyDescent="0.35">
      <c r="H7565" s="35"/>
    </row>
    <row r="7566" spans="8:8" x14ac:dyDescent="0.35">
      <c r="H7566" s="35"/>
    </row>
    <row r="7567" spans="8:8" x14ac:dyDescent="0.35">
      <c r="H7567" s="35"/>
    </row>
    <row r="7568" spans="8:8" x14ac:dyDescent="0.35">
      <c r="H7568" s="35"/>
    </row>
    <row r="7569" spans="8:8" x14ac:dyDescent="0.35">
      <c r="H7569" s="35"/>
    </row>
    <row r="7570" spans="8:8" x14ac:dyDescent="0.35">
      <c r="H7570" s="35"/>
    </row>
    <row r="7571" spans="8:8" x14ac:dyDescent="0.35">
      <c r="H7571" s="35"/>
    </row>
    <row r="7572" spans="8:8" x14ac:dyDescent="0.35">
      <c r="H7572" s="35"/>
    </row>
    <row r="7573" spans="8:8" x14ac:dyDescent="0.35">
      <c r="H7573" s="35"/>
    </row>
    <row r="7574" spans="8:8" x14ac:dyDescent="0.35">
      <c r="H7574" s="35"/>
    </row>
    <row r="7575" spans="8:8" x14ac:dyDescent="0.35">
      <c r="H7575" s="35"/>
    </row>
    <row r="7576" spans="8:8" x14ac:dyDescent="0.35">
      <c r="H7576" s="35"/>
    </row>
    <row r="7577" spans="8:8" x14ac:dyDescent="0.35">
      <c r="H7577" s="35"/>
    </row>
    <row r="7578" spans="8:8" x14ac:dyDescent="0.35">
      <c r="H7578" s="35"/>
    </row>
    <row r="7579" spans="8:8" x14ac:dyDescent="0.35">
      <c r="H7579" s="35"/>
    </row>
    <row r="7580" spans="8:8" x14ac:dyDescent="0.35">
      <c r="H7580" s="35"/>
    </row>
    <row r="7581" spans="8:8" x14ac:dyDescent="0.35">
      <c r="H7581" s="35"/>
    </row>
    <row r="7582" spans="8:8" x14ac:dyDescent="0.35">
      <c r="H7582" s="35"/>
    </row>
    <row r="7583" spans="8:8" x14ac:dyDescent="0.35">
      <c r="H7583" s="35"/>
    </row>
    <row r="7584" spans="8:8" x14ac:dyDescent="0.35">
      <c r="H7584" s="35"/>
    </row>
    <row r="7585" spans="8:8" x14ac:dyDescent="0.35">
      <c r="H7585" s="35"/>
    </row>
    <row r="7586" spans="8:8" x14ac:dyDescent="0.35">
      <c r="H7586" s="35"/>
    </row>
    <row r="7587" spans="8:8" x14ac:dyDescent="0.35">
      <c r="H7587" s="35"/>
    </row>
    <row r="7588" spans="8:8" x14ac:dyDescent="0.35">
      <c r="H7588" s="35"/>
    </row>
    <row r="7589" spans="8:8" x14ac:dyDescent="0.35">
      <c r="H7589" s="35"/>
    </row>
    <row r="7590" spans="8:8" x14ac:dyDescent="0.35">
      <c r="H7590" s="35"/>
    </row>
    <row r="7591" spans="8:8" x14ac:dyDescent="0.35">
      <c r="H7591" s="35"/>
    </row>
    <row r="7592" spans="8:8" x14ac:dyDescent="0.35">
      <c r="H7592" s="35"/>
    </row>
    <row r="7593" spans="8:8" x14ac:dyDescent="0.35">
      <c r="H7593" s="35"/>
    </row>
    <row r="7594" spans="8:8" x14ac:dyDescent="0.35">
      <c r="H7594" s="35"/>
    </row>
    <row r="7595" spans="8:8" x14ac:dyDescent="0.35">
      <c r="H7595" s="35"/>
    </row>
    <row r="7596" spans="8:8" x14ac:dyDescent="0.35">
      <c r="H7596" s="35"/>
    </row>
    <row r="7597" spans="8:8" x14ac:dyDescent="0.35">
      <c r="H7597" s="35"/>
    </row>
    <row r="7598" spans="8:8" x14ac:dyDescent="0.35">
      <c r="H7598" s="35"/>
    </row>
    <row r="7599" spans="8:8" x14ac:dyDescent="0.35">
      <c r="H7599" s="35"/>
    </row>
    <row r="7600" spans="8:8" x14ac:dyDescent="0.35">
      <c r="H7600" s="35"/>
    </row>
    <row r="7601" spans="8:8" x14ac:dyDescent="0.35">
      <c r="H7601" s="35"/>
    </row>
    <row r="7602" spans="8:8" x14ac:dyDescent="0.35">
      <c r="H7602" s="35"/>
    </row>
    <row r="7603" spans="8:8" x14ac:dyDescent="0.35">
      <c r="H7603" s="35"/>
    </row>
    <row r="7604" spans="8:8" x14ac:dyDescent="0.35">
      <c r="H7604" s="35"/>
    </row>
    <row r="7605" spans="8:8" x14ac:dyDescent="0.35">
      <c r="H7605" s="35"/>
    </row>
    <row r="7606" spans="8:8" x14ac:dyDescent="0.35">
      <c r="H7606" s="35"/>
    </row>
    <row r="7607" spans="8:8" x14ac:dyDescent="0.35">
      <c r="H7607" s="35"/>
    </row>
    <row r="7608" spans="8:8" x14ac:dyDescent="0.35">
      <c r="H7608" s="35"/>
    </row>
    <row r="7609" spans="8:8" x14ac:dyDescent="0.35">
      <c r="H7609" s="35"/>
    </row>
    <row r="7610" spans="8:8" x14ac:dyDescent="0.35">
      <c r="H7610" s="35"/>
    </row>
    <row r="7611" spans="8:8" x14ac:dyDescent="0.35">
      <c r="H7611" s="35"/>
    </row>
    <row r="7612" spans="8:8" x14ac:dyDescent="0.35">
      <c r="H7612" s="35"/>
    </row>
    <row r="7613" spans="8:8" x14ac:dyDescent="0.35">
      <c r="H7613" s="35"/>
    </row>
    <row r="7614" spans="8:8" x14ac:dyDescent="0.35">
      <c r="H7614" s="35"/>
    </row>
    <row r="7615" spans="8:8" x14ac:dyDescent="0.35">
      <c r="H7615" s="35"/>
    </row>
    <row r="7616" spans="8:8" x14ac:dyDescent="0.35">
      <c r="H7616" s="35"/>
    </row>
    <row r="7617" spans="8:8" x14ac:dyDescent="0.35">
      <c r="H7617" s="35"/>
    </row>
    <row r="7618" spans="8:8" x14ac:dyDescent="0.35">
      <c r="H7618" s="35"/>
    </row>
    <row r="7619" spans="8:8" x14ac:dyDescent="0.35">
      <c r="H7619" s="35"/>
    </row>
    <row r="7620" spans="8:8" x14ac:dyDescent="0.35">
      <c r="H7620" s="35"/>
    </row>
    <row r="7621" spans="8:8" x14ac:dyDescent="0.35">
      <c r="H7621" s="35"/>
    </row>
    <row r="7622" spans="8:8" x14ac:dyDescent="0.35">
      <c r="H7622" s="35"/>
    </row>
    <row r="7623" spans="8:8" x14ac:dyDescent="0.35">
      <c r="H7623" s="35"/>
    </row>
    <row r="7624" spans="8:8" x14ac:dyDescent="0.35">
      <c r="H7624" s="35"/>
    </row>
    <row r="7625" spans="8:8" x14ac:dyDescent="0.35">
      <c r="H7625" s="35"/>
    </row>
    <row r="7626" spans="8:8" x14ac:dyDescent="0.35">
      <c r="H7626" s="35"/>
    </row>
    <row r="7627" spans="8:8" x14ac:dyDescent="0.35">
      <c r="H7627" s="35"/>
    </row>
    <row r="7628" spans="8:8" x14ac:dyDescent="0.35">
      <c r="H7628" s="35"/>
    </row>
    <row r="7629" spans="8:8" x14ac:dyDescent="0.35">
      <c r="H7629" s="35"/>
    </row>
    <row r="7630" spans="8:8" x14ac:dyDescent="0.35">
      <c r="H7630" s="35"/>
    </row>
    <row r="7631" spans="8:8" x14ac:dyDescent="0.35">
      <c r="H7631" s="35"/>
    </row>
    <row r="7632" spans="8:8" x14ac:dyDescent="0.35">
      <c r="H7632" s="35"/>
    </row>
    <row r="7633" spans="8:8" x14ac:dyDescent="0.35">
      <c r="H7633" s="35"/>
    </row>
    <row r="7634" spans="8:8" x14ac:dyDescent="0.35">
      <c r="H7634" s="35"/>
    </row>
    <row r="7635" spans="8:8" x14ac:dyDescent="0.35">
      <c r="H7635" s="35"/>
    </row>
    <row r="7636" spans="8:8" x14ac:dyDescent="0.35">
      <c r="H7636" s="35"/>
    </row>
    <row r="7637" spans="8:8" x14ac:dyDescent="0.35">
      <c r="H7637" s="35"/>
    </row>
    <row r="7638" spans="8:8" x14ac:dyDescent="0.35">
      <c r="H7638" s="35"/>
    </row>
    <row r="7639" spans="8:8" x14ac:dyDescent="0.35">
      <c r="H7639" s="35"/>
    </row>
    <row r="7640" spans="8:8" x14ac:dyDescent="0.35">
      <c r="H7640" s="35"/>
    </row>
    <row r="7641" spans="8:8" x14ac:dyDescent="0.35">
      <c r="H7641" s="35"/>
    </row>
    <row r="7642" spans="8:8" x14ac:dyDescent="0.35">
      <c r="H7642" s="35"/>
    </row>
    <row r="7643" spans="8:8" x14ac:dyDescent="0.35">
      <c r="H7643" s="35"/>
    </row>
    <row r="7644" spans="8:8" x14ac:dyDescent="0.35">
      <c r="H7644" s="35"/>
    </row>
    <row r="7645" spans="8:8" x14ac:dyDescent="0.35">
      <c r="H7645" s="35"/>
    </row>
    <row r="7646" spans="8:8" x14ac:dyDescent="0.35">
      <c r="H7646" s="35"/>
    </row>
    <row r="7647" spans="8:8" x14ac:dyDescent="0.35">
      <c r="H7647" s="35"/>
    </row>
    <row r="7648" spans="8:8" x14ac:dyDescent="0.35">
      <c r="H7648" s="35"/>
    </row>
    <row r="7649" spans="8:8" x14ac:dyDescent="0.35">
      <c r="H7649" s="35"/>
    </row>
    <row r="7650" spans="8:8" x14ac:dyDescent="0.35">
      <c r="H7650" s="35"/>
    </row>
    <row r="7651" spans="8:8" x14ac:dyDescent="0.35">
      <c r="H7651" s="35"/>
    </row>
    <row r="7652" spans="8:8" x14ac:dyDescent="0.35">
      <c r="H7652" s="35"/>
    </row>
    <row r="7653" spans="8:8" x14ac:dyDescent="0.35">
      <c r="H7653" s="35"/>
    </row>
    <row r="7654" spans="8:8" x14ac:dyDescent="0.35">
      <c r="H7654" s="35"/>
    </row>
    <row r="7655" spans="8:8" x14ac:dyDescent="0.35">
      <c r="H7655" s="35"/>
    </row>
    <row r="7656" spans="8:8" x14ac:dyDescent="0.35">
      <c r="H7656" s="35"/>
    </row>
    <row r="7657" spans="8:8" x14ac:dyDescent="0.35">
      <c r="H7657" s="35"/>
    </row>
    <row r="7658" spans="8:8" x14ac:dyDescent="0.35">
      <c r="H7658" s="35"/>
    </row>
    <row r="7659" spans="8:8" x14ac:dyDescent="0.35">
      <c r="H7659" s="35"/>
    </row>
    <row r="7660" spans="8:8" x14ac:dyDescent="0.35">
      <c r="H7660" s="35"/>
    </row>
    <row r="7661" spans="8:8" x14ac:dyDescent="0.35">
      <c r="H7661" s="35"/>
    </row>
    <row r="7662" spans="8:8" x14ac:dyDescent="0.35">
      <c r="H7662" s="35"/>
    </row>
    <row r="7663" spans="8:8" x14ac:dyDescent="0.35">
      <c r="H7663" s="35"/>
    </row>
    <row r="7664" spans="8:8" x14ac:dyDescent="0.35">
      <c r="H7664" s="35"/>
    </row>
    <row r="7665" spans="8:8" x14ac:dyDescent="0.35">
      <c r="H7665" s="35"/>
    </row>
    <row r="7666" spans="8:8" x14ac:dyDescent="0.35">
      <c r="H7666" s="35"/>
    </row>
    <row r="7667" spans="8:8" x14ac:dyDescent="0.35">
      <c r="H7667" s="35"/>
    </row>
    <row r="7668" spans="8:8" x14ac:dyDescent="0.35">
      <c r="H7668" s="35"/>
    </row>
    <row r="7669" spans="8:8" x14ac:dyDescent="0.35">
      <c r="H7669" s="35"/>
    </row>
    <row r="7670" spans="8:8" x14ac:dyDescent="0.35">
      <c r="H7670" s="35"/>
    </row>
    <row r="7671" spans="8:8" x14ac:dyDescent="0.35">
      <c r="H7671" s="35"/>
    </row>
    <row r="7672" spans="8:8" x14ac:dyDescent="0.35">
      <c r="H7672" s="35"/>
    </row>
    <row r="7673" spans="8:8" x14ac:dyDescent="0.35">
      <c r="H7673" s="35"/>
    </row>
    <row r="7674" spans="8:8" x14ac:dyDescent="0.35">
      <c r="H7674" s="35"/>
    </row>
    <row r="7675" spans="8:8" x14ac:dyDescent="0.35">
      <c r="H7675" s="35"/>
    </row>
    <row r="7676" spans="8:8" x14ac:dyDescent="0.35">
      <c r="H7676" s="35"/>
    </row>
    <row r="7677" spans="8:8" x14ac:dyDescent="0.35">
      <c r="H7677" s="35"/>
    </row>
    <row r="7678" spans="8:8" x14ac:dyDescent="0.35">
      <c r="H7678" s="35"/>
    </row>
    <row r="7679" spans="8:8" x14ac:dyDescent="0.35">
      <c r="H7679" s="35"/>
    </row>
    <row r="7680" spans="8:8" x14ac:dyDescent="0.35">
      <c r="H7680" s="35"/>
    </row>
    <row r="7681" spans="8:8" x14ac:dyDescent="0.35">
      <c r="H7681" s="35"/>
    </row>
    <row r="7682" spans="8:8" x14ac:dyDescent="0.35">
      <c r="H7682" s="35"/>
    </row>
    <row r="7683" spans="8:8" x14ac:dyDescent="0.35">
      <c r="H7683" s="35"/>
    </row>
    <row r="7684" spans="8:8" x14ac:dyDescent="0.35">
      <c r="H7684" s="35"/>
    </row>
    <row r="7685" spans="8:8" x14ac:dyDescent="0.35">
      <c r="H7685" s="35"/>
    </row>
    <row r="7686" spans="8:8" x14ac:dyDescent="0.35">
      <c r="H7686" s="35"/>
    </row>
    <row r="7687" spans="8:8" x14ac:dyDescent="0.35">
      <c r="H7687" s="35"/>
    </row>
    <row r="7688" spans="8:8" x14ac:dyDescent="0.35">
      <c r="H7688" s="35"/>
    </row>
    <row r="7689" spans="8:8" x14ac:dyDescent="0.35">
      <c r="H7689" s="35"/>
    </row>
    <row r="7690" spans="8:8" x14ac:dyDescent="0.35">
      <c r="H7690" s="35"/>
    </row>
    <row r="7691" spans="8:8" x14ac:dyDescent="0.35">
      <c r="H7691" s="35"/>
    </row>
    <row r="7692" spans="8:8" x14ac:dyDescent="0.35">
      <c r="H7692" s="35"/>
    </row>
    <row r="7693" spans="8:8" x14ac:dyDescent="0.35">
      <c r="H7693" s="35"/>
    </row>
    <row r="7694" spans="8:8" x14ac:dyDescent="0.35">
      <c r="H7694" s="35"/>
    </row>
    <row r="7695" spans="8:8" x14ac:dyDescent="0.35">
      <c r="H7695" s="35"/>
    </row>
    <row r="7696" spans="8:8" x14ac:dyDescent="0.35">
      <c r="H7696" s="35"/>
    </row>
    <row r="7697" spans="8:8" x14ac:dyDescent="0.35">
      <c r="H7697" s="35"/>
    </row>
    <row r="7698" spans="8:8" x14ac:dyDescent="0.35">
      <c r="H7698" s="35"/>
    </row>
    <row r="7699" spans="8:8" x14ac:dyDescent="0.35">
      <c r="H7699" s="35"/>
    </row>
    <row r="7700" spans="8:8" x14ac:dyDescent="0.35">
      <c r="H7700" s="35"/>
    </row>
    <row r="7701" spans="8:8" x14ac:dyDescent="0.35">
      <c r="H7701" s="35"/>
    </row>
    <row r="7702" spans="8:8" x14ac:dyDescent="0.35">
      <c r="H7702" s="35"/>
    </row>
    <row r="7703" spans="8:8" x14ac:dyDescent="0.35">
      <c r="H7703" s="35"/>
    </row>
    <row r="7704" spans="8:8" x14ac:dyDescent="0.35">
      <c r="H7704" s="35"/>
    </row>
    <row r="7705" spans="8:8" x14ac:dyDescent="0.35">
      <c r="H7705" s="35"/>
    </row>
    <row r="7706" spans="8:8" x14ac:dyDescent="0.35">
      <c r="H7706" s="35"/>
    </row>
    <row r="7707" spans="8:8" x14ac:dyDescent="0.35">
      <c r="H7707" s="35"/>
    </row>
    <row r="7708" spans="8:8" x14ac:dyDescent="0.35">
      <c r="H7708" s="35"/>
    </row>
    <row r="7709" spans="8:8" x14ac:dyDescent="0.35">
      <c r="H7709" s="35"/>
    </row>
    <row r="7710" spans="8:8" x14ac:dyDescent="0.35">
      <c r="H7710" s="35"/>
    </row>
    <row r="7711" spans="8:8" x14ac:dyDescent="0.35">
      <c r="H7711" s="35"/>
    </row>
    <row r="7712" spans="8:8" x14ac:dyDescent="0.35">
      <c r="H7712" s="35"/>
    </row>
    <row r="7713" spans="8:8" x14ac:dyDescent="0.35">
      <c r="H7713" s="35"/>
    </row>
    <row r="7714" spans="8:8" x14ac:dyDescent="0.35">
      <c r="H7714" s="35"/>
    </row>
    <row r="7715" spans="8:8" x14ac:dyDescent="0.35">
      <c r="H7715" s="35"/>
    </row>
    <row r="7716" spans="8:8" x14ac:dyDescent="0.35">
      <c r="H7716" s="35"/>
    </row>
    <row r="7717" spans="8:8" x14ac:dyDescent="0.35">
      <c r="H7717" s="35"/>
    </row>
    <row r="7718" spans="8:8" x14ac:dyDescent="0.35">
      <c r="H7718" s="35"/>
    </row>
    <row r="7719" spans="8:8" x14ac:dyDescent="0.35">
      <c r="H7719" s="35"/>
    </row>
    <row r="7720" spans="8:8" x14ac:dyDescent="0.35">
      <c r="H7720" s="35"/>
    </row>
    <row r="7721" spans="8:8" x14ac:dyDescent="0.35">
      <c r="H7721" s="35"/>
    </row>
    <row r="7722" spans="8:8" x14ac:dyDescent="0.35">
      <c r="H7722" s="35"/>
    </row>
    <row r="7723" spans="8:8" x14ac:dyDescent="0.35">
      <c r="H7723" s="35"/>
    </row>
    <row r="7724" spans="8:8" x14ac:dyDescent="0.35">
      <c r="H7724" s="35"/>
    </row>
    <row r="7725" spans="8:8" x14ac:dyDescent="0.35">
      <c r="H7725" s="35"/>
    </row>
    <row r="7726" spans="8:8" x14ac:dyDescent="0.35">
      <c r="H7726" s="35"/>
    </row>
    <row r="7727" spans="8:8" x14ac:dyDescent="0.35">
      <c r="H7727" s="35"/>
    </row>
    <row r="7728" spans="8:8" x14ac:dyDescent="0.35">
      <c r="H7728" s="35"/>
    </row>
    <row r="7729" spans="8:8" x14ac:dyDescent="0.35">
      <c r="H7729" s="35"/>
    </row>
    <row r="7730" spans="8:8" x14ac:dyDescent="0.35">
      <c r="H7730" s="35"/>
    </row>
    <row r="7731" spans="8:8" x14ac:dyDescent="0.35">
      <c r="H7731" s="35"/>
    </row>
    <row r="7732" spans="8:8" x14ac:dyDescent="0.35">
      <c r="H7732" s="35"/>
    </row>
    <row r="7733" spans="8:8" x14ac:dyDescent="0.35">
      <c r="H7733" s="35"/>
    </row>
    <row r="7734" spans="8:8" x14ac:dyDescent="0.35">
      <c r="H7734" s="35"/>
    </row>
    <row r="7735" spans="8:8" x14ac:dyDescent="0.35">
      <c r="H7735" s="35"/>
    </row>
    <row r="7736" spans="8:8" x14ac:dyDescent="0.35">
      <c r="H7736" s="35"/>
    </row>
    <row r="7737" spans="8:8" x14ac:dyDescent="0.35">
      <c r="H7737" s="35"/>
    </row>
    <row r="7738" spans="8:8" x14ac:dyDescent="0.35">
      <c r="H7738" s="35"/>
    </row>
    <row r="7739" spans="8:8" x14ac:dyDescent="0.35">
      <c r="H7739" s="35"/>
    </row>
    <row r="7740" spans="8:8" x14ac:dyDescent="0.35">
      <c r="H7740" s="35"/>
    </row>
    <row r="7741" spans="8:8" x14ac:dyDescent="0.35">
      <c r="H7741" s="35"/>
    </row>
    <row r="7742" spans="8:8" x14ac:dyDescent="0.35">
      <c r="H7742" s="35"/>
    </row>
    <row r="7743" spans="8:8" x14ac:dyDescent="0.35">
      <c r="H7743" s="35"/>
    </row>
    <row r="7744" spans="8:8" x14ac:dyDescent="0.35">
      <c r="H7744" s="35"/>
    </row>
    <row r="7745" spans="8:8" x14ac:dyDescent="0.35">
      <c r="H7745" s="35"/>
    </row>
    <row r="7746" spans="8:8" x14ac:dyDescent="0.35">
      <c r="H7746" s="35"/>
    </row>
    <row r="7747" spans="8:8" x14ac:dyDescent="0.35">
      <c r="H7747" s="35"/>
    </row>
    <row r="7748" spans="8:8" x14ac:dyDescent="0.35">
      <c r="H7748" s="35"/>
    </row>
    <row r="7749" spans="8:8" x14ac:dyDescent="0.35">
      <c r="H7749" s="35"/>
    </row>
    <row r="7750" spans="8:8" x14ac:dyDescent="0.35">
      <c r="H7750" s="35"/>
    </row>
    <row r="7751" spans="8:8" x14ac:dyDescent="0.35">
      <c r="H7751" s="35"/>
    </row>
    <row r="7752" spans="8:8" x14ac:dyDescent="0.35">
      <c r="H7752" s="35"/>
    </row>
    <row r="7753" spans="8:8" x14ac:dyDescent="0.35">
      <c r="H7753" s="35"/>
    </row>
    <row r="7754" spans="8:8" x14ac:dyDescent="0.35">
      <c r="H7754" s="35"/>
    </row>
    <row r="7755" spans="8:8" x14ac:dyDescent="0.35">
      <c r="H7755" s="35"/>
    </row>
    <row r="7756" spans="8:8" x14ac:dyDescent="0.35">
      <c r="H7756" s="35"/>
    </row>
    <row r="7757" spans="8:8" x14ac:dyDescent="0.35">
      <c r="H7757" s="35"/>
    </row>
    <row r="7758" spans="8:8" x14ac:dyDescent="0.35">
      <c r="H7758" s="35"/>
    </row>
    <row r="7759" spans="8:8" x14ac:dyDescent="0.35">
      <c r="H7759" s="35"/>
    </row>
    <row r="7760" spans="8:8" x14ac:dyDescent="0.35">
      <c r="H7760" s="35"/>
    </row>
    <row r="7761" spans="8:8" x14ac:dyDescent="0.35">
      <c r="H7761" s="35"/>
    </row>
    <row r="7762" spans="8:8" x14ac:dyDescent="0.35">
      <c r="H7762" s="35"/>
    </row>
    <row r="7763" spans="8:8" x14ac:dyDescent="0.35">
      <c r="H7763" s="35"/>
    </row>
    <row r="7764" spans="8:8" x14ac:dyDescent="0.35">
      <c r="H7764" s="35"/>
    </row>
    <row r="7765" spans="8:8" x14ac:dyDescent="0.35">
      <c r="H7765" s="35"/>
    </row>
    <row r="7766" spans="8:8" x14ac:dyDescent="0.35">
      <c r="H7766" s="35"/>
    </row>
    <row r="7767" spans="8:8" x14ac:dyDescent="0.35">
      <c r="H7767" s="35"/>
    </row>
    <row r="7768" spans="8:8" x14ac:dyDescent="0.35">
      <c r="H7768" s="35"/>
    </row>
    <row r="7769" spans="8:8" x14ac:dyDescent="0.35">
      <c r="H7769" s="35"/>
    </row>
    <row r="7770" spans="8:8" x14ac:dyDescent="0.35">
      <c r="H7770" s="35"/>
    </row>
    <row r="7771" spans="8:8" x14ac:dyDescent="0.35">
      <c r="H7771" s="35"/>
    </row>
    <row r="7772" spans="8:8" x14ac:dyDescent="0.35">
      <c r="H7772" s="35"/>
    </row>
    <row r="7773" spans="8:8" x14ac:dyDescent="0.35">
      <c r="H7773" s="35"/>
    </row>
    <row r="7774" spans="8:8" x14ac:dyDescent="0.35">
      <c r="H7774" s="35"/>
    </row>
    <row r="7775" spans="8:8" x14ac:dyDescent="0.35">
      <c r="H7775" s="35"/>
    </row>
    <row r="7776" spans="8:8" x14ac:dyDescent="0.35">
      <c r="H7776" s="35"/>
    </row>
    <row r="7777" spans="8:8" x14ac:dyDescent="0.35">
      <c r="H7777" s="35"/>
    </row>
    <row r="7778" spans="8:8" x14ac:dyDescent="0.35">
      <c r="H7778" s="35"/>
    </row>
    <row r="7779" spans="8:8" x14ac:dyDescent="0.35">
      <c r="H7779" s="35"/>
    </row>
    <row r="7780" spans="8:8" x14ac:dyDescent="0.35">
      <c r="H7780" s="35"/>
    </row>
    <row r="7781" spans="8:8" x14ac:dyDescent="0.35">
      <c r="H7781" s="35"/>
    </row>
    <row r="7782" spans="8:8" x14ac:dyDescent="0.35">
      <c r="H7782" s="35"/>
    </row>
    <row r="7783" spans="8:8" x14ac:dyDescent="0.35">
      <c r="H7783" s="35"/>
    </row>
    <row r="7784" spans="8:8" x14ac:dyDescent="0.35">
      <c r="H7784" s="35"/>
    </row>
    <row r="7785" spans="8:8" x14ac:dyDescent="0.35">
      <c r="H7785" s="35"/>
    </row>
    <row r="7786" spans="8:8" x14ac:dyDescent="0.35">
      <c r="H7786" s="35"/>
    </row>
    <row r="7787" spans="8:8" x14ac:dyDescent="0.35">
      <c r="H7787" s="35"/>
    </row>
    <row r="7788" spans="8:8" x14ac:dyDescent="0.35">
      <c r="H7788" s="35"/>
    </row>
    <row r="7789" spans="8:8" x14ac:dyDescent="0.35">
      <c r="H7789" s="35"/>
    </row>
    <row r="7790" spans="8:8" x14ac:dyDescent="0.35">
      <c r="H7790" s="35"/>
    </row>
    <row r="7791" spans="8:8" x14ac:dyDescent="0.35">
      <c r="H7791" s="35"/>
    </row>
    <row r="7792" spans="8:8" x14ac:dyDescent="0.35">
      <c r="H7792" s="35"/>
    </row>
    <row r="7793" spans="8:8" x14ac:dyDescent="0.35">
      <c r="H7793" s="35"/>
    </row>
    <row r="7794" spans="8:8" x14ac:dyDescent="0.35">
      <c r="H7794" s="35"/>
    </row>
    <row r="7795" spans="8:8" x14ac:dyDescent="0.35">
      <c r="H7795" s="35"/>
    </row>
    <row r="7796" spans="8:8" x14ac:dyDescent="0.35">
      <c r="H7796" s="35"/>
    </row>
    <row r="7797" spans="8:8" x14ac:dyDescent="0.35">
      <c r="H7797" s="35"/>
    </row>
    <row r="7798" spans="8:8" x14ac:dyDescent="0.35">
      <c r="H7798" s="35"/>
    </row>
    <row r="7799" spans="8:8" x14ac:dyDescent="0.35">
      <c r="H7799" s="35"/>
    </row>
    <row r="7800" spans="8:8" x14ac:dyDescent="0.35">
      <c r="H7800" s="35"/>
    </row>
    <row r="7801" spans="8:8" x14ac:dyDescent="0.35">
      <c r="H7801" s="35"/>
    </row>
    <row r="7802" spans="8:8" x14ac:dyDescent="0.35">
      <c r="H7802" s="35"/>
    </row>
    <row r="7803" spans="8:8" x14ac:dyDescent="0.35">
      <c r="H7803" s="35"/>
    </row>
    <row r="7804" spans="8:8" x14ac:dyDescent="0.35">
      <c r="H7804" s="35"/>
    </row>
    <row r="7805" spans="8:8" x14ac:dyDescent="0.35">
      <c r="H7805" s="35"/>
    </row>
    <row r="7806" spans="8:8" x14ac:dyDescent="0.35">
      <c r="H7806" s="35"/>
    </row>
    <row r="7807" spans="8:8" x14ac:dyDescent="0.35">
      <c r="H7807" s="35"/>
    </row>
    <row r="7808" spans="8:8" x14ac:dyDescent="0.35">
      <c r="H7808" s="35"/>
    </row>
    <row r="7809" spans="8:8" x14ac:dyDescent="0.35">
      <c r="H7809" s="35"/>
    </row>
    <row r="7810" spans="8:8" x14ac:dyDescent="0.35">
      <c r="H7810" s="35"/>
    </row>
    <row r="7811" spans="8:8" x14ac:dyDescent="0.35">
      <c r="H7811" s="35"/>
    </row>
    <row r="7812" spans="8:8" x14ac:dyDescent="0.35">
      <c r="H7812" s="35"/>
    </row>
    <row r="7813" spans="8:8" x14ac:dyDescent="0.35">
      <c r="H7813" s="35"/>
    </row>
    <row r="7814" spans="8:8" x14ac:dyDescent="0.35">
      <c r="H7814" s="35"/>
    </row>
    <row r="7815" spans="8:8" x14ac:dyDescent="0.35">
      <c r="H7815" s="35"/>
    </row>
    <row r="7816" spans="8:8" x14ac:dyDescent="0.35">
      <c r="H7816" s="35"/>
    </row>
    <row r="7817" spans="8:8" x14ac:dyDescent="0.35">
      <c r="H7817" s="35"/>
    </row>
    <row r="7818" spans="8:8" x14ac:dyDescent="0.35">
      <c r="H7818" s="35"/>
    </row>
    <row r="7819" spans="8:8" x14ac:dyDescent="0.35">
      <c r="H7819" s="35"/>
    </row>
    <row r="7820" spans="8:8" x14ac:dyDescent="0.35">
      <c r="H7820" s="35"/>
    </row>
    <row r="7821" spans="8:8" x14ac:dyDescent="0.35">
      <c r="H7821" s="35"/>
    </row>
    <row r="7822" spans="8:8" x14ac:dyDescent="0.35">
      <c r="H7822" s="35"/>
    </row>
    <row r="7823" spans="8:8" x14ac:dyDescent="0.35">
      <c r="H7823" s="35"/>
    </row>
    <row r="7824" spans="8:8" x14ac:dyDescent="0.35">
      <c r="H7824" s="35"/>
    </row>
    <row r="7825" spans="8:8" x14ac:dyDescent="0.35">
      <c r="H7825" s="35"/>
    </row>
    <row r="7826" spans="8:8" x14ac:dyDescent="0.35">
      <c r="H7826" s="35"/>
    </row>
    <row r="7827" spans="8:8" x14ac:dyDescent="0.35">
      <c r="H7827" s="35"/>
    </row>
    <row r="7828" spans="8:8" x14ac:dyDescent="0.35">
      <c r="H7828" s="35"/>
    </row>
    <row r="7829" spans="8:8" x14ac:dyDescent="0.35">
      <c r="H7829" s="35"/>
    </row>
    <row r="7830" spans="8:8" x14ac:dyDescent="0.35">
      <c r="H7830" s="35"/>
    </row>
    <row r="7831" spans="8:8" x14ac:dyDescent="0.35">
      <c r="H7831" s="35"/>
    </row>
    <row r="7832" spans="8:8" x14ac:dyDescent="0.35">
      <c r="H7832" s="35"/>
    </row>
    <row r="7833" spans="8:8" x14ac:dyDescent="0.35">
      <c r="H7833" s="35"/>
    </row>
    <row r="7834" spans="8:8" x14ac:dyDescent="0.35">
      <c r="H7834" s="35"/>
    </row>
    <row r="7835" spans="8:8" x14ac:dyDescent="0.35">
      <c r="H7835" s="35"/>
    </row>
    <row r="7836" spans="8:8" x14ac:dyDescent="0.35">
      <c r="H7836" s="35"/>
    </row>
    <row r="7837" spans="8:8" x14ac:dyDescent="0.35">
      <c r="H7837" s="35"/>
    </row>
    <row r="7838" spans="8:8" x14ac:dyDescent="0.35">
      <c r="H7838" s="35"/>
    </row>
    <row r="7839" spans="8:8" x14ac:dyDescent="0.35">
      <c r="H7839" s="35"/>
    </row>
    <row r="7840" spans="8:8" x14ac:dyDescent="0.35">
      <c r="H7840" s="35"/>
    </row>
    <row r="7841" spans="8:8" x14ac:dyDescent="0.35">
      <c r="H7841" s="35"/>
    </row>
    <row r="7842" spans="8:8" x14ac:dyDescent="0.35">
      <c r="H7842" s="35"/>
    </row>
    <row r="7843" spans="8:8" x14ac:dyDescent="0.35">
      <c r="H7843" s="35"/>
    </row>
    <row r="7844" spans="8:8" x14ac:dyDescent="0.35">
      <c r="H7844" s="35"/>
    </row>
    <row r="7845" spans="8:8" x14ac:dyDescent="0.35">
      <c r="H7845" s="35"/>
    </row>
    <row r="7846" spans="8:8" x14ac:dyDescent="0.35">
      <c r="H7846" s="35"/>
    </row>
    <row r="7847" spans="8:8" x14ac:dyDescent="0.35">
      <c r="H7847" s="35"/>
    </row>
    <row r="7848" spans="8:8" x14ac:dyDescent="0.35">
      <c r="H7848" s="35"/>
    </row>
    <row r="7849" spans="8:8" x14ac:dyDescent="0.35">
      <c r="H7849" s="35"/>
    </row>
    <row r="7850" spans="8:8" x14ac:dyDescent="0.35">
      <c r="H7850" s="35"/>
    </row>
    <row r="7851" spans="8:8" x14ac:dyDescent="0.35">
      <c r="H7851" s="35"/>
    </row>
    <row r="7852" spans="8:8" x14ac:dyDescent="0.35">
      <c r="H7852" s="35"/>
    </row>
    <row r="7853" spans="8:8" x14ac:dyDescent="0.35">
      <c r="H7853" s="35"/>
    </row>
    <row r="7854" spans="8:8" x14ac:dyDescent="0.35">
      <c r="H7854" s="35"/>
    </row>
    <row r="7855" spans="8:8" x14ac:dyDescent="0.35">
      <c r="H7855" s="35"/>
    </row>
    <row r="7856" spans="8:8" x14ac:dyDescent="0.35">
      <c r="H7856" s="35"/>
    </row>
    <row r="7857" spans="8:8" x14ac:dyDescent="0.35">
      <c r="H7857" s="35"/>
    </row>
    <row r="7858" spans="8:8" x14ac:dyDescent="0.35">
      <c r="H7858" s="35"/>
    </row>
    <row r="7859" spans="8:8" x14ac:dyDescent="0.35">
      <c r="H7859" s="35"/>
    </row>
    <row r="7860" spans="8:8" x14ac:dyDescent="0.35">
      <c r="H7860" s="35"/>
    </row>
    <row r="7861" spans="8:8" x14ac:dyDescent="0.35">
      <c r="H7861" s="35"/>
    </row>
    <row r="7862" spans="8:8" x14ac:dyDescent="0.35">
      <c r="H7862" s="35"/>
    </row>
    <row r="7863" spans="8:8" x14ac:dyDescent="0.35">
      <c r="H7863" s="35"/>
    </row>
    <row r="7864" spans="8:8" x14ac:dyDescent="0.35">
      <c r="H7864" s="35"/>
    </row>
    <row r="7865" spans="8:8" x14ac:dyDescent="0.35">
      <c r="H7865" s="35"/>
    </row>
    <row r="7866" spans="8:8" x14ac:dyDescent="0.35">
      <c r="H7866" s="35"/>
    </row>
    <row r="7867" spans="8:8" x14ac:dyDescent="0.35">
      <c r="H7867" s="35"/>
    </row>
    <row r="7868" spans="8:8" x14ac:dyDescent="0.35">
      <c r="H7868" s="35"/>
    </row>
    <row r="7869" spans="8:8" x14ac:dyDescent="0.35">
      <c r="H7869" s="35"/>
    </row>
    <row r="7870" spans="8:8" x14ac:dyDescent="0.35">
      <c r="H7870" s="35"/>
    </row>
    <row r="7871" spans="8:8" x14ac:dyDescent="0.35">
      <c r="H7871" s="35"/>
    </row>
    <row r="7872" spans="8:8" x14ac:dyDescent="0.35">
      <c r="H7872" s="35"/>
    </row>
    <row r="7873" spans="8:8" x14ac:dyDescent="0.35">
      <c r="H7873" s="35"/>
    </row>
    <row r="7874" spans="8:8" x14ac:dyDescent="0.35">
      <c r="H7874" s="35"/>
    </row>
    <row r="7875" spans="8:8" x14ac:dyDescent="0.35">
      <c r="H7875" s="35"/>
    </row>
    <row r="7876" spans="8:8" x14ac:dyDescent="0.35">
      <c r="H7876" s="35"/>
    </row>
    <row r="7877" spans="8:8" x14ac:dyDescent="0.35">
      <c r="H7877" s="35"/>
    </row>
    <row r="7878" spans="8:8" x14ac:dyDescent="0.35">
      <c r="H7878" s="35"/>
    </row>
    <row r="7879" spans="8:8" x14ac:dyDescent="0.35">
      <c r="H7879" s="35"/>
    </row>
    <row r="7880" spans="8:8" x14ac:dyDescent="0.35">
      <c r="H7880" s="35"/>
    </row>
    <row r="7881" spans="8:8" x14ac:dyDescent="0.35">
      <c r="H7881" s="35"/>
    </row>
    <row r="7882" spans="8:8" x14ac:dyDescent="0.35">
      <c r="H7882" s="35"/>
    </row>
    <row r="7883" spans="8:8" x14ac:dyDescent="0.35">
      <c r="H7883" s="35"/>
    </row>
    <row r="7884" spans="8:8" x14ac:dyDescent="0.35">
      <c r="H7884" s="35"/>
    </row>
    <row r="7885" spans="8:8" x14ac:dyDescent="0.35">
      <c r="H7885" s="35"/>
    </row>
    <row r="7886" spans="8:8" x14ac:dyDescent="0.35">
      <c r="H7886" s="35"/>
    </row>
    <row r="7887" spans="8:8" x14ac:dyDescent="0.35">
      <c r="H7887" s="35"/>
    </row>
    <row r="7888" spans="8:8" x14ac:dyDescent="0.35">
      <c r="H7888" s="35"/>
    </row>
    <row r="7889" spans="8:8" x14ac:dyDescent="0.35">
      <c r="H7889" s="35"/>
    </row>
    <row r="7890" spans="8:8" x14ac:dyDescent="0.35">
      <c r="H7890" s="35"/>
    </row>
    <row r="7891" spans="8:8" x14ac:dyDescent="0.35">
      <c r="H7891" s="35"/>
    </row>
    <row r="7892" spans="8:8" x14ac:dyDescent="0.35">
      <c r="H7892" s="35"/>
    </row>
    <row r="7893" spans="8:8" x14ac:dyDescent="0.35">
      <c r="H7893" s="35"/>
    </row>
    <row r="7894" spans="8:8" x14ac:dyDescent="0.35">
      <c r="H7894" s="35"/>
    </row>
    <row r="7895" spans="8:8" x14ac:dyDescent="0.35">
      <c r="H7895" s="35"/>
    </row>
    <row r="7896" spans="8:8" x14ac:dyDescent="0.35">
      <c r="H7896" s="35"/>
    </row>
    <row r="7897" spans="8:8" x14ac:dyDescent="0.35">
      <c r="H7897" s="35"/>
    </row>
    <row r="7898" spans="8:8" x14ac:dyDescent="0.35">
      <c r="H7898" s="35"/>
    </row>
    <row r="7899" spans="8:8" x14ac:dyDescent="0.35">
      <c r="H7899" s="35"/>
    </row>
    <row r="7900" spans="8:8" x14ac:dyDescent="0.35">
      <c r="H7900" s="35"/>
    </row>
    <row r="7901" spans="8:8" x14ac:dyDescent="0.35">
      <c r="H7901" s="35"/>
    </row>
    <row r="7902" spans="8:8" x14ac:dyDescent="0.35">
      <c r="H7902" s="35"/>
    </row>
    <row r="7903" spans="8:8" x14ac:dyDescent="0.35">
      <c r="H7903" s="35"/>
    </row>
    <row r="7904" spans="8:8" x14ac:dyDescent="0.35">
      <c r="H7904" s="35"/>
    </row>
    <row r="7905" spans="8:8" x14ac:dyDescent="0.35">
      <c r="H7905" s="35"/>
    </row>
    <row r="7906" spans="8:8" x14ac:dyDescent="0.35">
      <c r="H7906" s="35"/>
    </row>
    <row r="7907" spans="8:8" x14ac:dyDescent="0.35">
      <c r="H7907" s="35"/>
    </row>
    <row r="7908" spans="8:8" x14ac:dyDescent="0.35">
      <c r="H7908" s="35"/>
    </row>
    <row r="7909" spans="8:8" x14ac:dyDescent="0.35">
      <c r="H7909" s="35"/>
    </row>
    <row r="7910" spans="8:8" x14ac:dyDescent="0.35">
      <c r="H7910" s="35"/>
    </row>
    <row r="7911" spans="8:8" x14ac:dyDescent="0.35">
      <c r="H7911" s="35"/>
    </row>
    <row r="7912" spans="8:8" x14ac:dyDescent="0.35">
      <c r="H7912" s="35"/>
    </row>
    <row r="7913" spans="8:8" x14ac:dyDescent="0.35">
      <c r="H7913" s="35"/>
    </row>
    <row r="7914" spans="8:8" x14ac:dyDescent="0.35">
      <c r="H7914" s="35"/>
    </row>
    <row r="7915" spans="8:8" x14ac:dyDescent="0.35">
      <c r="H7915" s="35"/>
    </row>
    <row r="7916" spans="8:8" x14ac:dyDescent="0.35">
      <c r="H7916" s="35"/>
    </row>
    <row r="7917" spans="8:8" x14ac:dyDescent="0.35">
      <c r="H7917" s="35"/>
    </row>
    <row r="7918" spans="8:8" x14ac:dyDescent="0.35">
      <c r="H7918" s="35"/>
    </row>
    <row r="7919" spans="8:8" x14ac:dyDescent="0.35">
      <c r="H7919" s="35"/>
    </row>
    <row r="7920" spans="8:8" x14ac:dyDescent="0.35">
      <c r="H7920" s="35"/>
    </row>
    <row r="7921" spans="8:8" x14ac:dyDescent="0.35">
      <c r="H7921" s="35"/>
    </row>
    <row r="7922" spans="8:8" x14ac:dyDescent="0.35">
      <c r="H7922" s="35"/>
    </row>
    <row r="7923" spans="8:8" x14ac:dyDescent="0.35">
      <c r="H7923" s="35"/>
    </row>
    <row r="7924" spans="8:8" x14ac:dyDescent="0.35">
      <c r="H7924" s="35"/>
    </row>
    <row r="7925" spans="8:8" x14ac:dyDescent="0.35">
      <c r="H7925" s="35"/>
    </row>
    <row r="7926" spans="8:8" x14ac:dyDescent="0.35">
      <c r="H7926" s="35"/>
    </row>
    <row r="7927" spans="8:8" x14ac:dyDescent="0.35">
      <c r="H7927" s="35"/>
    </row>
    <row r="7928" spans="8:8" x14ac:dyDescent="0.35">
      <c r="H7928" s="35"/>
    </row>
    <row r="7929" spans="8:8" x14ac:dyDescent="0.35">
      <c r="H7929" s="35"/>
    </row>
    <row r="7930" spans="8:8" x14ac:dyDescent="0.35">
      <c r="H7930" s="35"/>
    </row>
    <row r="7931" spans="8:8" x14ac:dyDescent="0.35">
      <c r="H7931" s="35"/>
    </row>
    <row r="7932" spans="8:8" x14ac:dyDescent="0.35">
      <c r="H7932" s="35"/>
    </row>
    <row r="7933" spans="8:8" x14ac:dyDescent="0.35">
      <c r="H7933" s="35"/>
    </row>
    <row r="7934" spans="8:8" x14ac:dyDescent="0.35">
      <c r="H7934" s="35"/>
    </row>
    <row r="7935" spans="8:8" x14ac:dyDescent="0.35">
      <c r="H7935" s="35"/>
    </row>
    <row r="7936" spans="8:8" x14ac:dyDescent="0.35">
      <c r="H7936" s="35"/>
    </row>
    <row r="7937" spans="8:8" x14ac:dyDescent="0.35">
      <c r="H7937" s="35"/>
    </row>
    <row r="7938" spans="8:8" x14ac:dyDescent="0.35">
      <c r="H7938" s="35"/>
    </row>
    <row r="7939" spans="8:8" x14ac:dyDescent="0.35">
      <c r="H7939" s="35"/>
    </row>
    <row r="7940" spans="8:8" x14ac:dyDescent="0.35">
      <c r="H7940" s="35"/>
    </row>
    <row r="7941" spans="8:8" x14ac:dyDescent="0.35">
      <c r="H7941" s="35"/>
    </row>
    <row r="7942" spans="8:8" x14ac:dyDescent="0.35">
      <c r="H7942" s="35"/>
    </row>
    <row r="7943" spans="8:8" x14ac:dyDescent="0.35">
      <c r="H7943" s="35"/>
    </row>
    <row r="7944" spans="8:8" x14ac:dyDescent="0.35">
      <c r="H7944" s="35"/>
    </row>
    <row r="7945" spans="8:8" x14ac:dyDescent="0.35">
      <c r="H7945" s="35"/>
    </row>
    <row r="7946" spans="8:8" x14ac:dyDescent="0.35">
      <c r="H7946" s="35"/>
    </row>
    <row r="7947" spans="8:8" x14ac:dyDescent="0.35">
      <c r="H7947" s="35"/>
    </row>
    <row r="7948" spans="8:8" x14ac:dyDescent="0.35">
      <c r="H7948" s="35"/>
    </row>
    <row r="7949" spans="8:8" x14ac:dyDescent="0.35">
      <c r="H7949" s="35"/>
    </row>
    <row r="7950" spans="8:8" x14ac:dyDescent="0.35">
      <c r="H7950" s="35"/>
    </row>
    <row r="7951" spans="8:8" x14ac:dyDescent="0.35">
      <c r="H7951" s="35"/>
    </row>
    <row r="7952" spans="8:8" x14ac:dyDescent="0.35">
      <c r="H7952" s="35"/>
    </row>
    <row r="7953" spans="8:8" x14ac:dyDescent="0.35">
      <c r="H7953" s="35"/>
    </row>
    <row r="7954" spans="8:8" x14ac:dyDescent="0.35">
      <c r="H7954" s="35"/>
    </row>
    <row r="7955" spans="8:8" x14ac:dyDescent="0.35">
      <c r="H7955" s="35"/>
    </row>
    <row r="7956" spans="8:8" x14ac:dyDescent="0.35">
      <c r="H7956" s="35"/>
    </row>
    <row r="7957" spans="8:8" x14ac:dyDescent="0.35">
      <c r="H7957" s="35"/>
    </row>
    <row r="7958" spans="8:8" x14ac:dyDescent="0.35">
      <c r="H7958" s="35"/>
    </row>
    <row r="7959" spans="8:8" x14ac:dyDescent="0.35">
      <c r="H7959" s="35"/>
    </row>
    <row r="7960" spans="8:8" x14ac:dyDescent="0.35">
      <c r="H7960" s="35"/>
    </row>
    <row r="7961" spans="8:8" x14ac:dyDescent="0.35">
      <c r="H7961" s="35"/>
    </row>
    <row r="7962" spans="8:8" x14ac:dyDescent="0.35">
      <c r="H7962" s="35"/>
    </row>
    <row r="7963" spans="8:8" x14ac:dyDescent="0.35">
      <c r="H7963" s="35"/>
    </row>
    <row r="7964" spans="8:8" x14ac:dyDescent="0.35">
      <c r="H7964" s="35"/>
    </row>
    <row r="7965" spans="8:8" x14ac:dyDescent="0.35">
      <c r="H7965" s="35"/>
    </row>
    <row r="7966" spans="8:8" x14ac:dyDescent="0.35">
      <c r="H7966" s="35"/>
    </row>
    <row r="7967" spans="8:8" x14ac:dyDescent="0.35">
      <c r="H7967" s="35"/>
    </row>
    <row r="7968" spans="8:8" x14ac:dyDescent="0.35">
      <c r="H7968" s="35"/>
    </row>
    <row r="7969" spans="8:8" x14ac:dyDescent="0.35">
      <c r="H7969" s="35"/>
    </row>
    <row r="7970" spans="8:8" x14ac:dyDescent="0.35">
      <c r="H7970" s="35"/>
    </row>
    <row r="7971" spans="8:8" x14ac:dyDescent="0.35">
      <c r="H7971" s="35"/>
    </row>
    <row r="7972" spans="8:8" x14ac:dyDescent="0.35">
      <c r="H7972" s="35"/>
    </row>
    <row r="7973" spans="8:8" x14ac:dyDescent="0.35">
      <c r="H7973" s="35"/>
    </row>
    <row r="7974" spans="8:8" x14ac:dyDescent="0.35">
      <c r="H7974" s="35"/>
    </row>
    <row r="7975" spans="8:8" x14ac:dyDescent="0.35">
      <c r="H7975" s="35"/>
    </row>
    <row r="7976" spans="8:8" x14ac:dyDescent="0.35">
      <c r="H7976" s="35"/>
    </row>
    <row r="7977" spans="8:8" x14ac:dyDescent="0.35">
      <c r="H7977" s="35"/>
    </row>
    <row r="7978" spans="8:8" x14ac:dyDescent="0.35">
      <c r="H7978" s="35"/>
    </row>
    <row r="7979" spans="8:8" x14ac:dyDescent="0.35">
      <c r="H7979" s="35"/>
    </row>
    <row r="7980" spans="8:8" x14ac:dyDescent="0.35">
      <c r="H7980" s="35"/>
    </row>
    <row r="7981" spans="8:8" x14ac:dyDescent="0.35">
      <c r="H7981" s="35"/>
    </row>
    <row r="7982" spans="8:8" x14ac:dyDescent="0.35">
      <c r="H7982" s="35"/>
    </row>
    <row r="7983" spans="8:8" x14ac:dyDescent="0.35">
      <c r="H7983" s="35"/>
    </row>
    <row r="7984" spans="8:8" x14ac:dyDescent="0.35">
      <c r="H7984" s="35"/>
    </row>
    <row r="7985" spans="8:8" x14ac:dyDescent="0.35">
      <c r="H7985" s="35"/>
    </row>
    <row r="7986" spans="8:8" x14ac:dyDescent="0.35">
      <c r="H7986" s="35"/>
    </row>
    <row r="7987" spans="8:8" x14ac:dyDescent="0.35">
      <c r="H7987" s="35"/>
    </row>
    <row r="7988" spans="8:8" x14ac:dyDescent="0.35">
      <c r="H7988" s="35"/>
    </row>
    <row r="7989" spans="8:8" x14ac:dyDescent="0.35">
      <c r="H7989" s="35"/>
    </row>
    <row r="7990" spans="8:8" x14ac:dyDescent="0.35">
      <c r="H7990" s="35"/>
    </row>
    <row r="7991" spans="8:8" x14ac:dyDescent="0.35">
      <c r="H7991" s="35"/>
    </row>
    <row r="7992" spans="8:8" x14ac:dyDescent="0.35">
      <c r="H7992" s="35"/>
    </row>
    <row r="7993" spans="8:8" x14ac:dyDescent="0.35">
      <c r="H7993" s="35"/>
    </row>
    <row r="7994" spans="8:8" x14ac:dyDescent="0.35">
      <c r="H7994" s="35"/>
    </row>
    <row r="7995" spans="8:8" x14ac:dyDescent="0.35">
      <c r="H7995" s="35"/>
    </row>
    <row r="7996" spans="8:8" x14ac:dyDescent="0.35">
      <c r="H7996" s="35"/>
    </row>
    <row r="7997" spans="8:8" x14ac:dyDescent="0.35">
      <c r="H7997" s="35"/>
    </row>
    <row r="7998" spans="8:8" x14ac:dyDescent="0.35">
      <c r="H7998" s="35"/>
    </row>
    <row r="7999" spans="8:8" x14ac:dyDescent="0.35">
      <c r="H7999" s="35"/>
    </row>
    <row r="8000" spans="8:8" x14ac:dyDescent="0.35">
      <c r="H8000" s="35"/>
    </row>
    <row r="8001" spans="8:8" x14ac:dyDescent="0.35">
      <c r="H8001" s="35"/>
    </row>
    <row r="8002" spans="8:8" x14ac:dyDescent="0.35">
      <c r="H8002" s="35"/>
    </row>
    <row r="8003" spans="8:8" x14ac:dyDescent="0.35">
      <c r="H8003" s="35"/>
    </row>
    <row r="8004" spans="8:8" x14ac:dyDescent="0.35">
      <c r="H8004" s="35"/>
    </row>
    <row r="8005" spans="8:8" x14ac:dyDescent="0.35">
      <c r="H8005" s="35"/>
    </row>
    <row r="8006" spans="8:8" x14ac:dyDescent="0.35">
      <c r="H8006" s="35"/>
    </row>
    <row r="8007" spans="8:8" x14ac:dyDescent="0.35">
      <c r="H8007" s="35"/>
    </row>
    <row r="8008" spans="8:8" x14ac:dyDescent="0.35">
      <c r="H8008" s="35"/>
    </row>
    <row r="8009" spans="8:8" x14ac:dyDescent="0.35">
      <c r="H8009" s="35"/>
    </row>
    <row r="8010" spans="8:8" x14ac:dyDescent="0.35">
      <c r="H8010" s="35"/>
    </row>
    <row r="8011" spans="8:8" x14ac:dyDescent="0.35">
      <c r="H8011" s="35"/>
    </row>
    <row r="8012" spans="8:8" x14ac:dyDescent="0.35">
      <c r="H8012" s="35"/>
    </row>
    <row r="8013" spans="8:8" x14ac:dyDescent="0.35">
      <c r="H8013" s="35"/>
    </row>
    <row r="8014" spans="8:8" x14ac:dyDescent="0.35">
      <c r="H8014" s="35"/>
    </row>
    <row r="8015" spans="8:8" x14ac:dyDescent="0.35">
      <c r="H8015" s="35"/>
    </row>
    <row r="8016" spans="8:8" x14ac:dyDescent="0.35">
      <c r="H8016" s="35"/>
    </row>
    <row r="8017" spans="8:8" x14ac:dyDescent="0.35">
      <c r="H8017" s="35"/>
    </row>
    <row r="8018" spans="8:8" x14ac:dyDescent="0.35">
      <c r="H8018" s="35"/>
    </row>
    <row r="8019" spans="8:8" x14ac:dyDescent="0.35">
      <c r="H8019" s="35"/>
    </row>
    <row r="8020" spans="8:8" x14ac:dyDescent="0.35">
      <c r="H8020" s="35"/>
    </row>
    <row r="8021" spans="8:8" x14ac:dyDescent="0.35">
      <c r="H8021" s="35"/>
    </row>
    <row r="8022" spans="8:8" x14ac:dyDescent="0.35">
      <c r="H8022" s="35"/>
    </row>
    <row r="8023" spans="8:8" x14ac:dyDescent="0.35">
      <c r="H8023" s="35"/>
    </row>
    <row r="8024" spans="8:8" x14ac:dyDescent="0.35">
      <c r="H8024" s="35"/>
    </row>
    <row r="8025" spans="8:8" x14ac:dyDescent="0.35">
      <c r="H8025" s="35"/>
    </row>
    <row r="8026" spans="8:8" x14ac:dyDescent="0.35">
      <c r="H8026" s="35"/>
    </row>
    <row r="8027" spans="8:8" x14ac:dyDescent="0.35">
      <c r="H8027" s="35"/>
    </row>
    <row r="8028" spans="8:8" x14ac:dyDescent="0.35">
      <c r="H8028" s="35"/>
    </row>
    <row r="8029" spans="8:8" x14ac:dyDescent="0.35">
      <c r="H8029" s="35"/>
    </row>
    <row r="8030" spans="8:8" x14ac:dyDescent="0.35">
      <c r="H8030" s="35"/>
    </row>
    <row r="8031" spans="8:8" x14ac:dyDescent="0.35">
      <c r="H8031" s="35"/>
    </row>
    <row r="8032" spans="8:8" x14ac:dyDescent="0.35">
      <c r="H8032" s="35"/>
    </row>
    <row r="8033" spans="8:8" x14ac:dyDescent="0.35">
      <c r="H8033" s="35"/>
    </row>
    <row r="8034" spans="8:8" x14ac:dyDescent="0.35">
      <c r="H8034" s="35"/>
    </row>
    <row r="8035" spans="8:8" x14ac:dyDescent="0.35">
      <c r="H8035" s="35"/>
    </row>
    <row r="8036" spans="8:8" x14ac:dyDescent="0.35">
      <c r="H8036" s="35"/>
    </row>
    <row r="8037" spans="8:8" x14ac:dyDescent="0.35">
      <c r="H8037" s="35"/>
    </row>
    <row r="8038" spans="8:8" x14ac:dyDescent="0.35">
      <c r="H8038" s="35"/>
    </row>
    <row r="8039" spans="8:8" x14ac:dyDescent="0.35">
      <c r="H8039" s="35"/>
    </row>
    <row r="8040" spans="8:8" x14ac:dyDescent="0.35">
      <c r="H8040" s="35"/>
    </row>
    <row r="8041" spans="8:8" x14ac:dyDescent="0.35">
      <c r="H8041" s="35"/>
    </row>
    <row r="8042" spans="8:8" x14ac:dyDescent="0.35">
      <c r="H8042" s="35"/>
    </row>
    <row r="8043" spans="8:8" x14ac:dyDescent="0.35">
      <c r="H8043" s="35"/>
    </row>
    <row r="8044" spans="8:8" x14ac:dyDescent="0.35">
      <c r="H8044" s="35"/>
    </row>
    <row r="8045" spans="8:8" x14ac:dyDescent="0.35">
      <c r="H8045" s="35"/>
    </row>
    <row r="8046" spans="8:8" x14ac:dyDescent="0.35">
      <c r="H8046" s="35"/>
    </row>
    <row r="8047" spans="8:8" x14ac:dyDescent="0.35">
      <c r="H8047" s="35"/>
    </row>
    <row r="8048" spans="8:8" x14ac:dyDescent="0.35">
      <c r="H8048" s="35"/>
    </row>
    <row r="8049" spans="8:8" x14ac:dyDescent="0.35">
      <c r="H8049" s="35"/>
    </row>
    <row r="8050" spans="8:8" x14ac:dyDescent="0.35">
      <c r="H8050" s="35"/>
    </row>
    <row r="8051" spans="8:8" x14ac:dyDescent="0.35">
      <c r="H8051" s="35"/>
    </row>
    <row r="8052" spans="8:8" x14ac:dyDescent="0.35">
      <c r="H8052" s="35"/>
    </row>
    <row r="8053" spans="8:8" x14ac:dyDescent="0.35">
      <c r="H8053" s="35"/>
    </row>
    <row r="8054" spans="8:8" x14ac:dyDescent="0.35">
      <c r="H8054" s="35"/>
    </row>
    <row r="8055" spans="8:8" x14ac:dyDescent="0.35">
      <c r="H8055" s="35"/>
    </row>
    <row r="8056" spans="8:8" x14ac:dyDescent="0.35">
      <c r="H8056" s="35"/>
    </row>
    <row r="8057" spans="8:8" x14ac:dyDescent="0.35">
      <c r="H8057" s="35"/>
    </row>
    <row r="8058" spans="8:8" x14ac:dyDescent="0.35">
      <c r="H8058" s="35"/>
    </row>
    <row r="8059" spans="8:8" x14ac:dyDescent="0.35">
      <c r="H8059" s="35"/>
    </row>
    <row r="8060" spans="8:8" x14ac:dyDescent="0.35">
      <c r="H8060" s="35"/>
    </row>
    <row r="8061" spans="8:8" x14ac:dyDescent="0.35">
      <c r="H8061" s="35"/>
    </row>
    <row r="8062" spans="8:8" x14ac:dyDescent="0.35">
      <c r="H8062" s="35"/>
    </row>
    <row r="8063" spans="8:8" x14ac:dyDescent="0.35">
      <c r="H8063" s="35"/>
    </row>
    <row r="8064" spans="8:8" x14ac:dyDescent="0.35">
      <c r="H8064" s="35"/>
    </row>
    <row r="8065" spans="8:8" x14ac:dyDescent="0.35">
      <c r="H8065" s="35"/>
    </row>
    <row r="8066" spans="8:8" x14ac:dyDescent="0.35">
      <c r="H8066" s="35"/>
    </row>
    <row r="8067" spans="8:8" x14ac:dyDescent="0.35">
      <c r="H8067" s="35"/>
    </row>
    <row r="8068" spans="8:8" x14ac:dyDescent="0.35">
      <c r="H8068" s="35"/>
    </row>
    <row r="8069" spans="8:8" x14ac:dyDescent="0.35">
      <c r="H8069" s="35"/>
    </row>
    <row r="8070" spans="8:8" x14ac:dyDescent="0.35">
      <c r="H8070" s="35"/>
    </row>
    <row r="8071" spans="8:8" x14ac:dyDescent="0.35">
      <c r="H8071" s="35"/>
    </row>
    <row r="8072" spans="8:8" x14ac:dyDescent="0.35">
      <c r="H8072" s="35"/>
    </row>
    <row r="8073" spans="8:8" x14ac:dyDescent="0.35">
      <c r="H8073" s="35"/>
    </row>
    <row r="8074" spans="8:8" x14ac:dyDescent="0.35">
      <c r="H8074" s="35"/>
    </row>
    <row r="8075" spans="8:8" x14ac:dyDescent="0.35">
      <c r="H8075" s="35"/>
    </row>
    <row r="8076" spans="8:8" x14ac:dyDescent="0.35">
      <c r="H8076" s="35"/>
    </row>
    <row r="8077" spans="8:8" x14ac:dyDescent="0.35">
      <c r="H8077" s="35"/>
    </row>
    <row r="8078" spans="8:8" x14ac:dyDescent="0.35">
      <c r="H8078" s="35"/>
    </row>
    <row r="8079" spans="8:8" x14ac:dyDescent="0.35">
      <c r="H8079" s="35"/>
    </row>
    <row r="8080" spans="8:8" x14ac:dyDescent="0.35">
      <c r="H8080" s="35"/>
    </row>
    <row r="8081" spans="8:8" x14ac:dyDescent="0.35">
      <c r="H8081" s="35"/>
    </row>
    <row r="8082" spans="8:8" x14ac:dyDescent="0.35">
      <c r="H8082" s="35"/>
    </row>
    <row r="8083" spans="8:8" x14ac:dyDescent="0.35">
      <c r="H8083" s="35"/>
    </row>
    <row r="8084" spans="8:8" x14ac:dyDescent="0.35">
      <c r="H8084" s="35"/>
    </row>
    <row r="8085" spans="8:8" x14ac:dyDescent="0.35">
      <c r="H8085" s="35"/>
    </row>
    <row r="8086" spans="8:8" x14ac:dyDescent="0.35">
      <c r="H8086" s="35"/>
    </row>
    <row r="8087" spans="8:8" x14ac:dyDescent="0.35">
      <c r="H8087" s="35"/>
    </row>
    <row r="8088" spans="8:8" x14ac:dyDescent="0.35">
      <c r="H8088" s="35"/>
    </row>
    <row r="8089" spans="8:8" x14ac:dyDescent="0.35">
      <c r="H8089" s="35"/>
    </row>
    <row r="8090" spans="8:8" x14ac:dyDescent="0.35">
      <c r="H8090" s="35"/>
    </row>
    <row r="8091" spans="8:8" x14ac:dyDescent="0.35">
      <c r="H8091" s="35"/>
    </row>
    <row r="8092" spans="8:8" x14ac:dyDescent="0.35">
      <c r="H8092" s="35"/>
    </row>
    <row r="8093" spans="8:8" x14ac:dyDescent="0.35">
      <c r="H8093" s="35"/>
    </row>
    <row r="8094" spans="8:8" x14ac:dyDescent="0.35">
      <c r="H8094" s="35"/>
    </row>
    <row r="8095" spans="8:8" x14ac:dyDescent="0.35">
      <c r="H8095" s="35"/>
    </row>
    <row r="8096" spans="8:8" x14ac:dyDescent="0.35">
      <c r="H8096" s="35"/>
    </row>
    <row r="8097" spans="8:8" x14ac:dyDescent="0.35">
      <c r="H8097" s="35"/>
    </row>
    <row r="8098" spans="8:8" x14ac:dyDescent="0.35">
      <c r="H8098" s="35"/>
    </row>
    <row r="8099" spans="8:8" x14ac:dyDescent="0.35">
      <c r="H8099" s="35"/>
    </row>
    <row r="8100" spans="8:8" x14ac:dyDescent="0.35">
      <c r="H8100" s="35"/>
    </row>
    <row r="8101" spans="8:8" x14ac:dyDescent="0.35">
      <c r="H8101" s="35"/>
    </row>
    <row r="8102" spans="8:8" x14ac:dyDescent="0.35">
      <c r="H8102" s="35"/>
    </row>
    <row r="8103" spans="8:8" x14ac:dyDescent="0.35">
      <c r="H8103" s="35"/>
    </row>
    <row r="8104" spans="8:8" x14ac:dyDescent="0.35">
      <c r="H8104" s="35"/>
    </row>
    <row r="8105" spans="8:8" x14ac:dyDescent="0.35">
      <c r="H8105" s="35"/>
    </row>
    <row r="8106" spans="8:8" x14ac:dyDescent="0.35">
      <c r="H8106" s="35"/>
    </row>
    <row r="8107" spans="8:8" x14ac:dyDescent="0.35">
      <c r="H8107" s="35"/>
    </row>
    <row r="8108" spans="8:8" x14ac:dyDescent="0.35">
      <c r="H8108" s="35"/>
    </row>
    <row r="8109" spans="8:8" x14ac:dyDescent="0.35">
      <c r="H8109" s="35"/>
    </row>
    <row r="8110" spans="8:8" x14ac:dyDescent="0.35">
      <c r="H8110" s="35"/>
    </row>
    <row r="8111" spans="8:8" x14ac:dyDescent="0.35">
      <c r="H8111" s="35"/>
    </row>
    <row r="8112" spans="8:8" x14ac:dyDescent="0.35">
      <c r="H8112" s="35"/>
    </row>
    <row r="8113" spans="8:8" x14ac:dyDescent="0.35">
      <c r="H8113" s="35"/>
    </row>
    <row r="8114" spans="8:8" x14ac:dyDescent="0.35">
      <c r="H8114" s="35"/>
    </row>
    <row r="8115" spans="8:8" x14ac:dyDescent="0.35">
      <c r="H8115" s="35"/>
    </row>
    <row r="8116" spans="8:8" x14ac:dyDescent="0.35">
      <c r="H8116" s="35"/>
    </row>
    <row r="8117" spans="8:8" x14ac:dyDescent="0.35">
      <c r="H8117" s="35"/>
    </row>
    <row r="8118" spans="8:8" x14ac:dyDescent="0.35">
      <c r="H8118" s="35"/>
    </row>
    <row r="8119" spans="8:8" x14ac:dyDescent="0.35">
      <c r="H8119" s="35"/>
    </row>
    <row r="8120" spans="8:8" x14ac:dyDescent="0.35">
      <c r="H8120" s="35"/>
    </row>
    <row r="8121" spans="8:8" x14ac:dyDescent="0.35">
      <c r="H8121" s="35"/>
    </row>
    <row r="8122" spans="8:8" x14ac:dyDescent="0.35">
      <c r="H8122" s="35"/>
    </row>
    <row r="8123" spans="8:8" x14ac:dyDescent="0.35">
      <c r="H8123" s="35"/>
    </row>
    <row r="8124" spans="8:8" x14ac:dyDescent="0.35">
      <c r="H8124" s="35"/>
    </row>
    <row r="8125" spans="8:8" x14ac:dyDescent="0.35">
      <c r="H8125" s="35"/>
    </row>
    <row r="8126" spans="8:8" x14ac:dyDescent="0.35">
      <c r="H8126" s="35"/>
    </row>
    <row r="8127" spans="8:8" x14ac:dyDescent="0.35">
      <c r="H8127" s="35"/>
    </row>
    <row r="8128" spans="8:8" x14ac:dyDescent="0.35">
      <c r="H8128" s="35"/>
    </row>
    <row r="8129" spans="8:8" x14ac:dyDescent="0.35">
      <c r="H8129" s="35"/>
    </row>
    <row r="8130" spans="8:8" x14ac:dyDescent="0.35">
      <c r="H8130" s="35"/>
    </row>
    <row r="8131" spans="8:8" x14ac:dyDescent="0.35">
      <c r="H8131" s="35"/>
    </row>
    <row r="8132" spans="8:8" x14ac:dyDescent="0.35">
      <c r="H8132" s="35"/>
    </row>
    <row r="8133" spans="8:8" x14ac:dyDescent="0.35">
      <c r="H8133" s="35"/>
    </row>
    <row r="8134" spans="8:8" x14ac:dyDescent="0.35">
      <c r="H8134" s="35"/>
    </row>
    <row r="8135" spans="8:8" x14ac:dyDescent="0.35">
      <c r="H8135" s="35"/>
    </row>
    <row r="8136" spans="8:8" x14ac:dyDescent="0.35">
      <c r="H8136" s="35"/>
    </row>
    <row r="8137" spans="8:8" x14ac:dyDescent="0.35">
      <c r="H8137" s="35"/>
    </row>
    <row r="8138" spans="8:8" x14ac:dyDescent="0.35">
      <c r="H8138" s="35"/>
    </row>
    <row r="8139" spans="8:8" x14ac:dyDescent="0.35">
      <c r="H8139" s="35"/>
    </row>
    <row r="8140" spans="8:8" x14ac:dyDescent="0.35">
      <c r="H8140" s="35"/>
    </row>
    <row r="8141" spans="8:8" x14ac:dyDescent="0.35">
      <c r="H8141" s="35"/>
    </row>
    <row r="8142" spans="8:8" x14ac:dyDescent="0.35">
      <c r="H8142" s="35"/>
    </row>
    <row r="8143" spans="8:8" x14ac:dyDescent="0.35">
      <c r="H8143" s="35"/>
    </row>
    <row r="8144" spans="8:8" x14ac:dyDescent="0.35">
      <c r="H8144" s="35"/>
    </row>
    <row r="8145" spans="8:8" x14ac:dyDescent="0.35">
      <c r="H8145" s="35"/>
    </row>
    <row r="8146" spans="8:8" x14ac:dyDescent="0.35">
      <c r="H8146" s="35"/>
    </row>
    <row r="8147" spans="8:8" x14ac:dyDescent="0.35">
      <c r="H8147" s="35"/>
    </row>
    <row r="8148" spans="8:8" x14ac:dyDescent="0.35">
      <c r="H8148" s="35"/>
    </row>
    <row r="8149" spans="8:8" x14ac:dyDescent="0.35">
      <c r="H8149" s="35"/>
    </row>
    <row r="8150" spans="8:8" x14ac:dyDescent="0.35">
      <c r="H8150" s="35"/>
    </row>
    <row r="8151" spans="8:8" x14ac:dyDescent="0.35">
      <c r="H8151" s="35"/>
    </row>
    <row r="8152" spans="8:8" x14ac:dyDescent="0.35">
      <c r="H8152" s="35"/>
    </row>
    <row r="8153" spans="8:8" x14ac:dyDescent="0.35">
      <c r="H8153" s="35"/>
    </row>
    <row r="8154" spans="8:8" x14ac:dyDescent="0.35">
      <c r="H8154" s="35"/>
    </row>
    <row r="8155" spans="8:8" x14ac:dyDescent="0.35">
      <c r="H8155" s="35"/>
    </row>
    <row r="8156" spans="8:8" x14ac:dyDescent="0.35">
      <c r="H8156" s="35"/>
    </row>
    <row r="8157" spans="8:8" x14ac:dyDescent="0.35">
      <c r="H8157" s="35"/>
    </row>
    <row r="8158" spans="8:8" x14ac:dyDescent="0.35">
      <c r="H8158" s="35"/>
    </row>
    <row r="8159" spans="8:8" x14ac:dyDescent="0.35">
      <c r="H8159" s="35"/>
    </row>
    <row r="8160" spans="8:8" x14ac:dyDescent="0.35">
      <c r="H8160" s="35"/>
    </row>
    <row r="8161" spans="8:8" x14ac:dyDescent="0.35">
      <c r="H8161" s="35"/>
    </row>
    <row r="8162" spans="8:8" x14ac:dyDescent="0.35">
      <c r="H8162" s="35"/>
    </row>
    <row r="8163" spans="8:8" x14ac:dyDescent="0.35">
      <c r="H8163" s="35"/>
    </row>
    <row r="8164" spans="8:8" x14ac:dyDescent="0.35">
      <c r="H8164" s="35"/>
    </row>
    <row r="8165" spans="8:8" x14ac:dyDescent="0.35">
      <c r="H8165" s="35"/>
    </row>
    <row r="8166" spans="8:8" x14ac:dyDescent="0.35">
      <c r="H8166" s="35"/>
    </row>
    <row r="8167" spans="8:8" x14ac:dyDescent="0.35">
      <c r="H8167" s="35"/>
    </row>
    <row r="8168" spans="8:8" x14ac:dyDescent="0.35">
      <c r="H8168" s="35"/>
    </row>
    <row r="8169" spans="8:8" x14ac:dyDescent="0.35">
      <c r="H8169" s="35"/>
    </row>
    <row r="8170" spans="8:8" x14ac:dyDescent="0.35">
      <c r="H8170" s="35"/>
    </row>
    <row r="8171" spans="8:8" x14ac:dyDescent="0.35">
      <c r="H8171" s="35"/>
    </row>
    <row r="8172" spans="8:8" x14ac:dyDescent="0.35">
      <c r="H8172" s="35"/>
    </row>
    <row r="8173" spans="8:8" x14ac:dyDescent="0.35">
      <c r="H8173" s="35"/>
    </row>
    <row r="8174" spans="8:8" x14ac:dyDescent="0.35">
      <c r="H8174" s="35"/>
    </row>
    <row r="8175" spans="8:8" x14ac:dyDescent="0.35">
      <c r="H8175" s="35"/>
    </row>
    <row r="8176" spans="8:8" x14ac:dyDescent="0.35">
      <c r="H8176" s="35"/>
    </row>
    <row r="8177" spans="8:8" x14ac:dyDescent="0.35">
      <c r="H8177" s="35"/>
    </row>
    <row r="8178" spans="8:8" x14ac:dyDescent="0.35">
      <c r="H8178" s="35"/>
    </row>
    <row r="8179" spans="8:8" x14ac:dyDescent="0.35">
      <c r="H8179" s="35"/>
    </row>
    <row r="8180" spans="8:8" x14ac:dyDescent="0.35">
      <c r="H8180" s="35"/>
    </row>
    <row r="8181" spans="8:8" x14ac:dyDescent="0.35">
      <c r="H8181" s="35"/>
    </row>
    <row r="8182" spans="8:8" x14ac:dyDescent="0.35">
      <c r="H8182" s="35"/>
    </row>
    <row r="8183" spans="8:8" x14ac:dyDescent="0.35">
      <c r="H8183" s="35"/>
    </row>
    <row r="8184" spans="8:8" x14ac:dyDescent="0.35">
      <c r="H8184" s="35"/>
    </row>
    <row r="8185" spans="8:8" x14ac:dyDescent="0.35">
      <c r="H8185" s="35"/>
    </row>
    <row r="8186" spans="8:8" x14ac:dyDescent="0.35">
      <c r="H8186" s="35"/>
    </row>
    <row r="8187" spans="8:8" x14ac:dyDescent="0.35">
      <c r="H8187" s="35"/>
    </row>
    <row r="8188" spans="8:8" x14ac:dyDescent="0.35">
      <c r="H8188" s="35"/>
    </row>
    <row r="8189" spans="8:8" x14ac:dyDescent="0.35">
      <c r="H8189" s="35"/>
    </row>
    <row r="8190" spans="8:8" x14ac:dyDescent="0.35">
      <c r="H8190" s="35"/>
    </row>
    <row r="8191" spans="8:8" x14ac:dyDescent="0.35">
      <c r="H8191" s="35"/>
    </row>
    <row r="8192" spans="8:8" x14ac:dyDescent="0.35">
      <c r="H8192" s="35"/>
    </row>
    <row r="8193" spans="8:8" x14ac:dyDescent="0.35">
      <c r="H8193" s="35"/>
    </row>
    <row r="8194" spans="8:8" x14ac:dyDescent="0.35">
      <c r="H8194" s="35"/>
    </row>
    <row r="8195" spans="8:8" x14ac:dyDescent="0.35">
      <c r="H8195" s="35"/>
    </row>
    <row r="8196" spans="8:8" x14ac:dyDescent="0.35">
      <c r="H8196" s="35"/>
    </row>
    <row r="8197" spans="8:8" x14ac:dyDescent="0.35">
      <c r="H8197" s="35"/>
    </row>
    <row r="8198" spans="8:8" x14ac:dyDescent="0.35">
      <c r="H8198" s="35"/>
    </row>
    <row r="8199" spans="8:8" x14ac:dyDescent="0.35">
      <c r="H8199" s="35"/>
    </row>
    <row r="8200" spans="8:8" x14ac:dyDescent="0.35">
      <c r="H8200" s="35"/>
    </row>
    <row r="8201" spans="8:8" x14ac:dyDescent="0.35">
      <c r="H8201" s="35"/>
    </row>
    <row r="8202" spans="8:8" x14ac:dyDescent="0.35">
      <c r="H8202" s="35"/>
    </row>
    <row r="8203" spans="8:8" x14ac:dyDescent="0.35">
      <c r="H8203" s="35"/>
    </row>
    <row r="8204" spans="8:8" x14ac:dyDescent="0.35">
      <c r="H8204" s="35"/>
    </row>
    <row r="8205" spans="8:8" x14ac:dyDescent="0.35">
      <c r="H8205" s="35"/>
    </row>
    <row r="8206" spans="8:8" x14ac:dyDescent="0.35">
      <c r="H8206" s="35"/>
    </row>
    <row r="8207" spans="8:8" x14ac:dyDescent="0.35">
      <c r="H8207" s="35"/>
    </row>
    <row r="8208" spans="8:8" x14ac:dyDescent="0.35">
      <c r="H8208" s="35"/>
    </row>
    <row r="8209" spans="8:8" x14ac:dyDescent="0.35">
      <c r="H8209" s="35"/>
    </row>
    <row r="8210" spans="8:8" x14ac:dyDescent="0.35">
      <c r="H8210" s="35"/>
    </row>
    <row r="8211" spans="8:8" x14ac:dyDescent="0.35">
      <c r="H8211" s="35"/>
    </row>
    <row r="8212" spans="8:8" x14ac:dyDescent="0.35">
      <c r="H8212" s="35"/>
    </row>
    <row r="8213" spans="8:8" x14ac:dyDescent="0.35">
      <c r="H8213" s="35"/>
    </row>
    <row r="8214" spans="8:8" x14ac:dyDescent="0.35">
      <c r="H8214" s="35"/>
    </row>
    <row r="8215" spans="8:8" x14ac:dyDescent="0.35">
      <c r="H8215" s="35"/>
    </row>
    <row r="8216" spans="8:8" x14ac:dyDescent="0.35">
      <c r="H8216" s="35"/>
    </row>
    <row r="8217" spans="8:8" x14ac:dyDescent="0.35">
      <c r="H8217" s="35"/>
    </row>
    <row r="8218" spans="8:8" x14ac:dyDescent="0.35">
      <c r="H8218" s="35"/>
    </row>
    <row r="8219" spans="8:8" x14ac:dyDescent="0.35">
      <c r="H8219" s="35"/>
    </row>
    <row r="8220" spans="8:8" x14ac:dyDescent="0.35">
      <c r="H8220" s="35"/>
    </row>
    <row r="8221" spans="8:8" x14ac:dyDescent="0.35">
      <c r="H8221" s="35"/>
    </row>
    <row r="8222" spans="8:8" x14ac:dyDescent="0.35">
      <c r="H8222" s="35"/>
    </row>
    <row r="8223" spans="8:8" x14ac:dyDescent="0.35">
      <c r="H8223" s="35"/>
    </row>
    <row r="8224" spans="8:8" x14ac:dyDescent="0.35">
      <c r="H8224" s="35"/>
    </row>
    <row r="8225" spans="8:8" x14ac:dyDescent="0.35">
      <c r="H8225" s="35"/>
    </row>
    <row r="8226" spans="8:8" x14ac:dyDescent="0.35">
      <c r="H8226" s="35"/>
    </row>
    <row r="8227" spans="8:8" x14ac:dyDescent="0.35">
      <c r="H8227" s="35"/>
    </row>
    <row r="8228" spans="8:8" x14ac:dyDescent="0.35">
      <c r="H8228" s="35"/>
    </row>
    <row r="8229" spans="8:8" x14ac:dyDescent="0.35">
      <c r="H8229" s="35"/>
    </row>
    <row r="8230" spans="8:8" x14ac:dyDescent="0.35">
      <c r="H8230" s="35"/>
    </row>
    <row r="8231" spans="8:8" x14ac:dyDescent="0.35">
      <c r="H8231" s="35"/>
    </row>
    <row r="8232" spans="8:8" x14ac:dyDescent="0.35">
      <c r="H8232" s="35"/>
    </row>
    <row r="8233" spans="8:8" x14ac:dyDescent="0.35">
      <c r="H8233" s="35"/>
    </row>
    <row r="8234" spans="8:8" x14ac:dyDescent="0.35">
      <c r="H8234" s="35"/>
    </row>
    <row r="8235" spans="8:8" x14ac:dyDescent="0.35">
      <c r="H8235" s="35"/>
    </row>
    <row r="8236" spans="8:8" x14ac:dyDescent="0.35">
      <c r="H8236" s="35"/>
    </row>
    <row r="8237" spans="8:8" x14ac:dyDescent="0.35">
      <c r="H8237" s="35"/>
    </row>
    <row r="8238" spans="8:8" x14ac:dyDescent="0.35">
      <c r="H8238" s="35"/>
    </row>
    <row r="8239" spans="8:8" x14ac:dyDescent="0.35">
      <c r="H8239" s="35"/>
    </row>
    <row r="8240" spans="8:8" x14ac:dyDescent="0.35">
      <c r="H8240" s="35"/>
    </row>
    <row r="8241" spans="8:8" x14ac:dyDescent="0.35">
      <c r="H8241" s="35"/>
    </row>
    <row r="8242" spans="8:8" x14ac:dyDescent="0.35">
      <c r="H8242" s="35"/>
    </row>
    <row r="8243" spans="8:8" x14ac:dyDescent="0.35">
      <c r="H8243" s="35"/>
    </row>
    <row r="8244" spans="8:8" x14ac:dyDescent="0.35">
      <c r="H8244" s="35"/>
    </row>
    <row r="8245" spans="8:8" x14ac:dyDescent="0.35">
      <c r="H8245" s="35"/>
    </row>
    <row r="8246" spans="8:8" x14ac:dyDescent="0.35">
      <c r="H8246" s="35"/>
    </row>
    <row r="8247" spans="8:8" x14ac:dyDescent="0.35">
      <c r="H8247" s="35"/>
    </row>
    <row r="8248" spans="8:8" x14ac:dyDescent="0.35">
      <c r="H8248" s="35"/>
    </row>
    <row r="8249" spans="8:8" x14ac:dyDescent="0.35">
      <c r="H8249" s="35"/>
    </row>
    <row r="8250" spans="8:8" x14ac:dyDescent="0.35">
      <c r="H8250" s="35"/>
    </row>
    <row r="8251" spans="8:8" x14ac:dyDescent="0.35">
      <c r="H8251" s="35"/>
    </row>
    <row r="8252" spans="8:8" x14ac:dyDescent="0.35">
      <c r="H8252" s="35"/>
    </row>
    <row r="8253" spans="8:8" x14ac:dyDescent="0.35">
      <c r="H8253" s="35"/>
    </row>
    <row r="8254" spans="8:8" x14ac:dyDescent="0.35">
      <c r="H8254" s="35"/>
    </row>
    <row r="8255" spans="8:8" x14ac:dyDescent="0.35">
      <c r="H8255" s="35"/>
    </row>
    <row r="8256" spans="8:8" x14ac:dyDescent="0.35">
      <c r="H8256" s="35"/>
    </row>
    <row r="8257" spans="8:8" x14ac:dyDescent="0.35">
      <c r="H8257" s="35"/>
    </row>
    <row r="8258" spans="8:8" x14ac:dyDescent="0.35">
      <c r="H8258" s="35"/>
    </row>
    <row r="8259" spans="8:8" x14ac:dyDescent="0.35">
      <c r="H8259" s="35"/>
    </row>
    <row r="8260" spans="8:8" x14ac:dyDescent="0.35">
      <c r="H8260" s="35"/>
    </row>
    <row r="8261" spans="8:8" x14ac:dyDescent="0.35">
      <c r="H8261" s="35"/>
    </row>
    <row r="8262" spans="8:8" x14ac:dyDescent="0.35">
      <c r="H8262" s="35"/>
    </row>
    <row r="8263" spans="8:8" x14ac:dyDescent="0.35">
      <c r="H8263" s="35"/>
    </row>
    <row r="8264" spans="8:8" x14ac:dyDescent="0.35">
      <c r="H8264" s="35"/>
    </row>
    <row r="8265" spans="8:8" x14ac:dyDescent="0.35">
      <c r="H8265" s="35"/>
    </row>
    <row r="8266" spans="8:8" x14ac:dyDescent="0.35">
      <c r="H8266" s="35"/>
    </row>
    <row r="8267" spans="8:8" x14ac:dyDescent="0.35">
      <c r="H8267" s="35"/>
    </row>
    <row r="8268" spans="8:8" x14ac:dyDescent="0.35">
      <c r="H8268" s="35"/>
    </row>
    <row r="8269" spans="8:8" x14ac:dyDescent="0.35">
      <c r="H8269" s="35"/>
    </row>
    <row r="8270" spans="8:8" x14ac:dyDescent="0.35">
      <c r="H8270" s="35"/>
    </row>
    <row r="8271" spans="8:8" x14ac:dyDescent="0.35">
      <c r="H8271" s="35"/>
    </row>
    <row r="8272" spans="8:8" x14ac:dyDescent="0.35">
      <c r="H8272" s="35"/>
    </row>
    <row r="8273" spans="8:8" x14ac:dyDescent="0.35">
      <c r="H8273" s="35"/>
    </row>
    <row r="8274" spans="8:8" x14ac:dyDescent="0.35">
      <c r="H8274" s="35"/>
    </row>
    <row r="8275" spans="8:8" x14ac:dyDescent="0.35">
      <c r="H8275" s="35"/>
    </row>
    <row r="8276" spans="8:8" x14ac:dyDescent="0.35">
      <c r="H8276" s="35"/>
    </row>
    <row r="8277" spans="8:8" x14ac:dyDescent="0.35">
      <c r="H8277" s="35"/>
    </row>
    <row r="8278" spans="8:8" x14ac:dyDescent="0.35">
      <c r="H8278" s="35"/>
    </row>
    <row r="8279" spans="8:8" x14ac:dyDescent="0.35">
      <c r="H8279" s="35"/>
    </row>
    <row r="8280" spans="8:8" x14ac:dyDescent="0.35">
      <c r="H8280" s="35"/>
    </row>
    <row r="8281" spans="8:8" x14ac:dyDescent="0.35">
      <c r="H8281" s="35"/>
    </row>
    <row r="8282" spans="8:8" x14ac:dyDescent="0.35">
      <c r="H8282" s="35"/>
    </row>
    <row r="8283" spans="8:8" x14ac:dyDescent="0.35">
      <c r="H8283" s="35"/>
    </row>
    <row r="8284" spans="8:8" x14ac:dyDescent="0.35">
      <c r="H8284" s="35"/>
    </row>
    <row r="8285" spans="8:8" x14ac:dyDescent="0.35">
      <c r="H8285" s="35"/>
    </row>
    <row r="8286" spans="8:8" x14ac:dyDescent="0.35">
      <c r="H8286" s="35"/>
    </row>
    <row r="8287" spans="8:8" x14ac:dyDescent="0.35">
      <c r="H8287" s="35"/>
    </row>
    <row r="8288" spans="8:8" x14ac:dyDescent="0.35">
      <c r="H8288" s="35"/>
    </row>
    <row r="8289" spans="8:8" x14ac:dyDescent="0.35">
      <c r="H8289" s="35"/>
    </row>
    <row r="8290" spans="8:8" x14ac:dyDescent="0.35">
      <c r="H8290" s="35"/>
    </row>
    <row r="8291" spans="8:8" x14ac:dyDescent="0.35">
      <c r="H8291" s="35"/>
    </row>
    <row r="8292" spans="8:8" x14ac:dyDescent="0.35">
      <c r="H8292" s="35"/>
    </row>
    <row r="8293" spans="8:8" x14ac:dyDescent="0.35">
      <c r="H8293" s="35"/>
    </row>
    <row r="8294" spans="8:8" x14ac:dyDescent="0.35">
      <c r="H8294" s="35"/>
    </row>
    <row r="8295" spans="8:8" x14ac:dyDescent="0.35">
      <c r="H8295" s="35"/>
    </row>
    <row r="8296" spans="8:8" x14ac:dyDescent="0.35">
      <c r="H8296" s="35"/>
    </row>
    <row r="8297" spans="8:8" x14ac:dyDescent="0.35">
      <c r="H8297" s="35"/>
    </row>
    <row r="8298" spans="8:8" x14ac:dyDescent="0.35">
      <c r="H8298" s="35"/>
    </row>
    <row r="8299" spans="8:8" x14ac:dyDescent="0.35">
      <c r="H8299" s="35"/>
    </row>
    <row r="8300" spans="8:8" x14ac:dyDescent="0.35">
      <c r="H8300" s="35"/>
    </row>
    <row r="8301" spans="8:8" x14ac:dyDescent="0.35">
      <c r="H8301" s="35"/>
    </row>
    <row r="8302" spans="8:8" x14ac:dyDescent="0.35">
      <c r="H8302" s="35"/>
    </row>
    <row r="8303" spans="8:8" x14ac:dyDescent="0.35">
      <c r="H8303" s="35"/>
    </row>
    <row r="8304" spans="8:8" x14ac:dyDescent="0.35">
      <c r="H8304" s="35"/>
    </row>
    <row r="8305" spans="8:8" x14ac:dyDescent="0.35">
      <c r="H8305" s="35"/>
    </row>
    <row r="8306" spans="8:8" x14ac:dyDescent="0.35">
      <c r="H8306" s="35"/>
    </row>
    <row r="8307" spans="8:8" x14ac:dyDescent="0.35">
      <c r="H8307" s="35"/>
    </row>
    <row r="8308" spans="8:8" x14ac:dyDescent="0.35">
      <c r="H8308" s="35"/>
    </row>
    <row r="8309" spans="8:8" x14ac:dyDescent="0.35">
      <c r="H8309" s="35"/>
    </row>
    <row r="8310" spans="8:8" x14ac:dyDescent="0.35">
      <c r="H8310" s="35"/>
    </row>
    <row r="8311" spans="8:8" x14ac:dyDescent="0.35">
      <c r="H8311" s="35"/>
    </row>
    <row r="8312" spans="8:8" x14ac:dyDescent="0.35">
      <c r="H8312" s="35"/>
    </row>
    <row r="8313" spans="8:8" x14ac:dyDescent="0.35">
      <c r="H8313" s="35"/>
    </row>
    <row r="8314" spans="8:8" x14ac:dyDescent="0.35">
      <c r="H8314" s="35"/>
    </row>
    <row r="8315" spans="8:8" x14ac:dyDescent="0.35">
      <c r="H8315" s="35"/>
    </row>
    <row r="8316" spans="8:8" x14ac:dyDescent="0.35">
      <c r="H8316" s="35"/>
    </row>
    <row r="8317" spans="8:8" x14ac:dyDescent="0.35">
      <c r="H8317" s="35"/>
    </row>
    <row r="8318" spans="8:8" x14ac:dyDescent="0.35">
      <c r="H8318" s="35"/>
    </row>
    <row r="8319" spans="8:8" x14ac:dyDescent="0.35">
      <c r="H8319" s="35"/>
    </row>
    <row r="8320" spans="8:8" x14ac:dyDescent="0.35">
      <c r="H8320" s="35"/>
    </row>
    <row r="8321" spans="8:8" x14ac:dyDescent="0.35">
      <c r="H8321" s="35"/>
    </row>
    <row r="8322" spans="8:8" x14ac:dyDescent="0.35">
      <c r="H8322" s="35"/>
    </row>
    <row r="8323" spans="8:8" x14ac:dyDescent="0.35">
      <c r="H8323" s="35"/>
    </row>
    <row r="8324" spans="8:8" x14ac:dyDescent="0.35">
      <c r="H8324" s="35"/>
    </row>
    <row r="8325" spans="8:8" x14ac:dyDescent="0.35">
      <c r="H8325" s="35"/>
    </row>
    <row r="8326" spans="8:8" x14ac:dyDescent="0.35">
      <c r="H8326" s="35"/>
    </row>
    <row r="8327" spans="8:8" x14ac:dyDescent="0.35">
      <c r="H8327" s="35"/>
    </row>
    <row r="8328" spans="8:8" x14ac:dyDescent="0.35">
      <c r="H8328" s="35"/>
    </row>
    <row r="8329" spans="8:8" x14ac:dyDescent="0.35">
      <c r="H8329" s="35"/>
    </row>
    <row r="8330" spans="8:8" x14ac:dyDescent="0.35">
      <c r="H8330" s="35"/>
    </row>
    <row r="8331" spans="8:8" x14ac:dyDescent="0.35">
      <c r="H8331" s="35"/>
    </row>
    <row r="8332" spans="8:8" x14ac:dyDescent="0.35">
      <c r="H8332" s="35"/>
    </row>
    <row r="8333" spans="8:8" x14ac:dyDescent="0.35">
      <c r="H8333" s="35"/>
    </row>
    <row r="8334" spans="8:8" x14ac:dyDescent="0.35">
      <c r="H8334" s="35"/>
    </row>
    <row r="8335" spans="8:8" x14ac:dyDescent="0.35">
      <c r="H8335" s="35"/>
    </row>
    <row r="8336" spans="8:8" x14ac:dyDescent="0.35">
      <c r="H8336" s="35"/>
    </row>
    <row r="8337" spans="8:8" x14ac:dyDescent="0.35">
      <c r="H8337" s="35"/>
    </row>
    <row r="8338" spans="8:8" x14ac:dyDescent="0.35">
      <c r="H8338" s="35"/>
    </row>
    <row r="8339" spans="8:8" x14ac:dyDescent="0.35">
      <c r="H8339" s="35"/>
    </row>
    <row r="8340" spans="8:8" x14ac:dyDescent="0.35">
      <c r="H8340" s="35"/>
    </row>
    <row r="8341" spans="8:8" x14ac:dyDescent="0.35">
      <c r="H8341" s="35"/>
    </row>
    <row r="8342" spans="8:8" x14ac:dyDescent="0.35">
      <c r="H8342" s="35"/>
    </row>
    <row r="8343" spans="8:8" x14ac:dyDescent="0.35">
      <c r="H8343" s="35"/>
    </row>
    <row r="8344" spans="8:8" x14ac:dyDescent="0.35">
      <c r="H8344" s="35"/>
    </row>
    <row r="8345" spans="8:8" x14ac:dyDescent="0.35">
      <c r="H8345" s="35"/>
    </row>
    <row r="8346" spans="8:8" x14ac:dyDescent="0.35">
      <c r="H8346" s="35"/>
    </row>
    <row r="8347" spans="8:8" x14ac:dyDescent="0.35">
      <c r="H8347" s="35"/>
    </row>
    <row r="8348" spans="8:8" x14ac:dyDescent="0.35">
      <c r="H8348" s="35"/>
    </row>
    <row r="8349" spans="8:8" x14ac:dyDescent="0.35">
      <c r="H8349" s="35"/>
    </row>
    <row r="8350" spans="8:8" x14ac:dyDescent="0.35">
      <c r="H8350" s="35"/>
    </row>
    <row r="8351" spans="8:8" x14ac:dyDescent="0.35">
      <c r="H8351" s="35"/>
    </row>
    <row r="8352" spans="8:8" x14ac:dyDescent="0.35">
      <c r="H8352" s="35"/>
    </row>
    <row r="8353" spans="8:8" x14ac:dyDescent="0.35">
      <c r="H8353" s="35"/>
    </row>
    <row r="8354" spans="8:8" x14ac:dyDescent="0.35">
      <c r="H8354" s="35"/>
    </row>
    <row r="8355" spans="8:8" x14ac:dyDescent="0.35">
      <c r="H8355" s="35"/>
    </row>
    <row r="8356" spans="8:8" x14ac:dyDescent="0.35">
      <c r="H8356" s="35"/>
    </row>
    <row r="8357" spans="8:8" x14ac:dyDescent="0.35">
      <c r="H8357" s="35"/>
    </row>
    <row r="8358" spans="8:8" x14ac:dyDescent="0.35">
      <c r="H8358" s="35"/>
    </row>
    <row r="8359" spans="8:8" x14ac:dyDescent="0.35">
      <c r="H8359" s="35"/>
    </row>
    <row r="8360" spans="8:8" x14ac:dyDescent="0.35">
      <c r="H8360" s="35"/>
    </row>
    <row r="8361" spans="8:8" x14ac:dyDescent="0.35">
      <c r="H8361" s="35"/>
    </row>
    <row r="8362" spans="8:8" x14ac:dyDescent="0.35">
      <c r="H8362" s="35"/>
    </row>
    <row r="8363" spans="8:8" x14ac:dyDescent="0.35">
      <c r="H8363" s="35"/>
    </row>
    <row r="8364" spans="8:8" x14ac:dyDescent="0.35">
      <c r="H8364" s="35"/>
    </row>
    <row r="8365" spans="8:8" x14ac:dyDescent="0.35">
      <c r="H8365" s="35"/>
    </row>
    <row r="8366" spans="8:8" x14ac:dyDescent="0.35">
      <c r="H8366" s="35"/>
    </row>
    <row r="8367" spans="8:8" x14ac:dyDescent="0.35">
      <c r="H8367" s="35"/>
    </row>
    <row r="8368" spans="8:8" x14ac:dyDescent="0.35">
      <c r="H8368" s="35"/>
    </row>
    <row r="8369" spans="8:8" x14ac:dyDescent="0.35">
      <c r="H8369" s="35"/>
    </row>
    <row r="8370" spans="8:8" x14ac:dyDescent="0.35">
      <c r="H8370" s="35"/>
    </row>
    <row r="8371" spans="8:8" x14ac:dyDescent="0.35">
      <c r="H8371" s="35"/>
    </row>
    <row r="8372" spans="8:8" x14ac:dyDescent="0.35">
      <c r="H8372" s="35"/>
    </row>
    <row r="8373" spans="8:8" x14ac:dyDescent="0.35">
      <c r="H8373" s="35"/>
    </row>
    <row r="8374" spans="8:8" x14ac:dyDescent="0.35">
      <c r="H8374" s="35"/>
    </row>
    <row r="8375" spans="8:8" x14ac:dyDescent="0.35">
      <c r="H8375" s="35"/>
    </row>
    <row r="8376" spans="8:8" x14ac:dyDescent="0.35">
      <c r="H8376" s="35"/>
    </row>
    <row r="8377" spans="8:8" x14ac:dyDescent="0.35">
      <c r="H8377" s="35"/>
    </row>
    <row r="8378" spans="8:8" x14ac:dyDescent="0.35">
      <c r="H8378" s="35"/>
    </row>
    <row r="8379" spans="8:8" x14ac:dyDescent="0.35">
      <c r="H8379" s="35"/>
    </row>
    <row r="8380" spans="8:8" x14ac:dyDescent="0.35">
      <c r="H8380" s="35"/>
    </row>
    <row r="8381" spans="8:8" x14ac:dyDescent="0.35">
      <c r="H8381" s="35"/>
    </row>
    <row r="8382" spans="8:8" x14ac:dyDescent="0.35">
      <c r="H8382" s="35"/>
    </row>
    <row r="8383" spans="8:8" x14ac:dyDescent="0.35">
      <c r="H8383" s="35"/>
    </row>
    <row r="8384" spans="8:8" x14ac:dyDescent="0.35">
      <c r="H8384" s="35"/>
    </row>
    <row r="8385" spans="8:8" x14ac:dyDescent="0.35">
      <c r="H8385" s="35"/>
    </row>
    <row r="8386" spans="8:8" x14ac:dyDescent="0.35">
      <c r="H8386" s="35"/>
    </row>
    <row r="8387" spans="8:8" x14ac:dyDescent="0.35">
      <c r="H8387" s="35"/>
    </row>
    <row r="8388" spans="8:8" x14ac:dyDescent="0.35">
      <c r="H8388" s="35"/>
    </row>
    <row r="8389" spans="8:8" x14ac:dyDescent="0.35">
      <c r="H8389" s="35"/>
    </row>
    <row r="8390" spans="8:8" x14ac:dyDescent="0.35">
      <c r="H8390" s="35"/>
    </row>
    <row r="8391" spans="8:8" x14ac:dyDescent="0.35">
      <c r="H8391" s="35"/>
    </row>
    <row r="8392" spans="8:8" x14ac:dyDescent="0.35">
      <c r="H8392" s="35"/>
    </row>
    <row r="8393" spans="8:8" x14ac:dyDescent="0.35">
      <c r="H8393" s="35"/>
    </row>
    <row r="8394" spans="8:8" x14ac:dyDescent="0.35">
      <c r="H8394" s="35"/>
    </row>
    <row r="8395" spans="8:8" x14ac:dyDescent="0.35">
      <c r="H8395" s="35"/>
    </row>
    <row r="8396" spans="8:8" x14ac:dyDescent="0.35">
      <c r="H8396" s="35"/>
    </row>
    <row r="8397" spans="8:8" x14ac:dyDescent="0.35">
      <c r="H8397" s="35"/>
    </row>
    <row r="8398" spans="8:8" x14ac:dyDescent="0.35">
      <c r="H8398" s="35"/>
    </row>
    <row r="8399" spans="8:8" x14ac:dyDescent="0.35">
      <c r="H8399" s="35"/>
    </row>
    <row r="8400" spans="8:8" x14ac:dyDescent="0.35">
      <c r="H8400" s="35"/>
    </row>
    <row r="8401" spans="8:8" x14ac:dyDescent="0.35">
      <c r="H8401" s="35"/>
    </row>
    <row r="8402" spans="8:8" x14ac:dyDescent="0.35">
      <c r="H8402" s="35"/>
    </row>
    <row r="8403" spans="8:8" x14ac:dyDescent="0.35">
      <c r="H8403" s="35"/>
    </row>
    <row r="8404" spans="8:8" x14ac:dyDescent="0.35">
      <c r="H8404" s="35"/>
    </row>
    <row r="8405" spans="8:8" x14ac:dyDescent="0.35">
      <c r="H8405" s="35"/>
    </row>
    <row r="8406" spans="8:8" x14ac:dyDescent="0.35">
      <c r="H8406" s="35"/>
    </row>
    <row r="8407" spans="8:8" x14ac:dyDescent="0.35">
      <c r="H8407" s="35"/>
    </row>
    <row r="8408" spans="8:8" x14ac:dyDescent="0.35">
      <c r="H8408" s="35"/>
    </row>
    <row r="8409" spans="8:8" x14ac:dyDescent="0.35">
      <c r="H8409" s="35"/>
    </row>
    <row r="8410" spans="8:8" x14ac:dyDescent="0.35">
      <c r="H8410" s="35"/>
    </row>
    <row r="8411" spans="8:8" x14ac:dyDescent="0.35">
      <c r="H8411" s="35"/>
    </row>
    <row r="8412" spans="8:8" x14ac:dyDescent="0.35">
      <c r="H8412" s="35"/>
    </row>
    <row r="8413" spans="8:8" x14ac:dyDescent="0.35">
      <c r="H8413" s="35"/>
    </row>
    <row r="8414" spans="8:8" x14ac:dyDescent="0.35">
      <c r="H8414" s="35"/>
    </row>
    <row r="8415" spans="8:8" x14ac:dyDescent="0.35">
      <c r="H8415" s="35"/>
    </row>
    <row r="8416" spans="8:8" x14ac:dyDescent="0.35">
      <c r="H8416" s="35"/>
    </row>
    <row r="8417" spans="8:8" x14ac:dyDescent="0.35">
      <c r="H8417" s="35"/>
    </row>
    <row r="8418" spans="8:8" x14ac:dyDescent="0.35">
      <c r="H8418" s="35"/>
    </row>
    <row r="8419" spans="8:8" x14ac:dyDescent="0.35">
      <c r="H8419" s="35"/>
    </row>
    <row r="8420" spans="8:8" x14ac:dyDescent="0.35">
      <c r="H8420" s="35"/>
    </row>
    <row r="8421" spans="8:8" x14ac:dyDescent="0.35">
      <c r="H8421" s="35"/>
    </row>
    <row r="8422" spans="8:8" x14ac:dyDescent="0.35">
      <c r="H8422" s="35"/>
    </row>
    <row r="8423" spans="8:8" x14ac:dyDescent="0.35">
      <c r="H8423" s="35"/>
    </row>
    <row r="8424" spans="8:8" x14ac:dyDescent="0.35">
      <c r="H8424" s="35"/>
    </row>
    <row r="8425" spans="8:8" x14ac:dyDescent="0.35">
      <c r="H8425" s="35"/>
    </row>
    <row r="8426" spans="8:8" x14ac:dyDescent="0.35">
      <c r="H8426" s="35"/>
    </row>
    <row r="8427" spans="8:8" x14ac:dyDescent="0.35">
      <c r="H8427" s="35"/>
    </row>
    <row r="8428" spans="8:8" x14ac:dyDescent="0.35">
      <c r="H8428" s="35"/>
    </row>
    <row r="8429" spans="8:8" x14ac:dyDescent="0.35">
      <c r="H8429" s="35"/>
    </row>
    <row r="8430" spans="8:8" x14ac:dyDescent="0.35">
      <c r="H8430" s="35"/>
    </row>
    <row r="8431" spans="8:8" x14ac:dyDescent="0.35">
      <c r="H8431" s="35"/>
    </row>
    <row r="8432" spans="8:8" x14ac:dyDescent="0.35">
      <c r="H8432" s="35"/>
    </row>
    <row r="8433" spans="8:8" x14ac:dyDescent="0.35">
      <c r="H8433" s="35"/>
    </row>
    <row r="8434" spans="8:8" x14ac:dyDescent="0.35">
      <c r="H8434" s="35"/>
    </row>
    <row r="8435" spans="8:8" x14ac:dyDescent="0.35">
      <c r="H8435" s="35"/>
    </row>
    <row r="8436" spans="8:8" x14ac:dyDescent="0.35">
      <c r="H8436" s="35"/>
    </row>
    <row r="8437" spans="8:8" x14ac:dyDescent="0.35">
      <c r="H8437" s="35"/>
    </row>
    <row r="8438" spans="8:8" x14ac:dyDescent="0.35">
      <c r="H8438" s="35"/>
    </row>
    <row r="8439" spans="8:8" x14ac:dyDescent="0.35">
      <c r="H8439" s="35"/>
    </row>
    <row r="8440" spans="8:8" x14ac:dyDescent="0.35">
      <c r="H8440" s="35"/>
    </row>
    <row r="8441" spans="8:8" x14ac:dyDescent="0.35">
      <c r="H8441" s="35"/>
    </row>
    <row r="8442" spans="8:8" x14ac:dyDescent="0.35">
      <c r="H8442" s="35"/>
    </row>
    <row r="8443" spans="8:8" x14ac:dyDescent="0.35">
      <c r="H8443" s="35"/>
    </row>
    <row r="8444" spans="8:8" x14ac:dyDescent="0.35">
      <c r="H8444" s="35"/>
    </row>
    <row r="8445" spans="8:8" x14ac:dyDescent="0.35">
      <c r="H8445" s="35"/>
    </row>
    <row r="8446" spans="8:8" x14ac:dyDescent="0.35">
      <c r="H8446" s="35"/>
    </row>
    <row r="8447" spans="8:8" x14ac:dyDescent="0.35">
      <c r="H8447" s="35"/>
    </row>
    <row r="8448" spans="8:8" x14ac:dyDescent="0.35">
      <c r="H8448" s="35"/>
    </row>
    <row r="8449" spans="8:8" x14ac:dyDescent="0.35">
      <c r="H8449" s="35"/>
    </row>
    <row r="8450" spans="8:8" x14ac:dyDescent="0.35">
      <c r="H8450" s="35"/>
    </row>
    <row r="8451" spans="8:8" x14ac:dyDescent="0.35">
      <c r="H8451" s="35"/>
    </row>
    <row r="8452" spans="8:8" x14ac:dyDescent="0.35">
      <c r="H8452" s="35"/>
    </row>
    <row r="8453" spans="8:8" x14ac:dyDescent="0.35">
      <c r="H8453" s="35"/>
    </row>
    <row r="8454" spans="8:8" x14ac:dyDescent="0.35">
      <c r="H8454" s="35"/>
    </row>
    <row r="8455" spans="8:8" x14ac:dyDescent="0.35">
      <c r="H8455" s="35"/>
    </row>
    <row r="8456" spans="8:8" x14ac:dyDescent="0.35">
      <c r="H8456" s="35"/>
    </row>
    <row r="8457" spans="8:8" x14ac:dyDescent="0.35">
      <c r="H8457" s="35"/>
    </row>
    <row r="8458" spans="8:8" x14ac:dyDescent="0.35">
      <c r="H8458" s="35"/>
    </row>
    <row r="8459" spans="8:8" x14ac:dyDescent="0.35">
      <c r="H8459" s="35"/>
    </row>
    <row r="8460" spans="8:8" x14ac:dyDescent="0.35">
      <c r="H8460" s="35"/>
    </row>
    <row r="8461" spans="8:8" x14ac:dyDescent="0.35">
      <c r="H8461" s="35"/>
    </row>
    <row r="8462" spans="8:8" x14ac:dyDescent="0.35">
      <c r="H8462" s="35"/>
    </row>
    <row r="8463" spans="8:8" x14ac:dyDescent="0.35">
      <c r="H8463" s="35"/>
    </row>
    <row r="8464" spans="8:8" x14ac:dyDescent="0.35">
      <c r="H8464" s="35"/>
    </row>
    <row r="8465" spans="8:8" x14ac:dyDescent="0.35">
      <c r="H8465" s="35"/>
    </row>
    <row r="8466" spans="8:8" x14ac:dyDescent="0.35">
      <c r="H8466" s="35"/>
    </row>
    <row r="8467" spans="8:8" x14ac:dyDescent="0.35">
      <c r="H8467" s="35"/>
    </row>
    <row r="8468" spans="8:8" x14ac:dyDescent="0.35">
      <c r="H8468" s="35"/>
    </row>
    <row r="8469" spans="8:8" x14ac:dyDescent="0.35">
      <c r="H8469" s="35"/>
    </row>
    <row r="8470" spans="8:8" x14ac:dyDescent="0.35">
      <c r="H8470" s="35"/>
    </row>
    <row r="8471" spans="8:8" x14ac:dyDescent="0.35">
      <c r="H8471" s="35"/>
    </row>
    <row r="8472" spans="8:8" x14ac:dyDescent="0.35">
      <c r="H8472" s="35"/>
    </row>
    <row r="8473" spans="8:8" x14ac:dyDescent="0.35">
      <c r="H8473" s="35"/>
    </row>
    <row r="8474" spans="8:8" x14ac:dyDescent="0.35">
      <c r="H8474" s="35"/>
    </row>
    <row r="8475" spans="8:8" x14ac:dyDescent="0.35">
      <c r="H8475" s="35"/>
    </row>
    <row r="8476" spans="8:8" x14ac:dyDescent="0.35">
      <c r="H8476" s="35"/>
    </row>
    <row r="8477" spans="8:8" x14ac:dyDescent="0.35">
      <c r="H8477" s="35"/>
    </row>
    <row r="8478" spans="8:8" x14ac:dyDescent="0.35">
      <c r="H8478" s="35"/>
    </row>
    <row r="8479" spans="8:8" x14ac:dyDescent="0.35">
      <c r="H8479" s="35"/>
    </row>
    <row r="8480" spans="8:8" x14ac:dyDescent="0.35">
      <c r="H8480" s="35"/>
    </row>
    <row r="8481" spans="8:8" x14ac:dyDescent="0.35">
      <c r="H8481" s="35"/>
    </row>
    <row r="8482" spans="8:8" x14ac:dyDescent="0.35">
      <c r="H8482" s="35"/>
    </row>
    <row r="8483" spans="8:8" x14ac:dyDescent="0.35">
      <c r="H8483" s="35"/>
    </row>
    <row r="8484" spans="8:8" x14ac:dyDescent="0.35">
      <c r="H8484" s="35"/>
    </row>
    <row r="8485" spans="8:8" x14ac:dyDescent="0.35">
      <c r="H8485" s="35"/>
    </row>
    <row r="8486" spans="8:8" x14ac:dyDescent="0.35">
      <c r="H8486" s="35"/>
    </row>
    <row r="8487" spans="8:8" x14ac:dyDescent="0.35">
      <c r="H8487" s="35"/>
    </row>
    <row r="8488" spans="8:8" x14ac:dyDescent="0.35">
      <c r="H8488" s="35"/>
    </row>
    <row r="8489" spans="8:8" x14ac:dyDescent="0.35">
      <c r="H8489" s="35"/>
    </row>
    <row r="8490" spans="8:8" x14ac:dyDescent="0.35">
      <c r="H8490" s="35"/>
    </row>
    <row r="8491" spans="8:8" x14ac:dyDescent="0.35">
      <c r="H8491" s="35"/>
    </row>
    <row r="8492" spans="8:8" x14ac:dyDescent="0.35">
      <c r="H8492" s="35"/>
    </row>
    <row r="8493" spans="8:8" x14ac:dyDescent="0.35">
      <c r="H8493" s="35"/>
    </row>
    <row r="8494" spans="8:8" x14ac:dyDescent="0.35">
      <c r="H8494" s="35"/>
    </row>
    <row r="8495" spans="8:8" x14ac:dyDescent="0.35">
      <c r="H8495" s="35"/>
    </row>
    <row r="8496" spans="8:8" x14ac:dyDescent="0.35">
      <c r="H8496" s="35"/>
    </row>
    <row r="8497" spans="8:8" x14ac:dyDescent="0.35">
      <c r="H8497" s="35"/>
    </row>
    <row r="8498" spans="8:8" x14ac:dyDescent="0.35">
      <c r="H8498" s="35"/>
    </row>
    <row r="8499" spans="8:8" x14ac:dyDescent="0.35">
      <c r="H8499" s="35"/>
    </row>
    <row r="8500" spans="8:8" x14ac:dyDescent="0.35">
      <c r="H8500" s="35"/>
    </row>
    <row r="8501" spans="8:8" x14ac:dyDescent="0.35">
      <c r="H8501" s="35"/>
    </row>
    <row r="8502" spans="8:8" x14ac:dyDescent="0.35">
      <c r="H8502" s="35"/>
    </row>
    <row r="8503" spans="8:8" x14ac:dyDescent="0.35">
      <c r="H8503" s="35"/>
    </row>
    <row r="8504" spans="8:8" x14ac:dyDescent="0.35">
      <c r="H8504" s="35"/>
    </row>
    <row r="8505" spans="8:8" x14ac:dyDescent="0.35">
      <c r="H8505" s="35"/>
    </row>
    <row r="8506" spans="8:8" x14ac:dyDescent="0.35">
      <c r="H8506" s="35"/>
    </row>
    <row r="8507" spans="8:8" x14ac:dyDescent="0.35">
      <c r="H8507" s="35"/>
    </row>
    <row r="8508" spans="8:8" x14ac:dyDescent="0.35">
      <c r="H8508" s="35"/>
    </row>
    <row r="8509" spans="8:8" x14ac:dyDescent="0.35">
      <c r="H8509" s="35"/>
    </row>
    <row r="8510" spans="8:8" x14ac:dyDescent="0.35">
      <c r="H8510" s="35"/>
    </row>
    <row r="8511" spans="8:8" x14ac:dyDescent="0.35">
      <c r="H8511" s="35"/>
    </row>
    <row r="8512" spans="8:8" x14ac:dyDescent="0.35">
      <c r="H8512" s="35"/>
    </row>
    <row r="8513" spans="8:8" x14ac:dyDescent="0.35">
      <c r="H8513" s="35"/>
    </row>
    <row r="8514" spans="8:8" x14ac:dyDescent="0.35">
      <c r="H8514" s="35"/>
    </row>
    <row r="8515" spans="8:8" x14ac:dyDescent="0.35">
      <c r="H8515" s="35"/>
    </row>
    <row r="8516" spans="8:8" x14ac:dyDescent="0.35">
      <c r="H8516" s="35"/>
    </row>
    <row r="8517" spans="8:8" x14ac:dyDescent="0.35">
      <c r="H8517" s="35"/>
    </row>
    <row r="8518" spans="8:8" x14ac:dyDescent="0.35">
      <c r="H8518" s="35"/>
    </row>
    <row r="8519" spans="8:8" x14ac:dyDescent="0.35">
      <c r="H8519" s="35"/>
    </row>
    <row r="8520" spans="8:8" x14ac:dyDescent="0.35">
      <c r="H8520" s="35"/>
    </row>
    <row r="8521" spans="8:8" x14ac:dyDescent="0.35">
      <c r="H8521" s="35"/>
    </row>
    <row r="8522" spans="8:8" x14ac:dyDescent="0.35">
      <c r="H8522" s="35"/>
    </row>
    <row r="8523" spans="8:8" x14ac:dyDescent="0.35">
      <c r="H8523" s="35"/>
    </row>
    <row r="8524" spans="8:8" x14ac:dyDescent="0.35">
      <c r="H8524" s="35"/>
    </row>
    <row r="8525" spans="8:8" x14ac:dyDescent="0.35">
      <c r="H8525" s="35"/>
    </row>
    <row r="8526" spans="8:8" x14ac:dyDescent="0.35">
      <c r="H8526" s="35"/>
    </row>
    <row r="8527" spans="8:8" x14ac:dyDescent="0.35">
      <c r="H8527" s="35"/>
    </row>
    <row r="8528" spans="8:8" x14ac:dyDescent="0.35">
      <c r="H8528" s="35"/>
    </row>
    <row r="8529" spans="8:8" x14ac:dyDescent="0.35">
      <c r="H8529" s="35"/>
    </row>
    <row r="8530" spans="8:8" x14ac:dyDescent="0.35">
      <c r="H8530" s="35"/>
    </row>
    <row r="8531" spans="8:8" x14ac:dyDescent="0.35">
      <c r="H8531" s="35"/>
    </row>
    <row r="8532" spans="8:8" x14ac:dyDescent="0.35">
      <c r="H8532" s="35"/>
    </row>
    <row r="8533" spans="8:8" x14ac:dyDescent="0.35">
      <c r="H8533" s="35"/>
    </row>
    <row r="8534" spans="8:8" x14ac:dyDescent="0.35">
      <c r="H8534" s="35"/>
    </row>
    <row r="8535" spans="8:8" x14ac:dyDescent="0.35">
      <c r="H8535" s="35"/>
    </row>
    <row r="8536" spans="8:8" x14ac:dyDescent="0.35">
      <c r="H8536" s="35"/>
    </row>
    <row r="8537" spans="8:8" x14ac:dyDescent="0.35">
      <c r="H8537" s="35"/>
    </row>
    <row r="8538" spans="8:8" x14ac:dyDescent="0.35">
      <c r="H8538" s="35"/>
    </row>
    <row r="8539" spans="8:8" x14ac:dyDescent="0.35">
      <c r="H8539" s="35"/>
    </row>
    <row r="8540" spans="8:8" x14ac:dyDescent="0.35">
      <c r="H8540" s="35"/>
    </row>
    <row r="8541" spans="8:8" x14ac:dyDescent="0.35">
      <c r="H8541" s="35"/>
    </row>
    <row r="8542" spans="8:8" x14ac:dyDescent="0.35">
      <c r="H8542" s="35"/>
    </row>
    <row r="8543" spans="8:8" x14ac:dyDescent="0.35">
      <c r="H8543" s="35"/>
    </row>
    <row r="8544" spans="8:8" x14ac:dyDescent="0.35">
      <c r="H8544" s="35"/>
    </row>
    <row r="8545" spans="8:8" x14ac:dyDescent="0.35">
      <c r="H8545" s="35"/>
    </row>
    <row r="8546" spans="8:8" x14ac:dyDescent="0.35">
      <c r="H8546" s="35"/>
    </row>
    <row r="8547" spans="8:8" x14ac:dyDescent="0.35">
      <c r="H8547" s="35"/>
    </row>
    <row r="8548" spans="8:8" x14ac:dyDescent="0.35">
      <c r="H8548" s="35"/>
    </row>
    <row r="8549" spans="8:8" x14ac:dyDescent="0.35">
      <c r="H8549" s="35"/>
    </row>
    <row r="8550" spans="8:8" x14ac:dyDescent="0.35">
      <c r="H8550" s="35"/>
    </row>
    <row r="8551" spans="8:8" x14ac:dyDescent="0.35">
      <c r="H8551" s="35"/>
    </row>
    <row r="8552" spans="8:8" x14ac:dyDescent="0.35">
      <c r="H8552" s="35"/>
    </row>
    <row r="8553" spans="8:8" x14ac:dyDescent="0.35">
      <c r="H8553" s="35"/>
    </row>
    <row r="8554" spans="8:8" x14ac:dyDescent="0.35">
      <c r="H8554" s="35"/>
    </row>
    <row r="8555" spans="8:8" x14ac:dyDescent="0.35">
      <c r="H8555" s="35"/>
    </row>
    <row r="8556" spans="8:8" x14ac:dyDescent="0.35">
      <c r="H8556" s="35"/>
    </row>
    <row r="8557" spans="8:8" x14ac:dyDescent="0.35">
      <c r="H8557" s="35"/>
    </row>
    <row r="8558" spans="8:8" x14ac:dyDescent="0.35">
      <c r="H8558" s="35"/>
    </row>
    <row r="8559" spans="8:8" x14ac:dyDescent="0.35">
      <c r="H8559" s="35"/>
    </row>
    <row r="8560" spans="8:8" x14ac:dyDescent="0.35">
      <c r="H8560" s="35"/>
    </row>
    <row r="8561" spans="8:8" x14ac:dyDescent="0.35">
      <c r="H8561" s="35"/>
    </row>
    <row r="8562" spans="8:8" x14ac:dyDescent="0.35">
      <c r="H8562" s="35"/>
    </row>
    <row r="8563" spans="8:8" x14ac:dyDescent="0.35">
      <c r="H8563" s="35"/>
    </row>
    <row r="8564" spans="8:8" x14ac:dyDescent="0.35">
      <c r="H8564" s="35"/>
    </row>
    <row r="8565" spans="8:8" x14ac:dyDescent="0.35">
      <c r="H8565" s="35"/>
    </row>
    <row r="8566" spans="8:8" x14ac:dyDescent="0.35">
      <c r="H8566" s="35"/>
    </row>
    <row r="8567" spans="8:8" x14ac:dyDescent="0.35">
      <c r="H8567" s="35"/>
    </row>
    <row r="8568" spans="8:8" x14ac:dyDescent="0.35">
      <c r="H8568" s="35"/>
    </row>
    <row r="8569" spans="8:8" x14ac:dyDescent="0.35">
      <c r="H8569" s="35"/>
    </row>
    <row r="8570" spans="8:8" x14ac:dyDescent="0.35">
      <c r="H8570" s="35"/>
    </row>
    <row r="8571" spans="8:8" x14ac:dyDescent="0.35">
      <c r="H8571" s="35"/>
    </row>
    <row r="8572" spans="8:8" x14ac:dyDescent="0.35">
      <c r="H8572" s="35"/>
    </row>
    <row r="8573" spans="8:8" x14ac:dyDescent="0.35">
      <c r="H8573" s="35"/>
    </row>
    <row r="8574" spans="8:8" x14ac:dyDescent="0.35">
      <c r="H8574" s="35"/>
    </row>
    <row r="8575" spans="8:8" x14ac:dyDescent="0.35">
      <c r="H8575" s="35"/>
    </row>
    <row r="8576" spans="8:8" x14ac:dyDescent="0.35">
      <c r="H8576" s="35"/>
    </row>
    <row r="8577" spans="8:8" x14ac:dyDescent="0.35">
      <c r="H8577" s="35"/>
    </row>
    <row r="8578" spans="8:8" x14ac:dyDescent="0.35">
      <c r="H8578" s="35"/>
    </row>
    <row r="8579" spans="8:8" x14ac:dyDescent="0.35">
      <c r="H8579" s="35"/>
    </row>
    <row r="8580" spans="8:8" x14ac:dyDescent="0.35">
      <c r="H8580" s="35"/>
    </row>
    <row r="8581" spans="8:8" x14ac:dyDescent="0.35">
      <c r="H8581" s="35"/>
    </row>
    <row r="8582" spans="8:8" x14ac:dyDescent="0.35">
      <c r="H8582" s="35"/>
    </row>
    <row r="8583" spans="8:8" x14ac:dyDescent="0.35">
      <c r="H8583" s="35"/>
    </row>
    <row r="8584" spans="8:8" x14ac:dyDescent="0.35">
      <c r="H8584" s="35"/>
    </row>
    <row r="8585" spans="8:8" x14ac:dyDescent="0.35">
      <c r="H8585" s="35"/>
    </row>
    <row r="8586" spans="8:8" x14ac:dyDescent="0.35">
      <c r="H8586" s="35"/>
    </row>
    <row r="8587" spans="8:8" x14ac:dyDescent="0.35">
      <c r="H8587" s="35"/>
    </row>
    <row r="8588" spans="8:8" x14ac:dyDescent="0.35">
      <c r="H8588" s="35"/>
    </row>
    <row r="8589" spans="8:8" x14ac:dyDescent="0.35">
      <c r="H8589" s="35"/>
    </row>
    <row r="8590" spans="8:8" x14ac:dyDescent="0.35">
      <c r="H8590" s="35"/>
    </row>
    <row r="8591" spans="8:8" x14ac:dyDescent="0.35">
      <c r="H8591" s="35"/>
    </row>
    <row r="8592" spans="8:8" x14ac:dyDescent="0.35">
      <c r="H8592" s="35"/>
    </row>
    <row r="8593" spans="8:8" x14ac:dyDescent="0.35">
      <c r="H8593" s="35"/>
    </row>
    <row r="8594" spans="8:8" x14ac:dyDescent="0.35">
      <c r="H8594" s="35"/>
    </row>
    <row r="8595" spans="8:8" x14ac:dyDescent="0.35">
      <c r="H8595" s="35"/>
    </row>
    <row r="8596" spans="8:8" x14ac:dyDescent="0.35">
      <c r="H8596" s="35"/>
    </row>
    <row r="8597" spans="8:8" x14ac:dyDescent="0.35">
      <c r="H8597" s="35"/>
    </row>
    <row r="8598" spans="8:8" x14ac:dyDescent="0.35">
      <c r="H8598" s="35"/>
    </row>
    <row r="8599" spans="8:8" x14ac:dyDescent="0.35">
      <c r="H8599" s="35"/>
    </row>
    <row r="8600" spans="8:8" x14ac:dyDescent="0.35">
      <c r="H8600" s="35"/>
    </row>
    <row r="8601" spans="8:8" x14ac:dyDescent="0.35">
      <c r="H8601" s="35"/>
    </row>
    <row r="8602" spans="8:8" x14ac:dyDescent="0.35">
      <c r="H8602" s="35"/>
    </row>
    <row r="8603" spans="8:8" x14ac:dyDescent="0.35">
      <c r="H8603" s="35"/>
    </row>
    <row r="8604" spans="8:8" x14ac:dyDescent="0.35">
      <c r="H8604" s="35"/>
    </row>
    <row r="8605" spans="8:8" x14ac:dyDescent="0.35">
      <c r="H8605" s="35"/>
    </row>
    <row r="8606" spans="8:8" x14ac:dyDescent="0.35">
      <c r="H8606" s="35"/>
    </row>
    <row r="8607" spans="8:8" x14ac:dyDescent="0.35">
      <c r="H8607" s="35"/>
    </row>
    <row r="8608" spans="8:8" x14ac:dyDescent="0.35">
      <c r="H8608" s="35"/>
    </row>
    <row r="8609" spans="8:8" x14ac:dyDescent="0.35">
      <c r="H8609" s="35"/>
    </row>
    <row r="8610" spans="8:8" x14ac:dyDescent="0.35">
      <c r="H8610" s="35"/>
    </row>
    <row r="8611" spans="8:8" x14ac:dyDescent="0.35">
      <c r="H8611" s="35"/>
    </row>
    <row r="8612" spans="8:8" x14ac:dyDescent="0.35">
      <c r="H8612" s="35"/>
    </row>
    <row r="8613" spans="8:8" x14ac:dyDescent="0.35">
      <c r="H8613" s="35"/>
    </row>
    <row r="8614" spans="8:8" x14ac:dyDescent="0.35">
      <c r="H8614" s="35"/>
    </row>
    <row r="8615" spans="8:8" x14ac:dyDescent="0.35">
      <c r="H8615" s="35"/>
    </row>
    <row r="8616" spans="8:8" x14ac:dyDescent="0.35">
      <c r="H8616" s="35"/>
    </row>
    <row r="8617" spans="8:8" x14ac:dyDescent="0.35">
      <c r="H8617" s="35"/>
    </row>
    <row r="8618" spans="8:8" x14ac:dyDescent="0.35">
      <c r="H8618" s="35"/>
    </row>
    <row r="8619" spans="8:8" x14ac:dyDescent="0.35">
      <c r="H8619" s="35"/>
    </row>
    <row r="8620" spans="8:8" x14ac:dyDescent="0.35">
      <c r="H8620" s="35"/>
    </row>
    <row r="8621" spans="8:8" x14ac:dyDescent="0.35">
      <c r="H8621" s="35"/>
    </row>
    <row r="8622" spans="8:8" x14ac:dyDescent="0.35">
      <c r="H8622" s="35"/>
    </row>
    <row r="8623" spans="8:8" x14ac:dyDescent="0.35">
      <c r="H8623" s="35"/>
    </row>
    <row r="8624" spans="8:8" x14ac:dyDescent="0.35">
      <c r="H8624" s="35"/>
    </row>
    <row r="8625" spans="8:8" x14ac:dyDescent="0.35">
      <c r="H8625" s="35"/>
    </row>
    <row r="8626" spans="8:8" x14ac:dyDescent="0.35">
      <c r="H8626" s="35"/>
    </row>
    <row r="8627" spans="8:8" x14ac:dyDescent="0.35">
      <c r="H8627" s="35"/>
    </row>
    <row r="8628" spans="8:8" x14ac:dyDescent="0.35">
      <c r="H8628" s="35"/>
    </row>
    <row r="8629" spans="8:8" x14ac:dyDescent="0.35">
      <c r="H8629" s="35"/>
    </row>
    <row r="8630" spans="8:8" x14ac:dyDescent="0.35">
      <c r="H8630" s="35"/>
    </row>
    <row r="8631" spans="8:8" x14ac:dyDescent="0.35">
      <c r="H8631" s="35"/>
    </row>
    <row r="8632" spans="8:8" x14ac:dyDescent="0.35">
      <c r="H8632" s="35"/>
    </row>
    <row r="8633" spans="8:8" x14ac:dyDescent="0.35">
      <c r="H8633" s="35"/>
    </row>
    <row r="8634" spans="8:8" x14ac:dyDescent="0.35">
      <c r="H8634" s="35"/>
    </row>
    <row r="8635" spans="8:8" x14ac:dyDescent="0.35">
      <c r="H8635" s="35"/>
    </row>
    <row r="8636" spans="8:8" x14ac:dyDescent="0.35">
      <c r="H8636" s="35"/>
    </row>
    <row r="8637" spans="8:8" x14ac:dyDescent="0.35">
      <c r="H8637" s="35"/>
    </row>
    <row r="8638" spans="8:8" x14ac:dyDescent="0.35">
      <c r="H8638" s="35"/>
    </row>
    <row r="8639" spans="8:8" x14ac:dyDescent="0.35">
      <c r="H8639" s="35"/>
    </row>
    <row r="8640" spans="8:8" x14ac:dyDescent="0.35">
      <c r="H8640" s="35"/>
    </row>
    <row r="8641" spans="8:8" x14ac:dyDescent="0.35">
      <c r="H8641" s="35"/>
    </row>
    <row r="8642" spans="8:8" x14ac:dyDescent="0.35">
      <c r="H8642" s="35"/>
    </row>
    <row r="8643" spans="8:8" x14ac:dyDescent="0.35">
      <c r="H8643" s="35"/>
    </row>
    <row r="8644" spans="8:8" x14ac:dyDescent="0.35">
      <c r="H8644" s="35"/>
    </row>
    <row r="8645" spans="8:8" x14ac:dyDescent="0.35">
      <c r="H8645" s="35"/>
    </row>
    <row r="8646" spans="8:8" x14ac:dyDescent="0.35">
      <c r="H8646" s="35"/>
    </row>
    <row r="8647" spans="8:8" x14ac:dyDescent="0.35">
      <c r="H8647" s="35"/>
    </row>
    <row r="8648" spans="8:8" x14ac:dyDescent="0.35">
      <c r="H8648" s="35"/>
    </row>
    <row r="8649" spans="8:8" x14ac:dyDescent="0.35">
      <c r="H8649" s="35"/>
    </row>
    <row r="8650" spans="8:8" x14ac:dyDescent="0.35">
      <c r="H8650" s="35"/>
    </row>
    <row r="8651" spans="8:8" x14ac:dyDescent="0.35">
      <c r="H8651" s="35"/>
    </row>
    <row r="8652" spans="8:8" x14ac:dyDescent="0.35">
      <c r="H8652" s="35"/>
    </row>
    <row r="8653" spans="8:8" x14ac:dyDescent="0.35">
      <c r="H8653" s="35"/>
    </row>
    <row r="8654" spans="8:8" x14ac:dyDescent="0.35">
      <c r="H8654" s="35"/>
    </row>
    <row r="8655" spans="8:8" x14ac:dyDescent="0.35">
      <c r="H8655" s="35"/>
    </row>
    <row r="8656" spans="8:8" x14ac:dyDescent="0.35">
      <c r="H8656" s="35"/>
    </row>
    <row r="8657" spans="8:8" x14ac:dyDescent="0.35">
      <c r="H8657" s="35"/>
    </row>
    <row r="8658" spans="8:8" x14ac:dyDescent="0.35">
      <c r="H8658" s="35"/>
    </row>
    <row r="8659" spans="8:8" x14ac:dyDescent="0.35">
      <c r="H8659" s="35"/>
    </row>
    <row r="8660" spans="8:8" x14ac:dyDescent="0.35">
      <c r="H8660" s="35"/>
    </row>
    <row r="8661" spans="8:8" x14ac:dyDescent="0.35">
      <c r="H8661" s="35"/>
    </row>
    <row r="8662" spans="8:8" x14ac:dyDescent="0.35">
      <c r="H8662" s="35"/>
    </row>
    <row r="8663" spans="8:8" x14ac:dyDescent="0.35">
      <c r="H8663" s="35"/>
    </row>
    <row r="8664" spans="8:8" x14ac:dyDescent="0.35">
      <c r="H8664" s="35"/>
    </row>
    <row r="8665" spans="8:8" x14ac:dyDescent="0.35">
      <c r="H8665" s="35"/>
    </row>
    <row r="8666" spans="8:8" x14ac:dyDescent="0.35">
      <c r="H8666" s="35"/>
    </row>
    <row r="8667" spans="8:8" x14ac:dyDescent="0.35">
      <c r="H8667" s="35"/>
    </row>
    <row r="8668" spans="8:8" x14ac:dyDescent="0.35">
      <c r="H8668" s="35"/>
    </row>
    <row r="8669" spans="8:8" x14ac:dyDescent="0.35">
      <c r="H8669" s="35"/>
    </row>
    <row r="8670" spans="8:8" x14ac:dyDescent="0.35">
      <c r="H8670" s="35"/>
    </row>
    <row r="8671" spans="8:8" x14ac:dyDescent="0.35">
      <c r="H8671" s="35"/>
    </row>
    <row r="8672" spans="8:8" x14ac:dyDescent="0.35">
      <c r="H8672" s="35"/>
    </row>
    <row r="8673" spans="8:8" x14ac:dyDescent="0.35">
      <c r="H8673" s="35"/>
    </row>
    <row r="8674" spans="8:8" x14ac:dyDescent="0.35">
      <c r="H8674" s="35"/>
    </row>
    <row r="8675" spans="8:8" x14ac:dyDescent="0.35">
      <c r="H8675" s="35"/>
    </row>
    <row r="8676" spans="8:8" x14ac:dyDescent="0.35">
      <c r="H8676" s="35"/>
    </row>
    <row r="8677" spans="8:8" x14ac:dyDescent="0.35">
      <c r="H8677" s="35"/>
    </row>
    <row r="8678" spans="8:8" x14ac:dyDescent="0.35">
      <c r="H8678" s="35"/>
    </row>
    <row r="8679" spans="8:8" x14ac:dyDescent="0.35">
      <c r="H8679" s="35"/>
    </row>
    <row r="8680" spans="8:8" x14ac:dyDescent="0.35">
      <c r="H8680" s="35"/>
    </row>
    <row r="8681" spans="8:8" x14ac:dyDescent="0.35">
      <c r="H8681" s="35"/>
    </row>
    <row r="8682" spans="8:8" x14ac:dyDescent="0.35">
      <c r="H8682" s="35"/>
    </row>
    <row r="8683" spans="8:8" x14ac:dyDescent="0.35">
      <c r="H8683" s="35"/>
    </row>
    <row r="8684" spans="8:8" x14ac:dyDescent="0.35">
      <c r="H8684" s="35"/>
    </row>
    <row r="8685" spans="8:8" x14ac:dyDescent="0.35">
      <c r="H8685" s="35"/>
    </row>
    <row r="8686" spans="8:8" x14ac:dyDescent="0.35">
      <c r="H8686" s="35"/>
    </row>
    <row r="8687" spans="8:8" x14ac:dyDescent="0.35">
      <c r="H8687" s="35"/>
    </row>
    <row r="8688" spans="8:8" x14ac:dyDescent="0.35">
      <c r="H8688" s="35"/>
    </row>
    <row r="8689" spans="8:8" x14ac:dyDescent="0.35">
      <c r="H8689" s="35"/>
    </row>
    <row r="8690" spans="8:8" x14ac:dyDescent="0.35">
      <c r="H8690" s="35"/>
    </row>
    <row r="8691" spans="8:8" x14ac:dyDescent="0.35">
      <c r="H8691" s="35"/>
    </row>
    <row r="8692" spans="8:8" x14ac:dyDescent="0.35">
      <c r="H8692" s="35"/>
    </row>
    <row r="8693" spans="8:8" x14ac:dyDescent="0.35">
      <c r="H8693" s="35"/>
    </row>
    <row r="8694" spans="8:8" x14ac:dyDescent="0.35">
      <c r="H8694" s="35"/>
    </row>
    <row r="8695" spans="8:8" x14ac:dyDescent="0.35">
      <c r="H8695" s="35"/>
    </row>
    <row r="8696" spans="8:8" x14ac:dyDescent="0.35">
      <c r="H8696" s="35"/>
    </row>
    <row r="8697" spans="8:8" x14ac:dyDescent="0.35">
      <c r="H8697" s="35"/>
    </row>
    <row r="8698" spans="8:8" x14ac:dyDescent="0.35">
      <c r="H8698" s="35"/>
    </row>
    <row r="8699" spans="8:8" x14ac:dyDescent="0.35">
      <c r="H8699" s="35"/>
    </row>
    <row r="8700" spans="8:8" x14ac:dyDescent="0.35">
      <c r="H8700" s="35"/>
    </row>
    <row r="8701" spans="8:8" x14ac:dyDescent="0.35">
      <c r="H8701" s="35"/>
    </row>
    <row r="8702" spans="8:8" x14ac:dyDescent="0.35">
      <c r="H8702" s="35"/>
    </row>
    <row r="8703" spans="8:8" x14ac:dyDescent="0.35">
      <c r="H8703" s="35"/>
    </row>
    <row r="8704" spans="8:8" x14ac:dyDescent="0.35">
      <c r="H8704" s="35"/>
    </row>
    <row r="8705" spans="8:8" x14ac:dyDescent="0.35">
      <c r="H8705" s="35"/>
    </row>
    <row r="8706" spans="8:8" x14ac:dyDescent="0.35">
      <c r="H8706" s="35"/>
    </row>
    <row r="8707" spans="8:8" x14ac:dyDescent="0.35">
      <c r="H8707" s="35"/>
    </row>
    <row r="8708" spans="8:8" x14ac:dyDescent="0.35">
      <c r="H8708" s="35"/>
    </row>
    <row r="8709" spans="8:8" x14ac:dyDescent="0.35">
      <c r="H8709" s="35"/>
    </row>
    <row r="8710" spans="8:8" x14ac:dyDescent="0.35">
      <c r="H8710" s="35"/>
    </row>
    <row r="8711" spans="8:8" x14ac:dyDescent="0.35">
      <c r="H8711" s="35"/>
    </row>
    <row r="8712" spans="8:8" x14ac:dyDescent="0.35">
      <c r="H8712" s="35"/>
    </row>
    <row r="8713" spans="8:8" x14ac:dyDescent="0.35">
      <c r="H8713" s="35"/>
    </row>
    <row r="8714" spans="8:8" x14ac:dyDescent="0.35">
      <c r="H8714" s="35"/>
    </row>
    <row r="8715" spans="8:8" x14ac:dyDescent="0.35">
      <c r="H8715" s="35"/>
    </row>
    <row r="8716" spans="8:8" x14ac:dyDescent="0.35">
      <c r="H8716" s="35"/>
    </row>
    <row r="8717" spans="8:8" x14ac:dyDescent="0.35">
      <c r="H8717" s="35"/>
    </row>
    <row r="8718" spans="8:8" x14ac:dyDescent="0.35">
      <c r="H8718" s="35"/>
    </row>
    <row r="8719" spans="8:8" x14ac:dyDescent="0.35">
      <c r="H8719" s="35"/>
    </row>
    <row r="8720" spans="8:8" x14ac:dyDescent="0.35">
      <c r="H8720" s="35"/>
    </row>
    <row r="8721" spans="8:8" x14ac:dyDescent="0.35">
      <c r="H8721" s="35"/>
    </row>
    <row r="8722" spans="8:8" x14ac:dyDescent="0.35">
      <c r="H8722" s="35"/>
    </row>
    <row r="8723" spans="8:8" x14ac:dyDescent="0.35">
      <c r="H8723" s="35"/>
    </row>
    <row r="8724" spans="8:8" x14ac:dyDescent="0.35">
      <c r="H8724" s="35"/>
    </row>
    <row r="8725" spans="8:8" x14ac:dyDescent="0.35">
      <c r="H8725" s="35"/>
    </row>
    <row r="8726" spans="8:8" x14ac:dyDescent="0.35">
      <c r="H8726" s="35"/>
    </row>
    <row r="8727" spans="8:8" x14ac:dyDescent="0.35">
      <c r="H8727" s="35"/>
    </row>
    <row r="8728" spans="8:8" x14ac:dyDescent="0.35">
      <c r="H8728" s="35"/>
    </row>
    <row r="8729" spans="8:8" x14ac:dyDescent="0.35">
      <c r="H8729" s="35"/>
    </row>
    <row r="8730" spans="8:8" x14ac:dyDescent="0.35">
      <c r="H8730" s="35"/>
    </row>
    <row r="8731" spans="8:8" x14ac:dyDescent="0.35">
      <c r="H8731" s="35"/>
    </row>
    <row r="8732" spans="8:8" x14ac:dyDescent="0.35">
      <c r="H8732" s="35"/>
    </row>
    <row r="8733" spans="8:8" x14ac:dyDescent="0.35">
      <c r="H8733" s="35"/>
    </row>
    <row r="8734" spans="8:8" x14ac:dyDescent="0.35">
      <c r="H8734" s="35"/>
    </row>
    <row r="8735" spans="8:8" x14ac:dyDescent="0.35">
      <c r="H8735" s="35"/>
    </row>
    <row r="8736" spans="8:8" x14ac:dyDescent="0.35">
      <c r="H8736" s="35"/>
    </row>
    <row r="8737" spans="8:8" x14ac:dyDescent="0.35">
      <c r="H8737" s="35"/>
    </row>
    <row r="8738" spans="8:8" x14ac:dyDescent="0.35">
      <c r="H8738" s="35"/>
    </row>
    <row r="8739" spans="8:8" x14ac:dyDescent="0.35">
      <c r="H8739" s="35"/>
    </row>
    <row r="8740" spans="8:8" x14ac:dyDescent="0.35">
      <c r="H8740" s="35"/>
    </row>
    <row r="8741" spans="8:8" x14ac:dyDescent="0.35">
      <c r="H8741" s="35"/>
    </row>
    <row r="8742" spans="8:8" x14ac:dyDescent="0.35">
      <c r="H8742" s="35"/>
    </row>
    <row r="8743" spans="8:8" x14ac:dyDescent="0.35">
      <c r="H8743" s="35"/>
    </row>
    <row r="8744" spans="8:8" x14ac:dyDescent="0.35">
      <c r="H8744" s="35"/>
    </row>
    <row r="8745" spans="8:8" x14ac:dyDescent="0.35">
      <c r="H8745" s="35"/>
    </row>
    <row r="8746" spans="8:8" x14ac:dyDescent="0.35">
      <c r="H8746" s="35"/>
    </row>
    <row r="8747" spans="8:8" x14ac:dyDescent="0.35">
      <c r="H8747" s="35"/>
    </row>
    <row r="8748" spans="8:8" x14ac:dyDescent="0.35">
      <c r="H8748" s="35"/>
    </row>
    <row r="8749" spans="8:8" x14ac:dyDescent="0.35">
      <c r="H8749" s="35"/>
    </row>
    <row r="8750" spans="8:8" x14ac:dyDescent="0.35">
      <c r="H8750" s="35"/>
    </row>
    <row r="8751" spans="8:8" x14ac:dyDescent="0.35">
      <c r="H8751" s="35"/>
    </row>
    <row r="8752" spans="8:8" x14ac:dyDescent="0.35">
      <c r="H8752" s="35"/>
    </row>
    <row r="8753" spans="8:8" x14ac:dyDescent="0.35">
      <c r="H8753" s="35"/>
    </row>
    <row r="8754" spans="8:8" x14ac:dyDescent="0.35">
      <c r="H8754" s="35"/>
    </row>
    <row r="8755" spans="8:8" x14ac:dyDescent="0.35">
      <c r="H8755" s="35"/>
    </row>
    <row r="8756" spans="8:8" x14ac:dyDescent="0.35">
      <c r="H8756" s="35"/>
    </row>
    <row r="8757" spans="8:8" x14ac:dyDescent="0.35">
      <c r="H8757" s="35"/>
    </row>
    <row r="8758" spans="8:8" x14ac:dyDescent="0.35">
      <c r="H8758" s="35"/>
    </row>
    <row r="8759" spans="8:8" x14ac:dyDescent="0.35">
      <c r="H8759" s="35"/>
    </row>
    <row r="8760" spans="8:8" x14ac:dyDescent="0.35">
      <c r="H8760" s="35"/>
    </row>
    <row r="8761" spans="8:8" x14ac:dyDescent="0.35">
      <c r="H8761" s="35"/>
    </row>
    <row r="8762" spans="8:8" x14ac:dyDescent="0.35">
      <c r="H8762" s="35"/>
    </row>
    <row r="8763" spans="8:8" x14ac:dyDescent="0.35">
      <c r="H8763" s="35"/>
    </row>
    <row r="8764" spans="8:8" x14ac:dyDescent="0.35">
      <c r="H8764" s="35"/>
    </row>
    <row r="8765" spans="8:8" x14ac:dyDescent="0.35">
      <c r="H8765" s="35"/>
    </row>
    <row r="8766" spans="8:8" x14ac:dyDescent="0.35">
      <c r="H8766" s="35"/>
    </row>
    <row r="8767" spans="8:8" x14ac:dyDescent="0.35">
      <c r="H8767" s="35"/>
    </row>
    <row r="8768" spans="8:8" x14ac:dyDescent="0.35">
      <c r="H8768" s="35"/>
    </row>
    <row r="8769" spans="8:8" x14ac:dyDescent="0.35">
      <c r="H8769" s="35"/>
    </row>
    <row r="8770" spans="8:8" x14ac:dyDescent="0.35">
      <c r="H8770" s="35"/>
    </row>
    <row r="8771" spans="8:8" x14ac:dyDescent="0.35">
      <c r="H8771" s="35"/>
    </row>
    <row r="8772" spans="8:8" x14ac:dyDescent="0.35">
      <c r="H8772" s="35"/>
    </row>
    <row r="8773" spans="8:8" x14ac:dyDescent="0.35">
      <c r="H8773" s="35"/>
    </row>
    <row r="8774" spans="8:8" x14ac:dyDescent="0.35">
      <c r="H8774" s="35"/>
    </row>
    <row r="8775" spans="8:8" x14ac:dyDescent="0.35">
      <c r="H8775" s="35"/>
    </row>
    <row r="8776" spans="8:8" x14ac:dyDescent="0.35">
      <c r="H8776" s="35"/>
    </row>
    <row r="8777" spans="8:8" x14ac:dyDescent="0.35">
      <c r="H8777" s="35"/>
    </row>
    <row r="8778" spans="8:8" x14ac:dyDescent="0.35">
      <c r="H8778" s="35"/>
    </row>
    <row r="8779" spans="8:8" x14ac:dyDescent="0.35">
      <c r="H8779" s="35"/>
    </row>
    <row r="8780" spans="8:8" x14ac:dyDescent="0.35">
      <c r="H8780" s="35"/>
    </row>
    <row r="8781" spans="8:8" x14ac:dyDescent="0.35">
      <c r="H8781" s="35"/>
    </row>
    <row r="8782" spans="8:8" x14ac:dyDescent="0.35">
      <c r="H8782" s="35"/>
    </row>
    <row r="8783" spans="8:8" x14ac:dyDescent="0.35">
      <c r="H8783" s="35"/>
    </row>
    <row r="8784" spans="8:8" x14ac:dyDescent="0.35">
      <c r="H8784" s="35"/>
    </row>
    <row r="8785" spans="8:8" x14ac:dyDescent="0.35">
      <c r="H8785" s="35"/>
    </row>
    <row r="8786" spans="8:8" x14ac:dyDescent="0.35">
      <c r="H8786" s="35"/>
    </row>
    <row r="8787" spans="8:8" x14ac:dyDescent="0.35">
      <c r="H8787" s="35"/>
    </row>
    <row r="8788" spans="8:8" x14ac:dyDescent="0.35">
      <c r="H8788" s="35"/>
    </row>
    <row r="8789" spans="8:8" x14ac:dyDescent="0.35">
      <c r="H8789" s="35"/>
    </row>
    <row r="8790" spans="8:8" x14ac:dyDescent="0.35">
      <c r="H8790" s="35"/>
    </row>
    <row r="8791" spans="8:8" x14ac:dyDescent="0.35">
      <c r="H8791" s="35"/>
    </row>
    <row r="8792" spans="8:8" x14ac:dyDescent="0.35">
      <c r="H8792" s="35"/>
    </row>
    <row r="8793" spans="8:8" x14ac:dyDescent="0.35">
      <c r="H8793" s="35"/>
    </row>
    <row r="8794" spans="8:8" x14ac:dyDescent="0.35">
      <c r="H8794" s="35"/>
    </row>
    <row r="8795" spans="8:8" x14ac:dyDescent="0.35">
      <c r="H8795" s="35"/>
    </row>
    <row r="8796" spans="8:8" x14ac:dyDescent="0.35">
      <c r="H8796" s="35"/>
    </row>
    <row r="8797" spans="8:8" x14ac:dyDescent="0.35">
      <c r="H8797" s="35"/>
    </row>
    <row r="8798" spans="8:8" x14ac:dyDescent="0.35">
      <c r="H8798" s="35"/>
    </row>
    <row r="8799" spans="8:8" x14ac:dyDescent="0.35">
      <c r="H8799" s="35"/>
    </row>
    <row r="8800" spans="8:8" x14ac:dyDescent="0.35">
      <c r="H8800" s="35"/>
    </row>
    <row r="8801" spans="8:8" x14ac:dyDescent="0.35">
      <c r="H8801" s="35"/>
    </row>
    <row r="8802" spans="8:8" x14ac:dyDescent="0.35">
      <c r="H8802" s="35"/>
    </row>
    <row r="8803" spans="8:8" x14ac:dyDescent="0.35">
      <c r="H8803" s="35"/>
    </row>
    <row r="8804" spans="8:8" x14ac:dyDescent="0.35">
      <c r="H8804" s="35"/>
    </row>
    <row r="8805" spans="8:8" x14ac:dyDescent="0.35">
      <c r="H8805" s="35"/>
    </row>
    <row r="8806" spans="8:8" x14ac:dyDescent="0.35">
      <c r="H8806" s="35"/>
    </row>
    <row r="8807" spans="8:8" x14ac:dyDescent="0.35">
      <c r="H8807" s="35"/>
    </row>
    <row r="8808" spans="8:8" x14ac:dyDescent="0.35">
      <c r="H8808" s="35"/>
    </row>
    <row r="8809" spans="8:8" x14ac:dyDescent="0.35">
      <c r="H8809" s="35"/>
    </row>
    <row r="8810" spans="8:8" x14ac:dyDescent="0.35">
      <c r="H8810" s="35"/>
    </row>
    <row r="8811" spans="8:8" x14ac:dyDescent="0.35">
      <c r="H8811" s="35"/>
    </row>
    <row r="8812" spans="8:8" x14ac:dyDescent="0.35">
      <c r="H8812" s="35"/>
    </row>
    <row r="8813" spans="8:8" x14ac:dyDescent="0.35">
      <c r="H8813" s="35"/>
    </row>
    <row r="8814" spans="8:8" x14ac:dyDescent="0.35">
      <c r="H8814" s="35"/>
    </row>
    <row r="8815" spans="8:8" x14ac:dyDescent="0.35">
      <c r="H8815" s="35"/>
    </row>
    <row r="8816" spans="8:8" x14ac:dyDescent="0.35">
      <c r="H8816" s="35"/>
    </row>
    <row r="8817" spans="8:8" x14ac:dyDescent="0.35">
      <c r="H8817" s="35"/>
    </row>
    <row r="8818" spans="8:8" x14ac:dyDescent="0.35">
      <c r="H8818" s="35"/>
    </row>
    <row r="8819" spans="8:8" x14ac:dyDescent="0.35">
      <c r="H8819" s="35"/>
    </row>
    <row r="8820" spans="8:8" x14ac:dyDescent="0.35">
      <c r="H8820" s="35"/>
    </row>
    <row r="8821" spans="8:8" x14ac:dyDescent="0.35">
      <c r="H8821" s="35"/>
    </row>
    <row r="8822" spans="8:8" x14ac:dyDescent="0.35">
      <c r="H8822" s="35"/>
    </row>
    <row r="8823" spans="8:8" x14ac:dyDescent="0.35">
      <c r="H8823" s="35"/>
    </row>
    <row r="8824" spans="8:8" x14ac:dyDescent="0.35">
      <c r="H8824" s="35"/>
    </row>
    <row r="8825" spans="8:8" x14ac:dyDescent="0.35">
      <c r="H8825" s="35"/>
    </row>
    <row r="8826" spans="8:8" x14ac:dyDescent="0.35">
      <c r="H8826" s="35"/>
    </row>
    <row r="8827" spans="8:8" x14ac:dyDescent="0.35">
      <c r="H8827" s="35"/>
    </row>
    <row r="8828" spans="8:8" x14ac:dyDescent="0.35">
      <c r="H8828" s="35"/>
    </row>
    <row r="8829" spans="8:8" x14ac:dyDescent="0.35">
      <c r="H8829" s="35"/>
    </row>
    <row r="8830" spans="8:8" x14ac:dyDescent="0.35">
      <c r="H8830" s="35"/>
    </row>
    <row r="8831" spans="8:8" x14ac:dyDescent="0.35">
      <c r="H8831" s="35"/>
    </row>
    <row r="8832" spans="8:8" x14ac:dyDescent="0.35">
      <c r="H8832" s="35"/>
    </row>
    <row r="8833" spans="8:8" x14ac:dyDescent="0.35">
      <c r="H8833" s="35"/>
    </row>
    <row r="8834" spans="8:8" x14ac:dyDescent="0.35">
      <c r="H8834" s="35"/>
    </row>
    <row r="8835" spans="8:8" x14ac:dyDescent="0.35">
      <c r="H8835" s="35"/>
    </row>
    <row r="8836" spans="8:8" x14ac:dyDescent="0.35">
      <c r="H8836" s="35"/>
    </row>
    <row r="8837" spans="8:8" x14ac:dyDescent="0.35">
      <c r="H8837" s="35"/>
    </row>
    <row r="8838" spans="8:8" x14ac:dyDescent="0.35">
      <c r="H8838" s="35"/>
    </row>
    <row r="8839" spans="8:8" x14ac:dyDescent="0.35">
      <c r="H8839" s="35"/>
    </row>
    <row r="8840" spans="8:8" x14ac:dyDescent="0.35">
      <c r="H8840" s="35"/>
    </row>
    <row r="8841" spans="8:8" x14ac:dyDescent="0.35">
      <c r="H8841" s="35"/>
    </row>
    <row r="8842" spans="8:8" x14ac:dyDescent="0.35">
      <c r="H8842" s="35"/>
    </row>
    <row r="8843" spans="8:8" x14ac:dyDescent="0.35">
      <c r="H8843" s="35"/>
    </row>
    <row r="8844" spans="8:8" x14ac:dyDescent="0.35">
      <c r="H8844" s="35"/>
    </row>
    <row r="8845" spans="8:8" x14ac:dyDescent="0.35">
      <c r="H8845" s="35"/>
    </row>
    <row r="8846" spans="8:8" x14ac:dyDescent="0.35">
      <c r="H8846" s="35"/>
    </row>
    <row r="8847" spans="8:8" x14ac:dyDescent="0.35">
      <c r="H8847" s="35"/>
    </row>
    <row r="8848" spans="8:8" x14ac:dyDescent="0.35">
      <c r="H8848" s="35"/>
    </row>
    <row r="8849" spans="8:8" x14ac:dyDescent="0.35">
      <c r="H8849" s="35"/>
    </row>
    <row r="8850" spans="8:8" x14ac:dyDescent="0.35">
      <c r="H8850" s="35"/>
    </row>
    <row r="8851" spans="8:8" x14ac:dyDescent="0.35">
      <c r="H8851" s="35"/>
    </row>
    <row r="8852" spans="8:8" x14ac:dyDescent="0.35">
      <c r="H8852" s="35"/>
    </row>
    <row r="8853" spans="8:8" x14ac:dyDescent="0.35">
      <c r="H8853" s="35"/>
    </row>
    <row r="8854" spans="8:8" x14ac:dyDescent="0.35">
      <c r="H8854" s="35"/>
    </row>
    <row r="8855" spans="8:8" x14ac:dyDescent="0.35">
      <c r="H8855" s="35"/>
    </row>
    <row r="8856" spans="8:8" x14ac:dyDescent="0.35">
      <c r="H8856" s="35"/>
    </row>
    <row r="8857" spans="8:8" x14ac:dyDescent="0.35">
      <c r="H8857" s="35"/>
    </row>
    <row r="8858" spans="8:8" x14ac:dyDescent="0.35">
      <c r="H8858" s="35"/>
    </row>
    <row r="8859" spans="8:8" x14ac:dyDescent="0.35">
      <c r="H8859" s="35"/>
    </row>
    <row r="8860" spans="8:8" x14ac:dyDescent="0.35">
      <c r="H8860" s="35"/>
    </row>
    <row r="8861" spans="8:8" x14ac:dyDescent="0.35">
      <c r="H8861" s="35"/>
    </row>
    <row r="8862" spans="8:8" x14ac:dyDescent="0.35">
      <c r="H8862" s="35"/>
    </row>
    <row r="8863" spans="8:8" x14ac:dyDescent="0.35">
      <c r="H8863" s="35"/>
    </row>
    <row r="8864" spans="8:8" x14ac:dyDescent="0.35">
      <c r="H8864" s="35"/>
    </row>
    <row r="8865" spans="8:8" x14ac:dyDescent="0.35">
      <c r="H8865" s="35"/>
    </row>
    <row r="8866" spans="8:8" x14ac:dyDescent="0.35">
      <c r="H8866" s="35"/>
    </row>
    <row r="8867" spans="8:8" x14ac:dyDescent="0.35">
      <c r="H8867" s="35"/>
    </row>
    <row r="8868" spans="8:8" x14ac:dyDescent="0.35">
      <c r="H8868" s="35"/>
    </row>
    <row r="8869" spans="8:8" x14ac:dyDescent="0.35">
      <c r="H8869" s="35"/>
    </row>
    <row r="8870" spans="8:8" x14ac:dyDescent="0.35">
      <c r="H8870" s="35"/>
    </row>
    <row r="8871" spans="8:8" x14ac:dyDescent="0.35">
      <c r="H8871" s="35"/>
    </row>
    <row r="8872" spans="8:8" x14ac:dyDescent="0.35">
      <c r="H8872" s="35"/>
    </row>
    <row r="8873" spans="8:8" x14ac:dyDescent="0.35">
      <c r="H8873" s="35"/>
    </row>
    <row r="8874" spans="8:8" x14ac:dyDescent="0.35">
      <c r="H8874" s="35"/>
    </row>
    <row r="8875" spans="8:8" x14ac:dyDescent="0.35">
      <c r="H8875" s="35"/>
    </row>
    <row r="8876" spans="8:8" x14ac:dyDescent="0.35">
      <c r="H8876" s="35"/>
    </row>
    <row r="8877" spans="8:8" x14ac:dyDescent="0.35">
      <c r="H8877" s="35"/>
    </row>
    <row r="8878" spans="8:8" x14ac:dyDescent="0.35">
      <c r="H8878" s="35"/>
    </row>
    <row r="8879" spans="8:8" x14ac:dyDescent="0.35">
      <c r="H8879" s="35"/>
    </row>
    <row r="8880" spans="8:8" x14ac:dyDescent="0.35">
      <c r="H8880" s="35"/>
    </row>
    <row r="8881" spans="8:8" x14ac:dyDescent="0.35">
      <c r="H8881" s="35"/>
    </row>
    <row r="8882" spans="8:8" x14ac:dyDescent="0.35">
      <c r="H8882" s="35"/>
    </row>
    <row r="8883" spans="8:8" x14ac:dyDescent="0.35">
      <c r="H8883" s="35"/>
    </row>
    <row r="8884" spans="8:8" x14ac:dyDescent="0.35">
      <c r="H8884" s="35"/>
    </row>
    <row r="8885" spans="8:8" x14ac:dyDescent="0.35">
      <c r="H8885" s="35"/>
    </row>
    <row r="8886" spans="8:8" x14ac:dyDescent="0.35">
      <c r="H8886" s="35"/>
    </row>
    <row r="8887" spans="8:8" x14ac:dyDescent="0.35">
      <c r="H8887" s="35"/>
    </row>
    <row r="8888" spans="8:8" x14ac:dyDescent="0.35">
      <c r="H8888" s="35"/>
    </row>
    <row r="8889" spans="8:8" x14ac:dyDescent="0.35">
      <c r="H8889" s="35"/>
    </row>
    <row r="8890" spans="8:8" x14ac:dyDescent="0.35">
      <c r="H8890" s="35"/>
    </row>
    <row r="8891" spans="8:8" x14ac:dyDescent="0.35">
      <c r="H8891" s="35"/>
    </row>
    <row r="8892" spans="8:8" x14ac:dyDescent="0.35">
      <c r="H8892" s="35"/>
    </row>
    <row r="8893" spans="8:8" x14ac:dyDescent="0.35">
      <c r="H8893" s="35"/>
    </row>
    <row r="8894" spans="8:8" x14ac:dyDescent="0.35">
      <c r="H8894" s="35"/>
    </row>
    <row r="8895" spans="8:8" x14ac:dyDescent="0.35">
      <c r="H8895" s="35"/>
    </row>
    <row r="8896" spans="8:8" x14ac:dyDescent="0.35">
      <c r="H8896" s="35"/>
    </row>
    <row r="8897" spans="8:8" x14ac:dyDescent="0.35">
      <c r="H8897" s="35"/>
    </row>
    <row r="8898" spans="8:8" x14ac:dyDescent="0.35">
      <c r="H8898" s="35"/>
    </row>
    <row r="8899" spans="8:8" x14ac:dyDescent="0.35">
      <c r="H8899" s="35"/>
    </row>
    <row r="8900" spans="8:8" x14ac:dyDescent="0.35">
      <c r="H8900" s="35"/>
    </row>
    <row r="8901" spans="8:8" x14ac:dyDescent="0.35">
      <c r="H8901" s="35"/>
    </row>
    <row r="8902" spans="8:8" x14ac:dyDescent="0.35">
      <c r="H8902" s="35"/>
    </row>
    <row r="8903" spans="8:8" x14ac:dyDescent="0.35">
      <c r="H8903" s="35"/>
    </row>
    <row r="8904" spans="8:8" x14ac:dyDescent="0.35">
      <c r="H8904" s="35"/>
    </row>
    <row r="8905" spans="8:8" x14ac:dyDescent="0.35">
      <c r="H8905" s="35"/>
    </row>
    <row r="8906" spans="8:8" x14ac:dyDescent="0.35">
      <c r="H8906" s="35"/>
    </row>
    <row r="8907" spans="8:8" x14ac:dyDescent="0.35">
      <c r="H8907" s="35"/>
    </row>
    <row r="8908" spans="8:8" x14ac:dyDescent="0.35">
      <c r="H8908" s="35"/>
    </row>
    <row r="8909" spans="8:8" x14ac:dyDescent="0.35">
      <c r="H8909" s="35"/>
    </row>
    <row r="8910" spans="8:8" x14ac:dyDescent="0.35">
      <c r="H8910" s="35"/>
    </row>
    <row r="8911" spans="8:8" x14ac:dyDescent="0.35">
      <c r="H8911" s="35"/>
    </row>
    <row r="8912" spans="8:8" x14ac:dyDescent="0.35">
      <c r="H8912" s="35"/>
    </row>
    <row r="8913" spans="8:8" x14ac:dyDescent="0.35">
      <c r="H8913" s="35"/>
    </row>
    <row r="8914" spans="8:8" x14ac:dyDescent="0.35">
      <c r="H8914" s="35"/>
    </row>
    <row r="8915" spans="8:8" x14ac:dyDescent="0.35">
      <c r="H8915" s="35"/>
    </row>
    <row r="8916" spans="8:8" x14ac:dyDescent="0.35">
      <c r="H8916" s="35"/>
    </row>
    <row r="8917" spans="8:8" x14ac:dyDescent="0.35">
      <c r="H8917" s="35"/>
    </row>
    <row r="8918" spans="8:8" x14ac:dyDescent="0.35">
      <c r="H8918" s="35"/>
    </row>
    <row r="8919" spans="8:8" x14ac:dyDescent="0.35">
      <c r="H8919" s="35"/>
    </row>
    <row r="8920" spans="8:8" x14ac:dyDescent="0.35">
      <c r="H8920" s="35"/>
    </row>
    <row r="8921" spans="8:8" x14ac:dyDescent="0.35">
      <c r="H8921" s="35"/>
    </row>
    <row r="8922" spans="8:8" x14ac:dyDescent="0.35">
      <c r="H8922" s="35"/>
    </row>
    <row r="8923" spans="8:8" x14ac:dyDescent="0.35">
      <c r="H8923" s="35"/>
    </row>
    <row r="8924" spans="8:8" x14ac:dyDescent="0.35">
      <c r="H8924" s="35"/>
    </row>
    <row r="8925" spans="8:8" x14ac:dyDescent="0.35">
      <c r="H8925" s="35"/>
    </row>
    <row r="8926" spans="8:8" x14ac:dyDescent="0.35">
      <c r="H8926" s="35"/>
    </row>
    <row r="8927" spans="8:8" x14ac:dyDescent="0.35">
      <c r="H8927" s="35"/>
    </row>
    <row r="8928" spans="8:8" x14ac:dyDescent="0.35">
      <c r="H8928" s="35"/>
    </row>
    <row r="8929" spans="8:8" x14ac:dyDescent="0.35">
      <c r="H8929" s="35"/>
    </row>
    <row r="8930" spans="8:8" x14ac:dyDescent="0.35">
      <c r="H8930" s="35"/>
    </row>
    <row r="8931" spans="8:8" x14ac:dyDescent="0.35">
      <c r="H8931" s="35"/>
    </row>
    <row r="8932" spans="8:8" x14ac:dyDescent="0.35">
      <c r="H8932" s="35"/>
    </row>
    <row r="8933" spans="8:8" x14ac:dyDescent="0.35">
      <c r="H8933" s="35"/>
    </row>
    <row r="8934" spans="8:8" x14ac:dyDescent="0.35">
      <c r="H8934" s="35"/>
    </row>
    <row r="8935" spans="8:8" x14ac:dyDescent="0.35">
      <c r="H8935" s="35"/>
    </row>
    <row r="8936" spans="8:8" x14ac:dyDescent="0.35">
      <c r="H8936" s="35"/>
    </row>
    <row r="8937" spans="8:8" x14ac:dyDescent="0.35">
      <c r="H8937" s="35"/>
    </row>
    <row r="8938" spans="8:8" x14ac:dyDescent="0.35">
      <c r="H8938" s="35"/>
    </row>
    <row r="8939" spans="8:8" x14ac:dyDescent="0.35">
      <c r="H8939" s="35"/>
    </row>
    <row r="8940" spans="8:8" x14ac:dyDescent="0.35">
      <c r="H8940" s="35"/>
    </row>
    <row r="8941" spans="8:8" x14ac:dyDescent="0.35">
      <c r="H8941" s="35"/>
    </row>
    <row r="8942" spans="8:8" x14ac:dyDescent="0.35">
      <c r="H8942" s="35"/>
    </row>
    <row r="8943" spans="8:8" x14ac:dyDescent="0.35">
      <c r="H8943" s="35"/>
    </row>
    <row r="8944" spans="8:8" x14ac:dyDescent="0.35">
      <c r="H8944" s="35"/>
    </row>
    <row r="8945" spans="8:8" x14ac:dyDescent="0.35">
      <c r="H8945" s="35"/>
    </row>
    <row r="8946" spans="8:8" x14ac:dyDescent="0.35">
      <c r="H8946" s="35"/>
    </row>
    <row r="8947" spans="8:8" x14ac:dyDescent="0.35">
      <c r="H8947" s="35"/>
    </row>
    <row r="8948" spans="8:8" x14ac:dyDescent="0.35">
      <c r="H8948" s="35"/>
    </row>
    <row r="8949" spans="8:8" x14ac:dyDescent="0.35">
      <c r="H8949" s="35"/>
    </row>
    <row r="8950" spans="8:8" x14ac:dyDescent="0.35">
      <c r="H8950" s="35"/>
    </row>
    <row r="8951" spans="8:8" x14ac:dyDescent="0.35">
      <c r="H8951" s="35"/>
    </row>
    <row r="8952" spans="8:8" x14ac:dyDescent="0.35">
      <c r="H8952" s="35"/>
    </row>
    <row r="8953" spans="8:8" x14ac:dyDescent="0.35">
      <c r="H8953" s="35"/>
    </row>
    <row r="8954" spans="8:8" x14ac:dyDescent="0.35">
      <c r="H8954" s="35"/>
    </row>
    <row r="8955" spans="8:8" x14ac:dyDescent="0.35">
      <c r="H8955" s="35"/>
    </row>
    <row r="8956" spans="8:8" x14ac:dyDescent="0.35">
      <c r="H8956" s="35"/>
    </row>
    <row r="8957" spans="8:8" x14ac:dyDescent="0.35">
      <c r="H8957" s="35"/>
    </row>
    <row r="8958" spans="8:8" x14ac:dyDescent="0.35">
      <c r="H8958" s="35"/>
    </row>
    <row r="8959" spans="8:8" x14ac:dyDescent="0.35">
      <c r="H8959" s="35"/>
    </row>
    <row r="8960" spans="8:8" x14ac:dyDescent="0.35">
      <c r="H8960" s="35"/>
    </row>
    <row r="8961" spans="8:8" x14ac:dyDescent="0.35">
      <c r="H8961" s="35"/>
    </row>
    <row r="8962" spans="8:8" x14ac:dyDescent="0.35">
      <c r="H8962" s="35"/>
    </row>
    <row r="8963" spans="8:8" x14ac:dyDescent="0.35">
      <c r="H8963" s="35"/>
    </row>
    <row r="8964" spans="8:8" x14ac:dyDescent="0.35">
      <c r="H8964" s="35"/>
    </row>
    <row r="8965" spans="8:8" x14ac:dyDescent="0.35">
      <c r="H8965" s="35"/>
    </row>
    <row r="8966" spans="8:8" x14ac:dyDescent="0.35">
      <c r="H8966" s="35"/>
    </row>
    <row r="8967" spans="8:8" x14ac:dyDescent="0.35">
      <c r="H8967" s="35"/>
    </row>
    <row r="8968" spans="8:8" x14ac:dyDescent="0.35">
      <c r="H8968" s="35"/>
    </row>
    <row r="8969" spans="8:8" x14ac:dyDescent="0.35">
      <c r="H8969" s="35"/>
    </row>
    <row r="8970" spans="8:8" x14ac:dyDescent="0.35">
      <c r="H8970" s="35"/>
    </row>
    <row r="8971" spans="8:8" x14ac:dyDescent="0.35">
      <c r="H8971" s="35"/>
    </row>
    <row r="8972" spans="8:8" x14ac:dyDescent="0.35">
      <c r="H8972" s="35"/>
    </row>
    <row r="8973" spans="8:8" x14ac:dyDescent="0.35">
      <c r="H8973" s="35"/>
    </row>
    <row r="8974" spans="8:8" x14ac:dyDescent="0.35">
      <c r="H8974" s="35"/>
    </row>
    <row r="8975" spans="8:8" x14ac:dyDescent="0.35">
      <c r="H8975" s="35"/>
    </row>
    <row r="8976" spans="8:8" x14ac:dyDescent="0.35">
      <c r="H8976" s="35"/>
    </row>
    <row r="8977" spans="8:8" x14ac:dyDescent="0.35">
      <c r="H8977" s="35"/>
    </row>
    <row r="8978" spans="8:8" x14ac:dyDescent="0.35">
      <c r="H8978" s="35"/>
    </row>
    <row r="8979" spans="8:8" x14ac:dyDescent="0.35">
      <c r="H8979" s="35"/>
    </row>
    <row r="8980" spans="8:8" x14ac:dyDescent="0.35">
      <c r="H8980" s="35"/>
    </row>
    <row r="8981" spans="8:8" x14ac:dyDescent="0.35">
      <c r="H8981" s="35"/>
    </row>
    <row r="8982" spans="8:8" x14ac:dyDescent="0.35">
      <c r="H8982" s="35"/>
    </row>
    <row r="8983" spans="8:8" x14ac:dyDescent="0.35">
      <c r="H8983" s="35"/>
    </row>
    <row r="8984" spans="8:8" x14ac:dyDescent="0.35">
      <c r="H8984" s="35"/>
    </row>
    <row r="8985" spans="8:8" x14ac:dyDescent="0.35">
      <c r="H8985" s="35"/>
    </row>
    <row r="8986" spans="8:8" x14ac:dyDescent="0.35">
      <c r="H8986" s="35"/>
    </row>
    <row r="8987" spans="8:8" x14ac:dyDescent="0.35">
      <c r="H8987" s="35"/>
    </row>
    <row r="8988" spans="8:8" x14ac:dyDescent="0.35">
      <c r="H8988" s="35"/>
    </row>
    <row r="8989" spans="8:8" x14ac:dyDescent="0.35">
      <c r="H8989" s="35"/>
    </row>
    <row r="8990" spans="8:8" x14ac:dyDescent="0.35">
      <c r="H8990" s="35"/>
    </row>
    <row r="8991" spans="8:8" x14ac:dyDescent="0.35">
      <c r="H8991" s="35"/>
    </row>
    <row r="8992" spans="8:8" x14ac:dyDescent="0.35">
      <c r="H8992" s="35"/>
    </row>
    <row r="8993" spans="8:8" x14ac:dyDescent="0.35">
      <c r="H8993" s="35"/>
    </row>
    <row r="8994" spans="8:8" x14ac:dyDescent="0.35">
      <c r="H8994" s="35"/>
    </row>
    <row r="8995" spans="8:8" x14ac:dyDescent="0.35">
      <c r="H8995" s="35"/>
    </row>
    <row r="8996" spans="8:8" x14ac:dyDescent="0.35">
      <c r="H8996" s="35"/>
    </row>
    <row r="8997" spans="8:8" x14ac:dyDescent="0.35">
      <c r="H8997" s="35"/>
    </row>
    <row r="8998" spans="8:8" x14ac:dyDescent="0.35">
      <c r="H8998" s="35"/>
    </row>
    <row r="8999" spans="8:8" x14ac:dyDescent="0.35">
      <c r="H8999" s="35"/>
    </row>
    <row r="9000" spans="8:8" x14ac:dyDescent="0.35">
      <c r="H9000" s="35"/>
    </row>
    <row r="9001" spans="8:8" x14ac:dyDescent="0.35">
      <c r="H9001" s="35"/>
    </row>
    <row r="9002" spans="8:8" x14ac:dyDescent="0.35">
      <c r="H9002" s="35"/>
    </row>
    <row r="9003" spans="8:8" x14ac:dyDescent="0.35">
      <c r="H9003" s="35"/>
    </row>
    <row r="9004" spans="8:8" x14ac:dyDescent="0.35">
      <c r="H9004" s="35"/>
    </row>
    <row r="9005" spans="8:8" x14ac:dyDescent="0.35">
      <c r="H9005" s="35"/>
    </row>
    <row r="9006" spans="8:8" x14ac:dyDescent="0.35">
      <c r="H9006" s="35"/>
    </row>
    <row r="9007" spans="8:8" x14ac:dyDescent="0.35">
      <c r="H9007" s="35"/>
    </row>
    <row r="9008" spans="8:8" x14ac:dyDescent="0.35">
      <c r="H9008" s="35"/>
    </row>
    <row r="9009" spans="8:8" x14ac:dyDescent="0.35">
      <c r="H9009" s="35"/>
    </row>
    <row r="9010" spans="8:8" x14ac:dyDescent="0.35">
      <c r="H9010" s="35"/>
    </row>
    <row r="9011" spans="8:8" x14ac:dyDescent="0.35">
      <c r="H9011" s="35"/>
    </row>
    <row r="9012" spans="8:8" x14ac:dyDescent="0.35">
      <c r="H9012" s="35"/>
    </row>
    <row r="9013" spans="8:8" x14ac:dyDescent="0.35">
      <c r="H9013" s="35"/>
    </row>
    <row r="9014" spans="8:8" x14ac:dyDescent="0.35">
      <c r="H9014" s="35"/>
    </row>
    <row r="9015" spans="8:8" x14ac:dyDescent="0.35">
      <c r="H9015" s="35"/>
    </row>
    <row r="9016" spans="8:8" x14ac:dyDescent="0.35">
      <c r="H9016" s="35"/>
    </row>
    <row r="9017" spans="8:8" x14ac:dyDescent="0.35">
      <c r="H9017" s="35"/>
    </row>
    <row r="9018" spans="8:8" x14ac:dyDescent="0.35">
      <c r="H9018" s="35"/>
    </row>
    <row r="9019" spans="8:8" x14ac:dyDescent="0.35">
      <c r="H9019" s="35"/>
    </row>
    <row r="9020" spans="8:8" x14ac:dyDescent="0.35">
      <c r="H9020" s="35"/>
    </row>
    <row r="9021" spans="8:8" x14ac:dyDescent="0.35">
      <c r="H9021" s="35"/>
    </row>
    <row r="9022" spans="8:8" x14ac:dyDescent="0.35">
      <c r="H9022" s="35"/>
    </row>
    <row r="9023" spans="8:8" x14ac:dyDescent="0.35">
      <c r="H9023" s="35"/>
    </row>
    <row r="9024" spans="8:8" x14ac:dyDescent="0.35">
      <c r="H9024" s="35"/>
    </row>
    <row r="9025" spans="8:8" x14ac:dyDescent="0.35">
      <c r="H9025" s="35"/>
    </row>
    <row r="9026" spans="8:8" x14ac:dyDescent="0.35">
      <c r="H9026" s="35"/>
    </row>
    <row r="9027" spans="8:8" x14ac:dyDescent="0.35">
      <c r="H9027" s="35"/>
    </row>
    <row r="9028" spans="8:8" x14ac:dyDescent="0.35">
      <c r="H9028" s="35"/>
    </row>
    <row r="9029" spans="8:8" x14ac:dyDescent="0.35">
      <c r="H9029" s="35"/>
    </row>
    <row r="9030" spans="8:8" x14ac:dyDescent="0.35">
      <c r="H9030" s="35"/>
    </row>
    <row r="9031" spans="8:8" x14ac:dyDescent="0.35">
      <c r="H9031" s="35"/>
    </row>
    <row r="9032" spans="8:8" x14ac:dyDescent="0.35">
      <c r="H9032" s="35"/>
    </row>
    <row r="9033" spans="8:8" x14ac:dyDescent="0.35">
      <c r="H9033" s="35"/>
    </row>
    <row r="9034" spans="8:8" x14ac:dyDescent="0.35">
      <c r="H9034" s="35"/>
    </row>
    <row r="9035" spans="8:8" x14ac:dyDescent="0.35">
      <c r="H9035" s="35"/>
    </row>
    <row r="9036" spans="8:8" x14ac:dyDescent="0.35">
      <c r="H9036" s="35"/>
    </row>
    <row r="9037" spans="8:8" x14ac:dyDescent="0.35">
      <c r="H9037" s="35"/>
    </row>
    <row r="9038" spans="8:8" x14ac:dyDescent="0.35">
      <c r="H9038" s="35"/>
    </row>
    <row r="9039" spans="8:8" x14ac:dyDescent="0.35">
      <c r="H9039" s="35"/>
    </row>
    <row r="9040" spans="8:8" x14ac:dyDescent="0.35">
      <c r="H9040" s="35"/>
    </row>
    <row r="9041" spans="8:8" x14ac:dyDescent="0.35">
      <c r="H9041" s="35"/>
    </row>
    <row r="9042" spans="8:8" x14ac:dyDescent="0.35">
      <c r="H9042" s="35"/>
    </row>
    <row r="9043" spans="8:8" x14ac:dyDescent="0.35">
      <c r="H9043" s="35"/>
    </row>
    <row r="9044" spans="8:8" x14ac:dyDescent="0.35">
      <c r="H9044" s="35"/>
    </row>
    <row r="9045" spans="8:8" x14ac:dyDescent="0.35">
      <c r="H9045" s="35"/>
    </row>
    <row r="9046" spans="8:8" x14ac:dyDescent="0.35">
      <c r="H9046" s="35"/>
    </row>
    <row r="9047" spans="8:8" x14ac:dyDescent="0.35">
      <c r="H9047" s="35"/>
    </row>
    <row r="9048" spans="8:8" x14ac:dyDescent="0.35">
      <c r="H9048" s="35"/>
    </row>
    <row r="9049" spans="8:8" x14ac:dyDescent="0.35">
      <c r="H9049" s="35"/>
    </row>
    <row r="9050" spans="8:8" x14ac:dyDescent="0.35">
      <c r="H9050" s="35"/>
    </row>
    <row r="9051" spans="8:8" x14ac:dyDescent="0.35">
      <c r="H9051" s="35"/>
    </row>
    <row r="9052" spans="8:8" x14ac:dyDescent="0.35">
      <c r="H9052" s="35"/>
    </row>
    <row r="9053" spans="8:8" x14ac:dyDescent="0.35">
      <c r="H9053" s="35"/>
    </row>
    <row r="9054" spans="8:8" x14ac:dyDescent="0.35">
      <c r="H9054" s="35"/>
    </row>
    <row r="9055" spans="8:8" x14ac:dyDescent="0.35">
      <c r="H9055" s="35"/>
    </row>
    <row r="9056" spans="8:8" x14ac:dyDescent="0.35">
      <c r="H9056" s="35"/>
    </row>
    <row r="9057" spans="8:8" x14ac:dyDescent="0.35">
      <c r="H9057" s="35"/>
    </row>
    <row r="9058" spans="8:8" x14ac:dyDescent="0.35">
      <c r="H9058" s="35"/>
    </row>
    <row r="9059" spans="8:8" x14ac:dyDescent="0.35">
      <c r="H9059" s="35"/>
    </row>
    <row r="9060" spans="8:8" x14ac:dyDescent="0.35">
      <c r="H9060" s="35"/>
    </row>
    <row r="9061" spans="8:8" x14ac:dyDescent="0.35">
      <c r="H9061" s="35"/>
    </row>
    <row r="9062" spans="8:8" x14ac:dyDescent="0.35">
      <c r="H9062" s="35"/>
    </row>
    <row r="9063" spans="8:8" x14ac:dyDescent="0.35">
      <c r="H9063" s="35"/>
    </row>
    <row r="9064" spans="8:8" x14ac:dyDescent="0.35">
      <c r="H9064" s="35"/>
    </row>
    <row r="9065" spans="8:8" x14ac:dyDescent="0.35">
      <c r="H9065" s="35"/>
    </row>
    <row r="9066" spans="8:8" x14ac:dyDescent="0.35">
      <c r="H9066" s="35"/>
    </row>
    <row r="9067" spans="8:8" x14ac:dyDescent="0.35">
      <c r="H9067" s="35"/>
    </row>
    <row r="9068" spans="8:8" x14ac:dyDescent="0.35">
      <c r="H9068" s="35"/>
    </row>
    <row r="9069" spans="8:8" x14ac:dyDescent="0.35">
      <c r="H9069" s="35"/>
    </row>
    <row r="9070" spans="8:8" x14ac:dyDescent="0.35">
      <c r="H9070" s="35"/>
    </row>
    <row r="9071" spans="8:8" x14ac:dyDescent="0.35">
      <c r="H9071" s="35"/>
    </row>
    <row r="9072" spans="8:8" x14ac:dyDescent="0.35">
      <c r="H9072" s="35"/>
    </row>
    <row r="9073" spans="8:8" x14ac:dyDescent="0.35">
      <c r="H9073" s="35"/>
    </row>
    <row r="9074" spans="8:8" x14ac:dyDescent="0.35">
      <c r="H9074" s="35"/>
    </row>
    <row r="9075" spans="8:8" x14ac:dyDescent="0.35">
      <c r="H9075" s="35"/>
    </row>
    <row r="9076" spans="8:8" x14ac:dyDescent="0.35">
      <c r="H9076" s="35"/>
    </row>
    <row r="9077" spans="8:8" x14ac:dyDescent="0.35">
      <c r="H9077" s="35"/>
    </row>
    <row r="9078" spans="8:8" x14ac:dyDescent="0.35">
      <c r="H9078" s="35"/>
    </row>
    <row r="9079" spans="8:8" x14ac:dyDescent="0.35">
      <c r="H9079" s="35"/>
    </row>
    <row r="9080" spans="8:8" x14ac:dyDescent="0.35">
      <c r="H9080" s="35"/>
    </row>
    <row r="9081" spans="8:8" x14ac:dyDescent="0.35">
      <c r="H9081" s="35"/>
    </row>
    <row r="9082" spans="8:8" x14ac:dyDescent="0.35">
      <c r="H9082" s="35"/>
    </row>
    <row r="9083" spans="8:8" x14ac:dyDescent="0.35">
      <c r="H9083" s="35"/>
    </row>
    <row r="9084" spans="8:8" x14ac:dyDescent="0.35">
      <c r="H9084" s="35"/>
    </row>
    <row r="9085" spans="8:8" x14ac:dyDescent="0.35">
      <c r="H9085" s="35"/>
    </row>
    <row r="9086" spans="8:8" x14ac:dyDescent="0.35">
      <c r="H9086" s="35"/>
    </row>
    <row r="9087" spans="8:8" x14ac:dyDescent="0.35">
      <c r="H9087" s="35"/>
    </row>
    <row r="9088" spans="8:8" x14ac:dyDescent="0.35">
      <c r="H9088" s="35"/>
    </row>
    <row r="9089" spans="8:8" x14ac:dyDescent="0.35">
      <c r="H9089" s="35"/>
    </row>
    <row r="9090" spans="8:8" x14ac:dyDescent="0.35">
      <c r="H9090" s="35"/>
    </row>
    <row r="9091" spans="8:8" x14ac:dyDescent="0.35">
      <c r="H9091" s="35"/>
    </row>
    <row r="9092" spans="8:8" x14ac:dyDescent="0.35">
      <c r="H9092" s="35"/>
    </row>
    <row r="9093" spans="8:8" x14ac:dyDescent="0.35">
      <c r="H9093" s="35"/>
    </row>
    <row r="9094" spans="8:8" x14ac:dyDescent="0.35">
      <c r="H9094" s="35"/>
    </row>
    <row r="9095" spans="8:8" x14ac:dyDescent="0.35">
      <c r="H9095" s="35"/>
    </row>
    <row r="9096" spans="8:8" x14ac:dyDescent="0.35">
      <c r="H9096" s="35"/>
    </row>
    <row r="9097" spans="8:8" x14ac:dyDescent="0.35">
      <c r="H9097" s="35"/>
    </row>
    <row r="9098" spans="8:8" x14ac:dyDescent="0.35">
      <c r="H9098" s="35"/>
    </row>
    <row r="9099" spans="8:8" x14ac:dyDescent="0.35">
      <c r="H9099" s="35"/>
    </row>
    <row r="9100" spans="8:8" x14ac:dyDescent="0.35">
      <c r="H9100" s="35"/>
    </row>
    <row r="9101" spans="8:8" x14ac:dyDescent="0.35">
      <c r="H9101" s="35"/>
    </row>
    <row r="9102" spans="8:8" x14ac:dyDescent="0.35">
      <c r="H9102" s="35"/>
    </row>
    <row r="9103" spans="8:8" x14ac:dyDescent="0.35">
      <c r="H9103" s="35"/>
    </row>
    <row r="9104" spans="8:8" x14ac:dyDescent="0.35">
      <c r="H9104" s="35"/>
    </row>
    <row r="9105" spans="8:8" x14ac:dyDescent="0.35">
      <c r="H9105" s="35"/>
    </row>
    <row r="9106" spans="8:8" x14ac:dyDescent="0.35">
      <c r="H9106" s="35"/>
    </row>
    <row r="9107" spans="8:8" x14ac:dyDescent="0.35">
      <c r="H9107" s="35"/>
    </row>
    <row r="9108" spans="8:8" x14ac:dyDescent="0.35">
      <c r="H9108" s="35"/>
    </row>
    <row r="9109" spans="8:8" x14ac:dyDescent="0.35">
      <c r="H9109" s="35"/>
    </row>
    <row r="9110" spans="8:8" x14ac:dyDescent="0.35">
      <c r="H9110" s="35"/>
    </row>
    <row r="9111" spans="8:8" x14ac:dyDescent="0.35">
      <c r="H9111" s="35"/>
    </row>
    <row r="9112" spans="8:8" x14ac:dyDescent="0.35">
      <c r="H9112" s="35"/>
    </row>
    <row r="9113" spans="8:8" x14ac:dyDescent="0.35">
      <c r="H9113" s="35"/>
    </row>
    <row r="9114" spans="8:8" x14ac:dyDescent="0.35">
      <c r="H9114" s="35"/>
    </row>
    <row r="9115" spans="8:8" x14ac:dyDescent="0.35">
      <c r="H9115" s="35"/>
    </row>
    <row r="9116" spans="8:8" x14ac:dyDescent="0.35">
      <c r="H9116" s="35"/>
    </row>
    <row r="9117" spans="8:8" x14ac:dyDescent="0.35">
      <c r="H9117" s="35"/>
    </row>
    <row r="9118" spans="8:8" x14ac:dyDescent="0.35">
      <c r="H9118" s="35"/>
    </row>
    <row r="9119" spans="8:8" x14ac:dyDescent="0.35">
      <c r="H9119" s="35"/>
    </row>
    <row r="9120" spans="8:8" x14ac:dyDescent="0.35">
      <c r="H9120" s="35"/>
    </row>
    <row r="9121" spans="8:8" x14ac:dyDescent="0.35">
      <c r="H9121" s="35"/>
    </row>
    <row r="9122" spans="8:8" x14ac:dyDescent="0.35">
      <c r="H9122" s="35"/>
    </row>
    <row r="9123" spans="8:8" x14ac:dyDescent="0.35">
      <c r="H9123" s="35"/>
    </row>
    <row r="9124" spans="8:8" x14ac:dyDescent="0.35">
      <c r="H9124" s="35"/>
    </row>
    <row r="9125" spans="8:8" x14ac:dyDescent="0.35">
      <c r="H9125" s="35"/>
    </row>
    <row r="9126" spans="8:8" x14ac:dyDescent="0.35">
      <c r="H9126" s="35"/>
    </row>
    <row r="9127" spans="8:8" x14ac:dyDescent="0.35">
      <c r="H9127" s="35"/>
    </row>
    <row r="9128" spans="8:8" x14ac:dyDescent="0.35">
      <c r="H9128" s="35"/>
    </row>
    <row r="9129" spans="8:8" x14ac:dyDescent="0.35">
      <c r="H9129" s="35"/>
    </row>
    <row r="9130" spans="8:8" x14ac:dyDescent="0.35">
      <c r="H9130" s="35"/>
    </row>
    <row r="9131" spans="8:8" x14ac:dyDescent="0.35">
      <c r="H9131" s="35"/>
    </row>
    <row r="9132" spans="8:8" x14ac:dyDescent="0.35">
      <c r="H9132" s="35"/>
    </row>
    <row r="9133" spans="8:8" x14ac:dyDescent="0.35">
      <c r="H9133" s="35"/>
    </row>
    <row r="9134" spans="8:8" x14ac:dyDescent="0.35">
      <c r="H9134" s="35"/>
    </row>
    <row r="9135" spans="8:8" x14ac:dyDescent="0.35">
      <c r="H9135" s="35"/>
    </row>
    <row r="9136" spans="8:8" x14ac:dyDescent="0.35">
      <c r="H9136" s="35"/>
    </row>
    <row r="9137" spans="8:8" x14ac:dyDescent="0.35">
      <c r="H9137" s="35"/>
    </row>
    <row r="9138" spans="8:8" x14ac:dyDescent="0.35">
      <c r="H9138" s="35"/>
    </row>
    <row r="9139" spans="8:8" x14ac:dyDescent="0.35">
      <c r="H9139" s="35"/>
    </row>
    <row r="9140" spans="8:8" x14ac:dyDescent="0.35">
      <c r="H9140" s="35"/>
    </row>
    <row r="9141" spans="8:8" x14ac:dyDescent="0.35">
      <c r="H9141" s="35"/>
    </row>
    <row r="9142" spans="8:8" x14ac:dyDescent="0.35">
      <c r="H9142" s="35"/>
    </row>
    <row r="9143" spans="8:8" x14ac:dyDescent="0.35">
      <c r="H9143" s="35"/>
    </row>
    <row r="9144" spans="8:8" x14ac:dyDescent="0.35">
      <c r="H9144" s="35"/>
    </row>
    <row r="9145" spans="8:8" x14ac:dyDescent="0.35">
      <c r="H9145" s="35"/>
    </row>
    <row r="9146" spans="8:8" x14ac:dyDescent="0.35">
      <c r="H9146" s="35"/>
    </row>
    <row r="9147" spans="8:8" x14ac:dyDescent="0.35">
      <c r="H9147" s="35"/>
    </row>
    <row r="9148" spans="8:8" x14ac:dyDescent="0.35">
      <c r="H9148" s="35"/>
    </row>
    <row r="9149" spans="8:8" x14ac:dyDescent="0.35">
      <c r="H9149" s="35"/>
    </row>
    <row r="9150" spans="8:8" x14ac:dyDescent="0.35">
      <c r="H9150" s="35"/>
    </row>
    <row r="9151" spans="8:8" x14ac:dyDescent="0.35">
      <c r="H9151" s="35"/>
    </row>
    <row r="9152" spans="8:8" x14ac:dyDescent="0.35">
      <c r="H9152" s="35"/>
    </row>
    <row r="9153" spans="8:8" x14ac:dyDescent="0.35">
      <c r="H9153" s="35"/>
    </row>
    <row r="9154" spans="8:8" x14ac:dyDescent="0.35">
      <c r="H9154" s="35"/>
    </row>
    <row r="9155" spans="8:8" x14ac:dyDescent="0.35">
      <c r="H9155" s="35"/>
    </row>
    <row r="9156" spans="8:8" x14ac:dyDescent="0.35">
      <c r="H9156" s="35"/>
    </row>
    <row r="9157" spans="8:8" x14ac:dyDescent="0.35">
      <c r="H9157" s="35"/>
    </row>
    <row r="9158" spans="8:8" x14ac:dyDescent="0.35">
      <c r="H9158" s="35"/>
    </row>
    <row r="9159" spans="8:8" x14ac:dyDescent="0.35">
      <c r="H9159" s="35"/>
    </row>
    <row r="9160" spans="8:8" x14ac:dyDescent="0.35">
      <c r="H9160" s="35"/>
    </row>
    <row r="9161" spans="8:8" x14ac:dyDescent="0.35">
      <c r="H9161" s="35"/>
    </row>
    <row r="9162" spans="8:8" x14ac:dyDescent="0.35">
      <c r="H9162" s="35"/>
    </row>
    <row r="9163" spans="8:8" x14ac:dyDescent="0.35">
      <c r="H9163" s="35"/>
    </row>
    <row r="9164" spans="8:8" x14ac:dyDescent="0.35">
      <c r="H9164" s="35"/>
    </row>
    <row r="9165" spans="8:8" x14ac:dyDescent="0.35">
      <c r="H9165" s="35"/>
    </row>
    <row r="9166" spans="8:8" x14ac:dyDescent="0.35">
      <c r="H9166" s="35"/>
    </row>
    <row r="9167" spans="8:8" x14ac:dyDescent="0.35">
      <c r="H9167" s="35"/>
    </row>
    <row r="9168" spans="8:8" x14ac:dyDescent="0.35">
      <c r="H9168" s="35"/>
    </row>
    <row r="9169" spans="8:8" x14ac:dyDescent="0.35">
      <c r="H9169" s="35"/>
    </row>
    <row r="9170" spans="8:8" x14ac:dyDescent="0.35">
      <c r="H9170" s="35"/>
    </row>
    <row r="9171" spans="8:8" x14ac:dyDescent="0.35">
      <c r="H9171" s="35"/>
    </row>
    <row r="9172" spans="8:8" x14ac:dyDescent="0.35">
      <c r="H9172" s="35"/>
    </row>
    <row r="9173" spans="8:8" x14ac:dyDescent="0.35">
      <c r="H9173" s="35"/>
    </row>
    <row r="9174" spans="8:8" x14ac:dyDescent="0.35">
      <c r="H9174" s="35"/>
    </row>
    <row r="9175" spans="8:8" x14ac:dyDescent="0.35">
      <c r="H9175" s="35"/>
    </row>
    <row r="9176" spans="8:8" x14ac:dyDescent="0.35">
      <c r="H9176" s="35"/>
    </row>
    <row r="9177" spans="8:8" x14ac:dyDescent="0.35">
      <c r="H9177" s="35"/>
    </row>
    <row r="9178" spans="8:8" x14ac:dyDescent="0.35">
      <c r="H9178" s="35"/>
    </row>
    <row r="9179" spans="8:8" x14ac:dyDescent="0.35">
      <c r="H9179" s="35"/>
    </row>
    <row r="9180" spans="8:8" x14ac:dyDescent="0.35">
      <c r="H9180" s="35"/>
    </row>
    <row r="9181" spans="8:8" x14ac:dyDescent="0.35">
      <c r="H9181" s="35"/>
    </row>
    <row r="9182" spans="8:8" x14ac:dyDescent="0.35">
      <c r="H9182" s="35"/>
    </row>
    <row r="9183" spans="8:8" x14ac:dyDescent="0.35">
      <c r="H9183" s="35"/>
    </row>
    <row r="9184" spans="8:8" x14ac:dyDescent="0.35">
      <c r="H9184" s="35"/>
    </row>
    <row r="9185" spans="8:8" x14ac:dyDescent="0.35">
      <c r="H9185" s="35"/>
    </row>
    <row r="9186" spans="8:8" x14ac:dyDescent="0.35">
      <c r="H9186" s="35"/>
    </row>
    <row r="9187" spans="8:8" x14ac:dyDescent="0.35">
      <c r="H9187" s="35"/>
    </row>
    <row r="9188" spans="8:8" x14ac:dyDescent="0.35">
      <c r="H9188" s="35"/>
    </row>
    <row r="9189" spans="8:8" x14ac:dyDescent="0.35">
      <c r="H9189" s="35"/>
    </row>
    <row r="9190" spans="8:8" x14ac:dyDescent="0.35">
      <c r="H9190" s="35"/>
    </row>
    <row r="9191" spans="8:8" x14ac:dyDescent="0.35">
      <c r="H9191" s="35"/>
    </row>
    <row r="9192" spans="8:8" x14ac:dyDescent="0.35">
      <c r="H9192" s="35"/>
    </row>
    <row r="9193" spans="8:8" x14ac:dyDescent="0.35">
      <c r="H9193" s="35"/>
    </row>
    <row r="9194" spans="8:8" x14ac:dyDescent="0.35">
      <c r="H9194" s="35"/>
    </row>
    <row r="9195" spans="8:8" x14ac:dyDescent="0.35">
      <c r="H9195" s="35"/>
    </row>
    <row r="9196" spans="8:8" x14ac:dyDescent="0.35">
      <c r="H9196" s="35"/>
    </row>
    <row r="9197" spans="8:8" x14ac:dyDescent="0.35">
      <c r="H9197" s="35"/>
    </row>
    <row r="9198" spans="8:8" x14ac:dyDescent="0.35">
      <c r="H9198" s="35"/>
    </row>
    <row r="9199" spans="8:8" x14ac:dyDescent="0.35">
      <c r="H9199" s="35"/>
    </row>
    <row r="9200" spans="8:8" x14ac:dyDescent="0.35">
      <c r="H9200" s="35"/>
    </row>
    <row r="9201" spans="8:8" x14ac:dyDescent="0.35">
      <c r="H9201" s="35"/>
    </row>
    <row r="9202" spans="8:8" x14ac:dyDescent="0.35">
      <c r="H9202" s="35"/>
    </row>
    <row r="9203" spans="8:8" x14ac:dyDescent="0.35">
      <c r="H9203" s="35"/>
    </row>
    <row r="9204" spans="8:8" x14ac:dyDescent="0.35">
      <c r="H9204" s="35"/>
    </row>
    <row r="9205" spans="8:8" x14ac:dyDescent="0.35">
      <c r="H9205" s="35"/>
    </row>
    <row r="9206" spans="8:8" x14ac:dyDescent="0.35">
      <c r="H9206" s="35"/>
    </row>
    <row r="9207" spans="8:8" x14ac:dyDescent="0.35">
      <c r="H9207" s="35"/>
    </row>
    <row r="9208" spans="8:8" x14ac:dyDescent="0.35">
      <c r="H9208" s="35"/>
    </row>
    <row r="9209" spans="8:8" x14ac:dyDescent="0.35">
      <c r="H9209" s="35"/>
    </row>
    <row r="9210" spans="8:8" x14ac:dyDescent="0.35">
      <c r="H9210" s="35"/>
    </row>
    <row r="9211" spans="8:8" x14ac:dyDescent="0.35">
      <c r="H9211" s="35"/>
    </row>
    <row r="9212" spans="8:8" x14ac:dyDescent="0.35">
      <c r="H9212" s="35"/>
    </row>
    <row r="9213" spans="8:8" x14ac:dyDescent="0.35">
      <c r="H9213" s="35"/>
    </row>
    <row r="9214" spans="8:8" x14ac:dyDescent="0.35">
      <c r="H9214" s="35"/>
    </row>
    <row r="9215" spans="8:8" x14ac:dyDescent="0.35">
      <c r="H9215" s="35"/>
    </row>
    <row r="9216" spans="8:8" x14ac:dyDescent="0.35">
      <c r="H9216" s="35"/>
    </row>
    <row r="9217" spans="8:8" x14ac:dyDescent="0.35">
      <c r="H9217" s="35"/>
    </row>
    <row r="9218" spans="8:8" x14ac:dyDescent="0.35">
      <c r="H9218" s="35"/>
    </row>
    <row r="9219" spans="8:8" x14ac:dyDescent="0.35">
      <c r="H9219" s="35"/>
    </row>
    <row r="9220" spans="8:8" x14ac:dyDescent="0.35">
      <c r="H9220" s="35"/>
    </row>
    <row r="9221" spans="8:8" x14ac:dyDescent="0.35">
      <c r="H9221" s="35"/>
    </row>
    <row r="9222" spans="8:8" x14ac:dyDescent="0.35">
      <c r="H9222" s="35"/>
    </row>
    <row r="9223" spans="8:8" x14ac:dyDescent="0.35">
      <c r="H9223" s="35"/>
    </row>
    <row r="9224" spans="8:8" x14ac:dyDescent="0.35">
      <c r="H9224" s="35"/>
    </row>
    <row r="9225" spans="8:8" x14ac:dyDescent="0.35">
      <c r="H9225" s="35"/>
    </row>
    <row r="9226" spans="8:8" x14ac:dyDescent="0.35">
      <c r="H9226" s="35"/>
    </row>
    <row r="9227" spans="8:8" x14ac:dyDescent="0.35">
      <c r="H9227" s="35"/>
    </row>
    <row r="9228" spans="8:8" x14ac:dyDescent="0.35">
      <c r="H9228" s="35"/>
    </row>
    <row r="9229" spans="8:8" x14ac:dyDescent="0.35">
      <c r="H9229" s="35"/>
    </row>
    <row r="9230" spans="8:8" x14ac:dyDescent="0.35">
      <c r="H9230" s="35"/>
    </row>
    <row r="9231" spans="8:8" x14ac:dyDescent="0.35">
      <c r="H9231" s="35"/>
    </row>
    <row r="9232" spans="8:8" x14ac:dyDescent="0.35">
      <c r="H9232" s="35"/>
    </row>
    <row r="9233" spans="8:8" x14ac:dyDescent="0.35">
      <c r="H9233" s="35"/>
    </row>
    <row r="9234" spans="8:8" x14ac:dyDescent="0.35">
      <c r="H9234" s="35"/>
    </row>
    <row r="9235" spans="8:8" x14ac:dyDescent="0.35">
      <c r="H9235" s="35"/>
    </row>
    <row r="9236" spans="8:8" x14ac:dyDescent="0.35">
      <c r="H9236" s="35"/>
    </row>
    <row r="9237" spans="8:8" x14ac:dyDescent="0.35">
      <c r="H9237" s="35"/>
    </row>
    <row r="9238" spans="8:8" x14ac:dyDescent="0.35">
      <c r="H9238" s="35"/>
    </row>
    <row r="9239" spans="8:8" x14ac:dyDescent="0.35">
      <c r="H9239" s="35"/>
    </row>
    <row r="9240" spans="8:8" x14ac:dyDescent="0.35">
      <c r="H9240" s="35"/>
    </row>
    <row r="9241" spans="8:8" x14ac:dyDescent="0.35">
      <c r="H9241" s="35"/>
    </row>
    <row r="9242" spans="8:8" x14ac:dyDescent="0.35">
      <c r="H9242" s="35"/>
    </row>
    <row r="9243" spans="8:8" x14ac:dyDescent="0.35">
      <c r="H9243" s="35"/>
    </row>
    <row r="9244" spans="8:8" x14ac:dyDescent="0.35">
      <c r="H9244" s="35"/>
    </row>
    <row r="9245" spans="8:8" x14ac:dyDescent="0.35">
      <c r="H9245" s="35"/>
    </row>
    <row r="9246" spans="8:8" x14ac:dyDescent="0.35">
      <c r="H9246" s="35"/>
    </row>
    <row r="9247" spans="8:8" x14ac:dyDescent="0.35">
      <c r="H9247" s="35"/>
    </row>
    <row r="9248" spans="8:8" x14ac:dyDescent="0.35">
      <c r="H9248" s="35"/>
    </row>
    <row r="9249" spans="8:8" x14ac:dyDescent="0.35">
      <c r="H9249" s="35"/>
    </row>
    <row r="9250" spans="8:8" x14ac:dyDescent="0.35">
      <c r="H9250" s="35"/>
    </row>
    <row r="9251" spans="8:8" x14ac:dyDescent="0.35">
      <c r="H9251" s="35"/>
    </row>
    <row r="9252" spans="8:8" x14ac:dyDescent="0.35">
      <c r="H9252" s="35"/>
    </row>
    <row r="9253" spans="8:8" x14ac:dyDescent="0.35">
      <c r="H9253" s="35"/>
    </row>
    <row r="9254" spans="8:8" x14ac:dyDescent="0.35">
      <c r="H9254" s="35"/>
    </row>
    <row r="9255" spans="8:8" x14ac:dyDescent="0.35">
      <c r="H9255" s="35"/>
    </row>
    <row r="9256" spans="8:8" x14ac:dyDescent="0.35">
      <c r="H9256" s="35"/>
    </row>
    <row r="9257" spans="8:8" x14ac:dyDescent="0.35">
      <c r="H9257" s="35"/>
    </row>
    <row r="9258" spans="8:8" x14ac:dyDescent="0.35">
      <c r="H9258" s="35"/>
    </row>
    <row r="9259" spans="8:8" x14ac:dyDescent="0.35">
      <c r="H9259" s="35"/>
    </row>
    <row r="9260" spans="8:8" x14ac:dyDescent="0.35">
      <c r="H9260" s="35"/>
    </row>
    <row r="9261" spans="8:8" x14ac:dyDescent="0.35">
      <c r="H9261" s="35"/>
    </row>
    <row r="9262" spans="8:8" x14ac:dyDescent="0.35">
      <c r="H9262" s="35"/>
    </row>
    <row r="9263" spans="8:8" x14ac:dyDescent="0.35">
      <c r="H9263" s="35"/>
    </row>
    <row r="9264" spans="8:8" x14ac:dyDescent="0.35">
      <c r="H9264" s="35"/>
    </row>
    <row r="9265" spans="8:8" x14ac:dyDescent="0.35">
      <c r="H9265" s="35"/>
    </row>
    <row r="9266" spans="8:8" x14ac:dyDescent="0.35">
      <c r="H9266" s="35"/>
    </row>
    <row r="9267" spans="8:8" x14ac:dyDescent="0.35">
      <c r="H9267" s="35"/>
    </row>
    <row r="9268" spans="8:8" x14ac:dyDescent="0.35">
      <c r="H9268" s="35"/>
    </row>
    <row r="9269" spans="8:8" x14ac:dyDescent="0.35">
      <c r="H9269" s="35"/>
    </row>
    <row r="9270" spans="8:8" x14ac:dyDescent="0.35">
      <c r="H9270" s="35"/>
    </row>
    <row r="9271" spans="8:8" x14ac:dyDescent="0.35">
      <c r="H9271" s="35"/>
    </row>
    <row r="9272" spans="8:8" x14ac:dyDescent="0.35">
      <c r="H9272" s="35"/>
    </row>
    <row r="9273" spans="8:8" x14ac:dyDescent="0.35">
      <c r="H9273" s="35"/>
    </row>
    <row r="9274" spans="8:8" x14ac:dyDescent="0.35">
      <c r="H9274" s="35"/>
    </row>
    <row r="9275" spans="8:8" x14ac:dyDescent="0.35">
      <c r="H9275" s="35"/>
    </row>
    <row r="9276" spans="8:8" x14ac:dyDescent="0.35">
      <c r="H9276" s="35"/>
    </row>
    <row r="9277" spans="8:8" x14ac:dyDescent="0.35">
      <c r="H9277" s="35"/>
    </row>
    <row r="9278" spans="8:8" x14ac:dyDescent="0.35">
      <c r="H9278" s="35"/>
    </row>
    <row r="9279" spans="8:8" x14ac:dyDescent="0.35">
      <c r="H9279" s="35"/>
    </row>
    <row r="9280" spans="8:8" x14ac:dyDescent="0.35">
      <c r="H9280" s="35"/>
    </row>
    <row r="9281" spans="8:8" x14ac:dyDescent="0.35">
      <c r="H9281" s="35"/>
    </row>
    <row r="9282" spans="8:8" x14ac:dyDescent="0.35">
      <c r="H9282" s="35"/>
    </row>
    <row r="9283" spans="8:8" x14ac:dyDescent="0.35">
      <c r="H9283" s="35"/>
    </row>
    <row r="9284" spans="8:8" x14ac:dyDescent="0.35">
      <c r="H9284" s="35"/>
    </row>
    <row r="9285" spans="8:8" x14ac:dyDescent="0.35">
      <c r="H9285" s="35"/>
    </row>
    <row r="9286" spans="8:8" x14ac:dyDescent="0.35">
      <c r="H9286" s="35"/>
    </row>
    <row r="9287" spans="8:8" x14ac:dyDescent="0.35">
      <c r="H9287" s="35"/>
    </row>
    <row r="9288" spans="8:8" x14ac:dyDescent="0.35">
      <c r="H9288" s="35"/>
    </row>
    <row r="9289" spans="8:8" x14ac:dyDescent="0.35">
      <c r="H9289" s="35"/>
    </row>
    <row r="9290" spans="8:8" x14ac:dyDescent="0.35">
      <c r="H9290" s="35"/>
    </row>
    <row r="9291" spans="8:8" x14ac:dyDescent="0.35">
      <c r="H9291" s="35"/>
    </row>
    <row r="9292" spans="8:8" x14ac:dyDescent="0.35">
      <c r="H9292" s="35"/>
    </row>
    <row r="9293" spans="8:8" x14ac:dyDescent="0.35">
      <c r="H9293" s="35"/>
    </row>
    <row r="9294" spans="8:8" x14ac:dyDescent="0.35">
      <c r="H9294" s="35"/>
    </row>
    <row r="9295" spans="8:8" x14ac:dyDescent="0.35">
      <c r="H9295" s="35"/>
    </row>
    <row r="9296" spans="8:8" x14ac:dyDescent="0.35">
      <c r="H9296" s="35"/>
    </row>
    <row r="9297" spans="8:8" x14ac:dyDescent="0.35">
      <c r="H9297" s="35"/>
    </row>
    <row r="9298" spans="8:8" x14ac:dyDescent="0.35">
      <c r="H9298" s="35"/>
    </row>
    <row r="9299" spans="8:8" x14ac:dyDescent="0.35">
      <c r="H9299" s="35"/>
    </row>
    <row r="9300" spans="8:8" x14ac:dyDescent="0.35">
      <c r="H9300" s="35"/>
    </row>
    <row r="9301" spans="8:8" x14ac:dyDescent="0.35">
      <c r="H9301" s="35"/>
    </row>
    <row r="9302" spans="8:8" x14ac:dyDescent="0.35">
      <c r="H9302" s="35"/>
    </row>
    <row r="9303" spans="8:8" x14ac:dyDescent="0.35">
      <c r="H9303" s="35"/>
    </row>
    <row r="9304" spans="8:8" x14ac:dyDescent="0.35">
      <c r="H9304" s="35"/>
    </row>
    <row r="9305" spans="8:8" x14ac:dyDescent="0.35">
      <c r="H9305" s="35"/>
    </row>
    <row r="9306" spans="8:8" x14ac:dyDescent="0.35">
      <c r="H9306" s="35"/>
    </row>
    <row r="9307" spans="8:8" x14ac:dyDescent="0.35">
      <c r="H9307" s="35"/>
    </row>
    <row r="9308" spans="8:8" x14ac:dyDescent="0.35">
      <c r="H9308" s="35"/>
    </row>
    <row r="9309" spans="8:8" x14ac:dyDescent="0.35">
      <c r="H9309" s="35"/>
    </row>
    <row r="9310" spans="8:8" x14ac:dyDescent="0.35">
      <c r="H9310" s="35"/>
    </row>
    <row r="9311" spans="8:8" x14ac:dyDescent="0.35">
      <c r="H9311" s="35"/>
    </row>
    <row r="9312" spans="8:8" x14ac:dyDescent="0.35">
      <c r="H9312" s="35"/>
    </row>
    <row r="9313" spans="8:8" x14ac:dyDescent="0.35">
      <c r="H9313" s="35"/>
    </row>
    <row r="9314" spans="8:8" x14ac:dyDescent="0.35">
      <c r="H9314" s="35"/>
    </row>
    <row r="9315" spans="8:8" x14ac:dyDescent="0.35">
      <c r="H9315" s="35"/>
    </row>
    <row r="9316" spans="8:8" x14ac:dyDescent="0.35">
      <c r="H9316" s="35"/>
    </row>
    <row r="9317" spans="8:8" x14ac:dyDescent="0.35">
      <c r="H9317" s="35"/>
    </row>
    <row r="9318" spans="8:8" x14ac:dyDescent="0.35">
      <c r="H9318" s="35"/>
    </row>
    <row r="9319" spans="8:8" x14ac:dyDescent="0.35">
      <c r="H9319" s="35"/>
    </row>
    <row r="9320" spans="8:8" x14ac:dyDescent="0.35">
      <c r="H9320" s="35"/>
    </row>
    <row r="9321" spans="8:8" x14ac:dyDescent="0.35">
      <c r="H9321" s="35"/>
    </row>
    <row r="9322" spans="8:8" x14ac:dyDescent="0.35">
      <c r="H9322" s="35"/>
    </row>
    <row r="9323" spans="8:8" x14ac:dyDescent="0.35">
      <c r="H9323" s="35"/>
    </row>
    <row r="9324" spans="8:8" x14ac:dyDescent="0.35">
      <c r="H9324" s="35"/>
    </row>
    <row r="9325" spans="8:8" x14ac:dyDescent="0.35">
      <c r="H9325" s="35"/>
    </row>
    <row r="9326" spans="8:8" x14ac:dyDescent="0.35">
      <c r="H9326" s="35"/>
    </row>
    <row r="9327" spans="8:8" x14ac:dyDescent="0.35">
      <c r="H9327" s="35"/>
    </row>
    <row r="9328" spans="8:8" x14ac:dyDescent="0.35">
      <c r="H9328" s="35"/>
    </row>
    <row r="9329" spans="8:8" x14ac:dyDescent="0.35">
      <c r="H9329" s="35"/>
    </row>
    <row r="9330" spans="8:8" x14ac:dyDescent="0.35">
      <c r="H9330" s="35"/>
    </row>
    <row r="9331" spans="8:8" x14ac:dyDescent="0.35">
      <c r="H9331" s="35"/>
    </row>
    <row r="9332" spans="8:8" x14ac:dyDescent="0.35">
      <c r="H9332" s="35"/>
    </row>
    <row r="9333" spans="8:8" x14ac:dyDescent="0.35">
      <c r="H9333" s="35"/>
    </row>
    <row r="9334" spans="8:8" x14ac:dyDescent="0.35">
      <c r="H9334" s="35"/>
    </row>
    <row r="9335" spans="8:8" x14ac:dyDescent="0.35">
      <c r="H9335" s="35"/>
    </row>
    <row r="9336" spans="8:8" x14ac:dyDescent="0.35">
      <c r="H9336" s="35"/>
    </row>
    <row r="9337" spans="8:8" x14ac:dyDescent="0.35">
      <c r="H9337" s="35"/>
    </row>
    <row r="9338" spans="8:8" x14ac:dyDescent="0.35">
      <c r="H9338" s="35"/>
    </row>
    <row r="9339" spans="8:8" x14ac:dyDescent="0.35">
      <c r="H9339" s="35"/>
    </row>
    <row r="9340" spans="8:8" x14ac:dyDescent="0.35">
      <c r="H9340" s="35"/>
    </row>
    <row r="9341" spans="8:8" x14ac:dyDescent="0.35">
      <c r="H9341" s="35"/>
    </row>
    <row r="9342" spans="8:8" x14ac:dyDescent="0.35">
      <c r="H9342" s="35"/>
    </row>
    <row r="9343" spans="8:8" x14ac:dyDescent="0.35">
      <c r="H9343" s="35"/>
    </row>
    <row r="9344" spans="8:8" x14ac:dyDescent="0.35">
      <c r="H9344" s="35"/>
    </row>
    <row r="9345" spans="8:8" x14ac:dyDescent="0.35">
      <c r="H9345" s="35"/>
    </row>
    <row r="9346" spans="8:8" x14ac:dyDescent="0.35">
      <c r="H9346" s="35"/>
    </row>
    <row r="9347" spans="8:8" x14ac:dyDescent="0.35">
      <c r="H9347" s="35"/>
    </row>
    <row r="9348" spans="8:8" x14ac:dyDescent="0.35">
      <c r="H9348" s="35"/>
    </row>
    <row r="9349" spans="8:8" x14ac:dyDescent="0.35">
      <c r="H9349" s="35"/>
    </row>
    <row r="9350" spans="8:8" x14ac:dyDescent="0.35">
      <c r="H9350" s="35"/>
    </row>
    <row r="9351" spans="8:8" x14ac:dyDescent="0.35">
      <c r="H9351" s="35"/>
    </row>
    <row r="9352" spans="8:8" x14ac:dyDescent="0.35">
      <c r="H9352" s="35"/>
    </row>
    <row r="9353" spans="8:8" x14ac:dyDescent="0.35">
      <c r="H9353" s="35"/>
    </row>
    <row r="9354" spans="8:8" x14ac:dyDescent="0.35">
      <c r="H9354" s="35"/>
    </row>
    <row r="9355" spans="8:8" x14ac:dyDescent="0.35">
      <c r="H9355" s="35"/>
    </row>
    <row r="9356" spans="8:8" x14ac:dyDescent="0.35">
      <c r="H9356" s="35"/>
    </row>
    <row r="9357" spans="8:8" x14ac:dyDescent="0.35">
      <c r="H9357" s="35"/>
    </row>
    <row r="9358" spans="8:8" x14ac:dyDescent="0.35">
      <c r="H9358" s="35"/>
    </row>
    <row r="9359" spans="8:8" x14ac:dyDescent="0.35">
      <c r="H9359" s="35"/>
    </row>
    <row r="9360" spans="8:8" x14ac:dyDescent="0.35">
      <c r="H9360" s="35"/>
    </row>
    <row r="9361" spans="8:8" x14ac:dyDescent="0.35">
      <c r="H9361" s="35"/>
    </row>
    <row r="9362" spans="8:8" x14ac:dyDescent="0.35">
      <c r="H9362" s="35"/>
    </row>
    <row r="9363" spans="8:8" x14ac:dyDescent="0.35">
      <c r="H9363" s="35"/>
    </row>
    <row r="9364" spans="8:8" x14ac:dyDescent="0.35">
      <c r="H9364" s="35"/>
    </row>
    <row r="9365" spans="8:8" x14ac:dyDescent="0.35">
      <c r="H9365" s="35"/>
    </row>
    <row r="9366" spans="8:8" x14ac:dyDescent="0.35">
      <c r="H9366" s="35"/>
    </row>
    <row r="9367" spans="8:8" x14ac:dyDescent="0.35">
      <c r="H9367" s="35"/>
    </row>
    <row r="9368" spans="8:8" x14ac:dyDescent="0.35">
      <c r="H9368" s="35"/>
    </row>
    <row r="9369" spans="8:8" x14ac:dyDescent="0.35">
      <c r="H9369" s="35"/>
    </row>
    <row r="9370" spans="8:8" x14ac:dyDescent="0.35">
      <c r="H9370" s="35"/>
    </row>
    <row r="9371" spans="8:8" x14ac:dyDescent="0.35">
      <c r="H9371" s="35"/>
    </row>
    <row r="9372" spans="8:8" x14ac:dyDescent="0.35">
      <c r="H9372" s="35"/>
    </row>
    <row r="9373" spans="8:8" x14ac:dyDescent="0.35">
      <c r="H9373" s="35"/>
    </row>
    <row r="9374" spans="8:8" x14ac:dyDescent="0.35">
      <c r="H9374" s="35"/>
    </row>
    <row r="9375" spans="8:8" x14ac:dyDescent="0.35">
      <c r="H9375" s="35"/>
    </row>
    <row r="9376" spans="8:8" x14ac:dyDescent="0.35">
      <c r="H9376" s="35"/>
    </row>
    <row r="9377" spans="8:8" x14ac:dyDescent="0.35">
      <c r="H9377" s="35"/>
    </row>
    <row r="9378" spans="8:8" x14ac:dyDescent="0.35">
      <c r="H9378" s="35"/>
    </row>
    <row r="9379" spans="8:8" x14ac:dyDescent="0.35">
      <c r="H9379" s="35"/>
    </row>
    <row r="9380" spans="8:8" x14ac:dyDescent="0.35">
      <c r="H9380" s="35"/>
    </row>
    <row r="9381" spans="8:8" x14ac:dyDescent="0.35">
      <c r="H9381" s="35"/>
    </row>
    <row r="9382" spans="8:8" x14ac:dyDescent="0.35">
      <c r="H9382" s="35"/>
    </row>
    <row r="9383" spans="8:8" x14ac:dyDescent="0.35">
      <c r="H9383" s="35"/>
    </row>
    <row r="9384" spans="8:8" x14ac:dyDescent="0.35">
      <c r="H9384" s="35"/>
    </row>
    <row r="9385" spans="8:8" x14ac:dyDescent="0.35">
      <c r="H9385" s="35"/>
    </row>
    <row r="9386" spans="8:8" x14ac:dyDescent="0.35">
      <c r="H9386" s="35"/>
    </row>
    <row r="9387" spans="8:8" x14ac:dyDescent="0.35">
      <c r="H9387" s="35"/>
    </row>
    <row r="9388" spans="8:8" x14ac:dyDescent="0.35">
      <c r="H9388" s="35"/>
    </row>
    <row r="9389" spans="8:8" x14ac:dyDescent="0.35">
      <c r="H9389" s="35"/>
    </row>
    <row r="9390" spans="8:8" x14ac:dyDescent="0.35">
      <c r="H9390" s="35"/>
    </row>
    <row r="9391" spans="8:8" x14ac:dyDescent="0.35">
      <c r="H9391" s="35"/>
    </row>
    <row r="9392" spans="8:8" x14ac:dyDescent="0.35">
      <c r="H9392" s="35"/>
    </row>
    <row r="9393" spans="8:8" x14ac:dyDescent="0.35">
      <c r="H9393" s="35"/>
    </row>
    <row r="9394" spans="8:8" x14ac:dyDescent="0.35">
      <c r="H9394" s="35"/>
    </row>
    <row r="9395" spans="8:8" x14ac:dyDescent="0.35">
      <c r="H9395" s="35"/>
    </row>
    <row r="9396" spans="8:8" x14ac:dyDescent="0.35">
      <c r="H9396" s="35"/>
    </row>
    <row r="9397" spans="8:8" x14ac:dyDescent="0.35">
      <c r="H9397" s="35"/>
    </row>
    <row r="9398" spans="8:8" x14ac:dyDescent="0.35">
      <c r="H9398" s="35"/>
    </row>
    <row r="9399" spans="8:8" x14ac:dyDescent="0.35">
      <c r="H9399" s="35"/>
    </row>
    <row r="9400" spans="8:8" x14ac:dyDescent="0.35">
      <c r="H9400" s="35"/>
    </row>
    <row r="9401" spans="8:8" x14ac:dyDescent="0.35">
      <c r="H9401" s="35"/>
    </row>
    <row r="9402" spans="8:8" x14ac:dyDescent="0.35">
      <c r="H9402" s="35"/>
    </row>
    <row r="9403" spans="8:8" x14ac:dyDescent="0.35">
      <c r="H9403" s="35"/>
    </row>
    <row r="9404" spans="8:8" x14ac:dyDescent="0.35">
      <c r="H9404" s="35"/>
    </row>
    <row r="9405" spans="8:8" x14ac:dyDescent="0.35">
      <c r="H9405" s="35"/>
    </row>
    <row r="9406" spans="8:8" x14ac:dyDescent="0.35">
      <c r="H9406" s="35"/>
    </row>
    <row r="9407" spans="8:8" x14ac:dyDescent="0.35">
      <c r="H9407" s="35"/>
    </row>
    <row r="9408" spans="8:8" x14ac:dyDescent="0.35">
      <c r="H9408" s="35"/>
    </row>
    <row r="9409" spans="8:8" x14ac:dyDescent="0.35">
      <c r="H9409" s="35"/>
    </row>
    <row r="9410" spans="8:8" x14ac:dyDescent="0.35">
      <c r="H9410" s="35"/>
    </row>
    <row r="9411" spans="8:8" x14ac:dyDescent="0.35">
      <c r="H9411" s="35"/>
    </row>
    <row r="9412" spans="8:8" x14ac:dyDescent="0.35">
      <c r="H9412" s="35"/>
    </row>
    <row r="9413" spans="8:8" x14ac:dyDescent="0.35">
      <c r="H9413" s="35"/>
    </row>
    <row r="9414" spans="8:8" x14ac:dyDescent="0.35">
      <c r="H9414" s="35"/>
    </row>
    <row r="9415" spans="8:8" x14ac:dyDescent="0.35">
      <c r="H9415" s="35"/>
    </row>
    <row r="9416" spans="8:8" x14ac:dyDescent="0.35">
      <c r="H9416" s="35"/>
    </row>
    <row r="9417" spans="8:8" x14ac:dyDescent="0.35">
      <c r="H9417" s="35"/>
    </row>
    <row r="9418" spans="8:8" x14ac:dyDescent="0.35">
      <c r="H9418" s="35"/>
    </row>
    <row r="9419" spans="8:8" x14ac:dyDescent="0.35">
      <c r="H9419" s="35"/>
    </row>
    <row r="9420" spans="8:8" x14ac:dyDescent="0.35">
      <c r="H9420" s="35"/>
    </row>
    <row r="9421" spans="8:8" x14ac:dyDescent="0.35">
      <c r="H9421" s="35"/>
    </row>
    <row r="9422" spans="8:8" x14ac:dyDescent="0.35">
      <c r="H9422" s="35"/>
    </row>
    <row r="9423" spans="8:8" x14ac:dyDescent="0.35">
      <c r="H9423" s="35"/>
    </row>
    <row r="9424" spans="8:8" x14ac:dyDescent="0.35">
      <c r="H9424" s="35"/>
    </row>
    <row r="9425" spans="8:8" x14ac:dyDescent="0.35">
      <c r="H9425" s="35"/>
    </row>
    <row r="9426" spans="8:8" x14ac:dyDescent="0.35">
      <c r="H9426" s="35"/>
    </row>
    <row r="9427" spans="8:8" x14ac:dyDescent="0.35">
      <c r="H9427" s="35"/>
    </row>
    <row r="9428" spans="8:8" x14ac:dyDescent="0.35">
      <c r="H9428" s="35"/>
    </row>
    <row r="9429" spans="8:8" x14ac:dyDescent="0.35">
      <c r="H9429" s="35"/>
    </row>
    <row r="9430" spans="8:8" x14ac:dyDescent="0.35">
      <c r="H9430" s="35"/>
    </row>
    <row r="9431" spans="8:8" x14ac:dyDescent="0.35">
      <c r="H9431" s="35"/>
    </row>
    <row r="9432" spans="8:8" x14ac:dyDescent="0.35">
      <c r="H9432" s="35"/>
    </row>
    <row r="9433" spans="8:8" x14ac:dyDescent="0.35">
      <c r="H9433" s="35"/>
    </row>
    <row r="9434" spans="8:8" x14ac:dyDescent="0.35">
      <c r="H9434" s="35"/>
    </row>
    <row r="9435" spans="8:8" x14ac:dyDescent="0.35">
      <c r="H9435" s="35"/>
    </row>
    <row r="9436" spans="8:8" x14ac:dyDescent="0.35">
      <c r="H9436" s="35"/>
    </row>
    <row r="9437" spans="8:8" x14ac:dyDescent="0.35">
      <c r="H9437" s="35"/>
    </row>
    <row r="9438" spans="8:8" x14ac:dyDescent="0.35">
      <c r="H9438" s="35"/>
    </row>
    <row r="9439" spans="8:8" x14ac:dyDescent="0.35">
      <c r="H9439" s="35"/>
    </row>
    <row r="9440" spans="8:8" x14ac:dyDescent="0.35">
      <c r="H9440" s="35"/>
    </row>
    <row r="9441" spans="8:8" x14ac:dyDescent="0.35">
      <c r="H9441" s="35"/>
    </row>
    <row r="9442" spans="8:8" x14ac:dyDescent="0.35">
      <c r="H9442" s="35"/>
    </row>
    <row r="9443" spans="8:8" x14ac:dyDescent="0.35">
      <c r="H9443" s="35"/>
    </row>
    <row r="9444" spans="8:8" x14ac:dyDescent="0.35">
      <c r="H9444" s="35"/>
    </row>
    <row r="9445" spans="8:8" x14ac:dyDescent="0.35">
      <c r="H9445" s="35"/>
    </row>
    <row r="9446" spans="8:8" x14ac:dyDescent="0.35">
      <c r="H9446" s="35"/>
    </row>
    <row r="9447" spans="8:8" x14ac:dyDescent="0.35">
      <c r="H9447" s="35"/>
    </row>
    <row r="9448" spans="8:8" x14ac:dyDescent="0.35">
      <c r="H9448" s="35"/>
    </row>
    <row r="9449" spans="8:8" x14ac:dyDescent="0.35">
      <c r="H9449" s="35"/>
    </row>
    <row r="9450" spans="8:8" x14ac:dyDescent="0.35">
      <c r="H9450" s="35"/>
    </row>
    <row r="9451" spans="8:8" x14ac:dyDescent="0.35">
      <c r="H9451" s="35"/>
    </row>
    <row r="9452" spans="8:8" x14ac:dyDescent="0.35">
      <c r="H9452" s="35"/>
    </row>
    <row r="9453" spans="8:8" x14ac:dyDescent="0.35">
      <c r="H9453" s="35"/>
    </row>
    <row r="9454" spans="8:8" x14ac:dyDescent="0.35">
      <c r="H9454" s="35"/>
    </row>
    <row r="9455" spans="8:8" x14ac:dyDescent="0.35">
      <c r="H9455" s="35"/>
    </row>
    <row r="9456" spans="8:8" x14ac:dyDescent="0.35">
      <c r="H9456" s="35"/>
    </row>
    <row r="9457" spans="8:8" x14ac:dyDescent="0.35">
      <c r="H9457" s="35"/>
    </row>
    <row r="9458" spans="8:8" x14ac:dyDescent="0.35">
      <c r="H9458" s="35"/>
    </row>
    <row r="9459" spans="8:8" x14ac:dyDescent="0.35">
      <c r="H9459" s="35"/>
    </row>
    <row r="9460" spans="8:8" x14ac:dyDescent="0.35">
      <c r="H9460" s="35"/>
    </row>
    <row r="9461" spans="8:8" x14ac:dyDescent="0.35">
      <c r="H9461" s="35"/>
    </row>
    <row r="9462" spans="8:8" x14ac:dyDescent="0.35">
      <c r="H9462" s="35"/>
    </row>
    <row r="9463" spans="8:8" x14ac:dyDescent="0.35">
      <c r="H9463" s="35"/>
    </row>
    <row r="9464" spans="8:8" x14ac:dyDescent="0.35">
      <c r="H9464" s="35"/>
    </row>
    <row r="9465" spans="8:8" x14ac:dyDescent="0.35">
      <c r="H9465" s="35"/>
    </row>
    <row r="9466" spans="8:8" x14ac:dyDescent="0.35">
      <c r="H9466" s="35"/>
    </row>
    <row r="9467" spans="8:8" x14ac:dyDescent="0.35">
      <c r="H9467" s="35"/>
    </row>
    <row r="9468" spans="8:8" x14ac:dyDescent="0.35">
      <c r="H9468" s="35"/>
    </row>
    <row r="9469" spans="8:8" x14ac:dyDescent="0.35">
      <c r="H9469" s="35"/>
    </row>
    <row r="9470" spans="8:8" x14ac:dyDescent="0.35">
      <c r="H9470" s="35"/>
    </row>
    <row r="9471" spans="8:8" x14ac:dyDescent="0.35">
      <c r="H9471" s="35"/>
    </row>
    <row r="9472" spans="8:8" x14ac:dyDescent="0.35">
      <c r="H9472" s="35"/>
    </row>
    <row r="9473" spans="8:8" x14ac:dyDescent="0.35">
      <c r="H9473" s="35"/>
    </row>
    <row r="9474" spans="8:8" x14ac:dyDescent="0.35">
      <c r="H9474" s="35"/>
    </row>
    <row r="9475" spans="8:8" x14ac:dyDescent="0.35">
      <c r="H9475" s="35"/>
    </row>
    <row r="9476" spans="8:8" x14ac:dyDescent="0.35">
      <c r="H9476" s="35"/>
    </row>
    <row r="9477" spans="8:8" x14ac:dyDescent="0.35">
      <c r="H9477" s="35"/>
    </row>
    <row r="9478" spans="8:8" x14ac:dyDescent="0.35">
      <c r="H9478" s="35"/>
    </row>
    <row r="9479" spans="8:8" x14ac:dyDescent="0.35">
      <c r="H9479" s="35"/>
    </row>
    <row r="9480" spans="8:8" x14ac:dyDescent="0.35">
      <c r="H9480" s="35"/>
    </row>
    <row r="9481" spans="8:8" x14ac:dyDescent="0.35">
      <c r="H9481" s="35"/>
    </row>
    <row r="9482" spans="8:8" x14ac:dyDescent="0.35">
      <c r="H9482" s="35"/>
    </row>
    <row r="9483" spans="8:8" x14ac:dyDescent="0.35">
      <c r="H9483" s="35"/>
    </row>
    <row r="9484" spans="8:8" x14ac:dyDescent="0.35">
      <c r="H9484" s="35"/>
    </row>
    <row r="9485" spans="8:8" x14ac:dyDescent="0.35">
      <c r="H9485" s="35"/>
    </row>
    <row r="9486" spans="8:8" x14ac:dyDescent="0.35">
      <c r="H9486" s="35"/>
    </row>
    <row r="9487" spans="8:8" x14ac:dyDescent="0.35">
      <c r="H9487" s="35"/>
    </row>
    <row r="9488" spans="8:8" x14ac:dyDescent="0.35">
      <c r="H9488" s="35"/>
    </row>
    <row r="9489" spans="8:8" x14ac:dyDescent="0.35">
      <c r="H9489" s="35"/>
    </row>
    <row r="9490" spans="8:8" x14ac:dyDescent="0.35">
      <c r="H9490" s="35"/>
    </row>
    <row r="9491" spans="8:8" x14ac:dyDescent="0.35">
      <c r="H9491" s="35"/>
    </row>
    <row r="9492" spans="8:8" x14ac:dyDescent="0.35">
      <c r="H9492" s="35"/>
    </row>
    <row r="9493" spans="8:8" x14ac:dyDescent="0.35">
      <c r="H9493" s="35"/>
    </row>
    <row r="9494" spans="8:8" x14ac:dyDescent="0.35">
      <c r="H9494" s="35"/>
    </row>
    <row r="9495" spans="8:8" x14ac:dyDescent="0.35">
      <c r="H9495" s="35"/>
    </row>
    <row r="9496" spans="8:8" x14ac:dyDescent="0.35">
      <c r="H9496" s="35"/>
    </row>
    <row r="9497" spans="8:8" x14ac:dyDescent="0.35">
      <c r="H9497" s="35"/>
    </row>
    <row r="9498" spans="8:8" x14ac:dyDescent="0.35">
      <c r="H9498" s="35"/>
    </row>
    <row r="9499" spans="8:8" x14ac:dyDescent="0.35">
      <c r="H9499" s="35"/>
    </row>
    <row r="9500" spans="8:8" x14ac:dyDescent="0.35">
      <c r="H9500" s="35"/>
    </row>
    <row r="9501" spans="8:8" x14ac:dyDescent="0.35">
      <c r="H9501" s="35"/>
    </row>
    <row r="9502" spans="8:8" x14ac:dyDescent="0.35">
      <c r="H9502" s="35"/>
    </row>
    <row r="9503" spans="8:8" x14ac:dyDescent="0.35">
      <c r="H9503" s="35"/>
    </row>
    <row r="9504" spans="8:8" x14ac:dyDescent="0.35">
      <c r="H9504" s="35"/>
    </row>
    <row r="9505" spans="8:8" x14ac:dyDescent="0.35">
      <c r="H9505" s="35"/>
    </row>
    <row r="9506" spans="8:8" x14ac:dyDescent="0.35">
      <c r="H9506" s="35"/>
    </row>
    <row r="9507" spans="8:8" x14ac:dyDescent="0.35">
      <c r="H9507" s="35"/>
    </row>
    <row r="9508" spans="8:8" x14ac:dyDescent="0.35">
      <c r="H9508" s="35"/>
    </row>
    <row r="9509" spans="8:8" x14ac:dyDescent="0.35">
      <c r="H9509" s="35"/>
    </row>
    <row r="9510" spans="8:8" x14ac:dyDescent="0.35">
      <c r="H9510" s="35"/>
    </row>
    <row r="9511" spans="8:8" x14ac:dyDescent="0.35">
      <c r="H9511" s="35"/>
    </row>
    <row r="9512" spans="8:8" x14ac:dyDescent="0.35">
      <c r="H9512" s="35"/>
    </row>
    <row r="9513" spans="8:8" x14ac:dyDescent="0.35">
      <c r="H9513" s="35"/>
    </row>
    <row r="9514" spans="8:8" x14ac:dyDescent="0.35">
      <c r="H9514" s="35"/>
    </row>
    <row r="9515" spans="8:8" x14ac:dyDescent="0.35">
      <c r="H9515" s="35"/>
    </row>
    <row r="9516" spans="8:8" x14ac:dyDescent="0.35">
      <c r="H9516" s="35"/>
    </row>
    <row r="9517" spans="8:8" x14ac:dyDescent="0.35">
      <c r="H9517" s="35"/>
    </row>
    <row r="9518" spans="8:8" x14ac:dyDescent="0.35">
      <c r="H9518" s="35"/>
    </row>
    <row r="9519" spans="8:8" x14ac:dyDescent="0.35">
      <c r="H9519" s="35"/>
    </row>
    <row r="9520" spans="8:8" x14ac:dyDescent="0.35">
      <c r="H9520" s="35"/>
    </row>
    <row r="9521" spans="8:8" x14ac:dyDescent="0.35">
      <c r="H9521" s="35"/>
    </row>
    <row r="9522" spans="8:8" x14ac:dyDescent="0.35">
      <c r="H9522" s="35"/>
    </row>
    <row r="9523" spans="8:8" x14ac:dyDescent="0.35">
      <c r="H9523" s="35"/>
    </row>
    <row r="9524" spans="8:8" x14ac:dyDescent="0.35">
      <c r="H9524" s="35"/>
    </row>
    <row r="9525" spans="8:8" x14ac:dyDescent="0.35">
      <c r="H9525" s="35"/>
    </row>
    <row r="9526" spans="8:8" x14ac:dyDescent="0.35">
      <c r="H9526" s="35"/>
    </row>
    <row r="9527" spans="8:8" x14ac:dyDescent="0.35">
      <c r="H9527" s="35"/>
    </row>
    <row r="9528" spans="8:8" x14ac:dyDescent="0.35">
      <c r="H9528" s="35"/>
    </row>
    <row r="9529" spans="8:8" x14ac:dyDescent="0.35">
      <c r="H9529" s="35"/>
    </row>
    <row r="9530" spans="8:8" x14ac:dyDescent="0.35">
      <c r="H9530" s="35"/>
    </row>
    <row r="9531" spans="8:8" x14ac:dyDescent="0.35">
      <c r="H9531" s="35"/>
    </row>
    <row r="9532" spans="8:8" x14ac:dyDescent="0.35">
      <c r="H9532" s="35"/>
    </row>
    <row r="9533" spans="8:8" x14ac:dyDescent="0.35">
      <c r="H9533" s="35"/>
    </row>
    <row r="9534" spans="8:8" x14ac:dyDescent="0.35">
      <c r="H9534" s="35"/>
    </row>
    <row r="9535" spans="8:8" x14ac:dyDescent="0.35">
      <c r="H9535" s="35"/>
    </row>
    <row r="9536" spans="8:8" x14ac:dyDescent="0.35">
      <c r="H9536" s="35"/>
    </row>
    <row r="9537" spans="8:8" x14ac:dyDescent="0.35">
      <c r="H9537" s="35"/>
    </row>
    <row r="9538" spans="8:8" x14ac:dyDescent="0.35">
      <c r="H9538" s="35"/>
    </row>
    <row r="9539" spans="8:8" x14ac:dyDescent="0.35">
      <c r="H9539" s="35"/>
    </row>
    <row r="9540" spans="8:8" x14ac:dyDescent="0.35">
      <c r="H9540" s="35"/>
    </row>
    <row r="9541" spans="8:8" x14ac:dyDescent="0.35">
      <c r="H9541" s="35"/>
    </row>
    <row r="9542" spans="8:8" x14ac:dyDescent="0.35">
      <c r="H9542" s="35"/>
    </row>
    <row r="9543" spans="8:8" x14ac:dyDescent="0.35">
      <c r="H9543" s="35"/>
    </row>
    <row r="9544" spans="8:8" x14ac:dyDescent="0.35">
      <c r="H9544" s="35"/>
    </row>
    <row r="9545" spans="8:8" x14ac:dyDescent="0.35">
      <c r="H9545" s="35"/>
    </row>
    <row r="9546" spans="8:8" x14ac:dyDescent="0.35">
      <c r="H9546" s="35"/>
    </row>
    <row r="9547" spans="8:8" x14ac:dyDescent="0.35">
      <c r="H9547" s="35"/>
    </row>
    <row r="9548" spans="8:8" x14ac:dyDescent="0.35">
      <c r="H9548" s="35"/>
    </row>
    <row r="9549" spans="8:8" x14ac:dyDescent="0.35">
      <c r="H9549" s="35"/>
    </row>
    <row r="9550" spans="8:8" x14ac:dyDescent="0.35">
      <c r="H9550" s="35"/>
    </row>
    <row r="9551" spans="8:8" x14ac:dyDescent="0.35">
      <c r="H9551" s="35"/>
    </row>
    <row r="9552" spans="8:8" x14ac:dyDescent="0.35">
      <c r="H9552" s="35"/>
    </row>
    <row r="9553" spans="8:8" x14ac:dyDescent="0.35">
      <c r="H9553" s="35"/>
    </row>
    <row r="9554" spans="8:8" x14ac:dyDescent="0.35">
      <c r="H9554" s="35"/>
    </row>
    <row r="9555" spans="8:8" x14ac:dyDescent="0.35">
      <c r="H9555" s="35"/>
    </row>
    <row r="9556" spans="8:8" x14ac:dyDescent="0.35">
      <c r="H9556" s="35"/>
    </row>
    <row r="9557" spans="8:8" x14ac:dyDescent="0.35">
      <c r="H9557" s="35"/>
    </row>
    <row r="9558" spans="8:8" x14ac:dyDescent="0.35">
      <c r="H9558" s="35"/>
    </row>
    <row r="9559" spans="8:8" x14ac:dyDescent="0.35">
      <c r="H9559" s="35"/>
    </row>
    <row r="9560" spans="8:8" x14ac:dyDescent="0.35">
      <c r="H9560" s="35"/>
    </row>
    <row r="9561" spans="8:8" x14ac:dyDescent="0.35">
      <c r="H9561" s="35"/>
    </row>
    <row r="9562" spans="8:8" x14ac:dyDescent="0.35">
      <c r="H9562" s="35"/>
    </row>
    <row r="9563" spans="8:8" x14ac:dyDescent="0.35">
      <c r="H9563" s="35"/>
    </row>
    <row r="9564" spans="8:8" x14ac:dyDescent="0.35">
      <c r="H9564" s="35"/>
    </row>
    <row r="9565" spans="8:8" x14ac:dyDescent="0.35">
      <c r="H9565" s="35"/>
    </row>
    <row r="9566" spans="8:8" x14ac:dyDescent="0.35">
      <c r="H9566" s="35"/>
    </row>
    <row r="9567" spans="8:8" x14ac:dyDescent="0.35">
      <c r="H9567" s="35"/>
    </row>
    <row r="9568" spans="8:8" x14ac:dyDescent="0.35">
      <c r="H9568" s="35"/>
    </row>
    <row r="9569" spans="8:8" x14ac:dyDescent="0.35">
      <c r="H9569" s="35"/>
    </row>
    <row r="9570" spans="8:8" x14ac:dyDescent="0.35">
      <c r="H9570" s="35"/>
    </row>
    <row r="9571" spans="8:8" x14ac:dyDescent="0.35">
      <c r="H9571" s="35"/>
    </row>
    <row r="9572" spans="8:8" x14ac:dyDescent="0.35">
      <c r="H9572" s="35"/>
    </row>
    <row r="9573" spans="8:8" x14ac:dyDescent="0.35">
      <c r="H9573" s="35"/>
    </row>
    <row r="9574" spans="8:8" x14ac:dyDescent="0.35">
      <c r="H9574" s="35"/>
    </row>
    <row r="9575" spans="8:8" x14ac:dyDescent="0.35">
      <c r="H9575" s="35"/>
    </row>
    <row r="9576" spans="8:8" x14ac:dyDescent="0.35">
      <c r="H9576" s="35"/>
    </row>
    <row r="9577" spans="8:8" x14ac:dyDescent="0.35">
      <c r="H9577" s="35"/>
    </row>
    <row r="9578" spans="8:8" x14ac:dyDescent="0.35">
      <c r="H9578" s="35"/>
    </row>
    <row r="9579" spans="8:8" x14ac:dyDescent="0.35">
      <c r="H9579" s="35"/>
    </row>
    <row r="9580" spans="8:8" x14ac:dyDescent="0.35">
      <c r="H9580" s="35"/>
    </row>
    <row r="9581" spans="8:8" x14ac:dyDescent="0.35">
      <c r="H9581" s="35"/>
    </row>
    <row r="9582" spans="8:8" x14ac:dyDescent="0.35">
      <c r="H9582" s="35"/>
    </row>
    <row r="9583" spans="8:8" x14ac:dyDescent="0.35">
      <c r="H9583" s="35"/>
    </row>
    <row r="9584" spans="8:8" x14ac:dyDescent="0.35">
      <c r="H9584" s="35"/>
    </row>
    <row r="9585" spans="8:8" x14ac:dyDescent="0.35">
      <c r="H9585" s="35"/>
    </row>
    <row r="9586" spans="8:8" x14ac:dyDescent="0.35">
      <c r="H9586" s="35"/>
    </row>
    <row r="9587" spans="8:8" x14ac:dyDescent="0.35">
      <c r="H9587" s="35"/>
    </row>
    <row r="9588" spans="8:8" x14ac:dyDescent="0.35">
      <c r="H9588" s="35"/>
    </row>
    <row r="9589" spans="8:8" x14ac:dyDescent="0.35">
      <c r="H9589" s="35"/>
    </row>
    <row r="9590" spans="8:8" x14ac:dyDescent="0.35">
      <c r="H9590" s="35"/>
    </row>
    <row r="9591" spans="8:8" x14ac:dyDescent="0.35">
      <c r="H9591" s="35"/>
    </row>
    <row r="9592" spans="8:8" x14ac:dyDescent="0.35">
      <c r="H9592" s="35"/>
    </row>
    <row r="9593" spans="8:8" x14ac:dyDescent="0.35">
      <c r="H9593" s="35"/>
    </row>
    <row r="9594" spans="8:8" x14ac:dyDescent="0.35">
      <c r="H9594" s="35"/>
    </row>
    <row r="9595" spans="8:8" x14ac:dyDescent="0.35">
      <c r="H9595" s="35"/>
    </row>
    <row r="9596" spans="8:8" x14ac:dyDescent="0.35">
      <c r="H9596" s="35"/>
    </row>
    <row r="9597" spans="8:8" x14ac:dyDescent="0.35">
      <c r="H9597" s="35"/>
    </row>
    <row r="9598" spans="8:8" x14ac:dyDescent="0.35">
      <c r="H9598" s="35"/>
    </row>
    <row r="9599" spans="8:8" x14ac:dyDescent="0.35">
      <c r="H9599" s="35"/>
    </row>
    <row r="9600" spans="8:8" x14ac:dyDescent="0.35">
      <c r="H9600" s="35"/>
    </row>
    <row r="9601" spans="8:8" x14ac:dyDescent="0.35">
      <c r="H9601" s="35"/>
    </row>
    <row r="9602" spans="8:8" x14ac:dyDescent="0.35">
      <c r="H9602" s="35"/>
    </row>
    <row r="9603" spans="8:8" x14ac:dyDescent="0.35">
      <c r="H9603" s="35"/>
    </row>
    <row r="9604" spans="8:8" x14ac:dyDescent="0.35">
      <c r="H9604" s="35"/>
    </row>
    <row r="9605" spans="8:8" x14ac:dyDescent="0.35">
      <c r="H9605" s="35"/>
    </row>
    <row r="9606" spans="8:8" x14ac:dyDescent="0.35">
      <c r="H9606" s="35"/>
    </row>
    <row r="9607" spans="8:8" x14ac:dyDescent="0.35">
      <c r="H9607" s="35"/>
    </row>
    <row r="9608" spans="8:8" x14ac:dyDescent="0.35">
      <c r="H9608" s="35"/>
    </row>
    <row r="9609" spans="8:8" x14ac:dyDescent="0.35">
      <c r="H9609" s="35"/>
    </row>
    <row r="9610" spans="8:8" x14ac:dyDescent="0.35">
      <c r="H9610" s="35"/>
    </row>
    <row r="9611" spans="8:8" x14ac:dyDescent="0.35">
      <c r="H9611" s="35"/>
    </row>
    <row r="9612" spans="8:8" x14ac:dyDescent="0.35">
      <c r="H9612" s="35"/>
    </row>
    <row r="9613" spans="8:8" x14ac:dyDescent="0.35">
      <c r="H9613" s="35"/>
    </row>
    <row r="9614" spans="8:8" x14ac:dyDescent="0.35">
      <c r="H9614" s="35"/>
    </row>
    <row r="9615" spans="8:8" x14ac:dyDescent="0.35">
      <c r="H9615" s="35"/>
    </row>
    <row r="9616" spans="8:8" x14ac:dyDescent="0.35">
      <c r="H9616" s="35"/>
    </row>
    <row r="9617" spans="8:8" x14ac:dyDescent="0.35">
      <c r="H9617" s="35"/>
    </row>
    <row r="9618" spans="8:8" x14ac:dyDescent="0.35">
      <c r="H9618" s="35"/>
    </row>
    <row r="9619" spans="8:8" x14ac:dyDescent="0.35">
      <c r="H9619" s="35"/>
    </row>
    <row r="9620" spans="8:8" x14ac:dyDescent="0.35">
      <c r="H9620" s="35"/>
    </row>
    <row r="9621" spans="8:8" x14ac:dyDescent="0.35">
      <c r="H9621" s="35"/>
    </row>
    <row r="9622" spans="8:8" x14ac:dyDescent="0.35">
      <c r="H9622" s="35"/>
    </row>
    <row r="9623" spans="8:8" x14ac:dyDescent="0.35">
      <c r="H9623" s="35"/>
    </row>
    <row r="9624" spans="8:8" x14ac:dyDescent="0.35">
      <c r="H9624" s="35"/>
    </row>
    <row r="9625" spans="8:8" x14ac:dyDescent="0.35">
      <c r="H9625" s="35"/>
    </row>
    <row r="9626" spans="8:8" x14ac:dyDescent="0.35">
      <c r="H9626" s="35"/>
    </row>
    <row r="9627" spans="8:8" x14ac:dyDescent="0.35">
      <c r="H9627" s="35"/>
    </row>
    <row r="9628" spans="8:8" x14ac:dyDescent="0.35">
      <c r="H9628" s="35"/>
    </row>
    <row r="9629" spans="8:8" x14ac:dyDescent="0.35">
      <c r="H9629" s="35"/>
    </row>
    <row r="9630" spans="8:8" x14ac:dyDescent="0.35">
      <c r="H9630" s="35"/>
    </row>
    <row r="9631" spans="8:8" x14ac:dyDescent="0.35">
      <c r="H9631" s="35"/>
    </row>
    <row r="9632" spans="8:8" x14ac:dyDescent="0.35">
      <c r="H9632" s="35"/>
    </row>
    <row r="9633" spans="8:8" x14ac:dyDescent="0.35">
      <c r="H9633" s="35"/>
    </row>
    <row r="9634" spans="8:8" x14ac:dyDescent="0.35">
      <c r="H9634" s="35"/>
    </row>
    <row r="9635" spans="8:8" x14ac:dyDescent="0.35">
      <c r="H9635" s="35"/>
    </row>
    <row r="9636" spans="8:8" x14ac:dyDescent="0.35">
      <c r="H9636" s="35"/>
    </row>
    <row r="9637" spans="8:8" x14ac:dyDescent="0.35">
      <c r="H9637" s="35"/>
    </row>
    <row r="9638" spans="8:8" x14ac:dyDescent="0.35">
      <c r="H9638" s="35"/>
    </row>
    <row r="9639" spans="8:8" x14ac:dyDescent="0.35">
      <c r="H9639" s="35"/>
    </row>
    <row r="9640" spans="8:8" x14ac:dyDescent="0.35">
      <c r="H9640" s="35"/>
    </row>
    <row r="9641" spans="8:8" x14ac:dyDescent="0.35">
      <c r="H9641" s="35"/>
    </row>
    <row r="9642" spans="8:8" x14ac:dyDescent="0.35">
      <c r="H9642" s="35"/>
    </row>
    <row r="9643" spans="8:8" x14ac:dyDescent="0.35">
      <c r="H9643" s="35"/>
    </row>
    <row r="9644" spans="8:8" x14ac:dyDescent="0.35">
      <c r="H9644" s="35"/>
    </row>
    <row r="9645" spans="8:8" x14ac:dyDescent="0.35">
      <c r="H9645" s="35"/>
    </row>
    <row r="9646" spans="8:8" x14ac:dyDescent="0.35">
      <c r="H9646" s="35"/>
    </row>
    <row r="9647" spans="8:8" x14ac:dyDescent="0.35">
      <c r="H9647" s="35"/>
    </row>
    <row r="9648" spans="8:8" x14ac:dyDescent="0.35">
      <c r="H9648" s="35"/>
    </row>
    <row r="9649" spans="8:8" x14ac:dyDescent="0.35">
      <c r="H9649" s="35"/>
    </row>
    <row r="9650" spans="8:8" x14ac:dyDescent="0.35">
      <c r="H9650" s="35"/>
    </row>
    <row r="9651" spans="8:8" x14ac:dyDescent="0.35">
      <c r="H9651" s="35"/>
    </row>
    <row r="9652" spans="8:8" x14ac:dyDescent="0.35">
      <c r="H9652" s="35"/>
    </row>
    <row r="9653" spans="8:8" x14ac:dyDescent="0.35">
      <c r="H9653" s="35"/>
    </row>
    <row r="9654" spans="8:8" x14ac:dyDescent="0.35">
      <c r="H9654" s="35"/>
    </row>
    <row r="9655" spans="8:8" x14ac:dyDescent="0.35">
      <c r="H9655" s="35"/>
    </row>
    <row r="9656" spans="8:8" x14ac:dyDescent="0.35">
      <c r="H9656" s="35"/>
    </row>
    <row r="9657" spans="8:8" x14ac:dyDescent="0.35">
      <c r="H9657" s="35"/>
    </row>
    <row r="9658" spans="8:8" x14ac:dyDescent="0.35">
      <c r="H9658" s="35"/>
    </row>
    <row r="9659" spans="8:8" x14ac:dyDescent="0.35">
      <c r="H9659" s="35"/>
    </row>
    <row r="9660" spans="8:8" x14ac:dyDescent="0.35">
      <c r="H9660" s="35"/>
    </row>
    <row r="9661" spans="8:8" x14ac:dyDescent="0.35">
      <c r="H9661" s="35"/>
    </row>
    <row r="9662" spans="8:8" x14ac:dyDescent="0.35">
      <c r="H9662" s="35"/>
    </row>
    <row r="9663" spans="8:8" x14ac:dyDescent="0.35">
      <c r="H9663" s="35"/>
    </row>
    <row r="9664" spans="8:8" x14ac:dyDescent="0.35">
      <c r="H9664" s="35"/>
    </row>
    <row r="9665" spans="8:8" x14ac:dyDescent="0.35">
      <c r="H9665" s="35"/>
    </row>
    <row r="9666" spans="8:8" x14ac:dyDescent="0.35">
      <c r="H9666" s="35"/>
    </row>
    <row r="9667" spans="8:8" x14ac:dyDescent="0.35">
      <c r="H9667" s="35"/>
    </row>
    <row r="9668" spans="8:8" x14ac:dyDescent="0.35">
      <c r="H9668" s="35"/>
    </row>
    <row r="9669" spans="8:8" x14ac:dyDescent="0.35">
      <c r="H9669" s="35"/>
    </row>
    <row r="9670" spans="8:8" x14ac:dyDescent="0.35">
      <c r="H9670" s="35"/>
    </row>
    <row r="9671" spans="8:8" x14ac:dyDescent="0.35">
      <c r="H9671" s="35"/>
    </row>
    <row r="9672" spans="8:8" x14ac:dyDescent="0.35">
      <c r="H9672" s="35"/>
    </row>
    <row r="9673" spans="8:8" x14ac:dyDescent="0.35">
      <c r="H9673" s="35"/>
    </row>
    <row r="9674" spans="8:8" x14ac:dyDescent="0.35">
      <c r="H9674" s="35"/>
    </row>
    <row r="9675" spans="8:8" x14ac:dyDescent="0.35">
      <c r="H9675" s="35"/>
    </row>
    <row r="9676" spans="8:8" x14ac:dyDescent="0.35">
      <c r="H9676" s="35"/>
    </row>
    <row r="9677" spans="8:8" x14ac:dyDescent="0.35">
      <c r="H9677" s="35"/>
    </row>
    <row r="9678" spans="8:8" x14ac:dyDescent="0.35">
      <c r="H9678" s="35"/>
    </row>
    <row r="9679" spans="8:8" x14ac:dyDescent="0.35">
      <c r="H9679" s="35"/>
    </row>
    <row r="9680" spans="8:8" x14ac:dyDescent="0.35">
      <c r="H9680" s="35"/>
    </row>
    <row r="9681" spans="8:8" x14ac:dyDescent="0.35">
      <c r="H9681" s="35"/>
    </row>
    <row r="9682" spans="8:8" x14ac:dyDescent="0.35">
      <c r="H9682" s="35"/>
    </row>
    <row r="9683" spans="8:8" x14ac:dyDescent="0.35">
      <c r="H9683" s="35"/>
    </row>
    <row r="9684" spans="8:8" x14ac:dyDescent="0.35">
      <c r="H9684" s="35"/>
    </row>
    <row r="9685" spans="8:8" x14ac:dyDescent="0.35">
      <c r="H9685" s="35"/>
    </row>
    <row r="9686" spans="8:8" x14ac:dyDescent="0.35">
      <c r="H9686" s="35"/>
    </row>
    <row r="9687" spans="8:8" x14ac:dyDescent="0.35">
      <c r="H9687" s="35"/>
    </row>
    <row r="9688" spans="8:8" x14ac:dyDescent="0.35">
      <c r="H9688" s="35"/>
    </row>
    <row r="9689" spans="8:8" x14ac:dyDescent="0.35">
      <c r="H9689" s="35"/>
    </row>
    <row r="9690" spans="8:8" x14ac:dyDescent="0.35">
      <c r="H9690" s="35"/>
    </row>
    <row r="9691" spans="8:8" x14ac:dyDescent="0.35">
      <c r="H9691" s="35"/>
    </row>
    <row r="9692" spans="8:8" x14ac:dyDescent="0.35">
      <c r="H9692" s="35"/>
    </row>
    <row r="9693" spans="8:8" x14ac:dyDescent="0.35">
      <c r="H9693" s="35"/>
    </row>
    <row r="9694" spans="8:8" x14ac:dyDescent="0.35">
      <c r="H9694" s="35"/>
    </row>
    <row r="9695" spans="8:8" x14ac:dyDescent="0.35">
      <c r="H9695" s="35"/>
    </row>
    <row r="9696" spans="8:8" x14ac:dyDescent="0.35">
      <c r="H9696" s="35"/>
    </row>
    <row r="9697" spans="8:8" x14ac:dyDescent="0.35">
      <c r="H9697" s="35"/>
    </row>
    <row r="9698" spans="8:8" x14ac:dyDescent="0.35">
      <c r="H9698" s="35"/>
    </row>
    <row r="9699" spans="8:8" x14ac:dyDescent="0.35">
      <c r="H9699" s="35"/>
    </row>
    <row r="9700" spans="8:8" x14ac:dyDescent="0.35">
      <c r="H9700" s="35"/>
    </row>
    <row r="9701" spans="8:8" x14ac:dyDescent="0.35">
      <c r="H9701" s="35"/>
    </row>
    <row r="9702" spans="8:8" x14ac:dyDescent="0.35">
      <c r="H9702" s="35"/>
    </row>
    <row r="9703" spans="8:8" x14ac:dyDescent="0.35">
      <c r="H9703" s="35"/>
    </row>
    <row r="9704" spans="8:8" x14ac:dyDescent="0.35">
      <c r="H9704" s="35"/>
    </row>
    <row r="9705" spans="8:8" x14ac:dyDescent="0.35">
      <c r="H9705" s="35"/>
    </row>
    <row r="9706" spans="8:8" x14ac:dyDescent="0.35">
      <c r="H9706" s="35"/>
    </row>
    <row r="9707" spans="8:8" x14ac:dyDescent="0.35">
      <c r="H9707" s="35"/>
    </row>
    <row r="9708" spans="8:8" x14ac:dyDescent="0.35">
      <c r="H9708" s="35"/>
    </row>
    <row r="9709" spans="8:8" x14ac:dyDescent="0.35">
      <c r="H9709" s="35"/>
    </row>
    <row r="9710" spans="8:8" x14ac:dyDescent="0.35">
      <c r="H9710" s="35"/>
    </row>
    <row r="9711" spans="8:8" x14ac:dyDescent="0.35">
      <c r="H9711" s="35"/>
    </row>
    <row r="9712" spans="8:8" x14ac:dyDescent="0.35">
      <c r="H9712" s="35"/>
    </row>
    <row r="9713" spans="8:8" x14ac:dyDescent="0.35">
      <c r="H9713" s="35"/>
    </row>
    <row r="9714" spans="8:8" x14ac:dyDescent="0.35">
      <c r="H9714" s="35"/>
    </row>
    <row r="9715" spans="8:8" x14ac:dyDescent="0.35">
      <c r="H9715" s="35"/>
    </row>
    <row r="9716" spans="8:8" x14ac:dyDescent="0.35">
      <c r="H9716" s="35"/>
    </row>
    <row r="9717" spans="8:8" x14ac:dyDescent="0.35">
      <c r="H9717" s="35"/>
    </row>
    <row r="9718" spans="8:8" x14ac:dyDescent="0.35">
      <c r="H9718" s="35"/>
    </row>
    <row r="9719" spans="8:8" x14ac:dyDescent="0.35">
      <c r="H9719" s="35"/>
    </row>
    <row r="9720" spans="8:8" x14ac:dyDescent="0.35">
      <c r="H9720" s="35"/>
    </row>
    <row r="9721" spans="8:8" x14ac:dyDescent="0.35">
      <c r="H9721" s="35"/>
    </row>
    <row r="9722" spans="8:8" x14ac:dyDescent="0.35">
      <c r="H9722" s="35"/>
    </row>
    <row r="9723" spans="8:8" x14ac:dyDescent="0.35">
      <c r="H9723" s="35"/>
    </row>
    <row r="9724" spans="8:8" x14ac:dyDescent="0.35">
      <c r="H9724" s="35"/>
    </row>
    <row r="9725" spans="8:8" x14ac:dyDescent="0.35">
      <c r="H9725" s="35"/>
    </row>
    <row r="9726" spans="8:8" x14ac:dyDescent="0.35">
      <c r="H9726" s="35"/>
    </row>
    <row r="9727" spans="8:8" x14ac:dyDescent="0.35">
      <c r="H9727" s="35"/>
    </row>
    <row r="9728" spans="8:8" x14ac:dyDescent="0.35">
      <c r="H9728" s="35"/>
    </row>
    <row r="9729" spans="8:8" x14ac:dyDescent="0.35">
      <c r="H9729" s="35"/>
    </row>
    <row r="9730" spans="8:8" x14ac:dyDescent="0.35">
      <c r="H9730" s="35"/>
    </row>
    <row r="9731" spans="8:8" x14ac:dyDescent="0.35">
      <c r="H9731" s="35"/>
    </row>
    <row r="9732" spans="8:8" x14ac:dyDescent="0.35">
      <c r="H9732" s="35"/>
    </row>
    <row r="9733" spans="8:8" x14ac:dyDescent="0.35">
      <c r="H9733" s="35"/>
    </row>
    <row r="9734" spans="8:8" x14ac:dyDescent="0.35">
      <c r="H9734" s="35"/>
    </row>
    <row r="9735" spans="8:8" x14ac:dyDescent="0.35">
      <c r="H9735" s="35"/>
    </row>
    <row r="9736" spans="8:8" x14ac:dyDescent="0.35">
      <c r="H9736" s="35"/>
    </row>
    <row r="9737" spans="8:8" x14ac:dyDescent="0.35">
      <c r="H9737" s="35"/>
    </row>
    <row r="9738" spans="8:8" x14ac:dyDescent="0.35">
      <c r="H9738" s="35"/>
    </row>
    <row r="9739" spans="8:8" x14ac:dyDescent="0.35">
      <c r="H9739" s="35"/>
    </row>
    <row r="9740" spans="8:8" x14ac:dyDescent="0.35">
      <c r="H9740" s="35"/>
    </row>
    <row r="9741" spans="8:8" x14ac:dyDescent="0.35">
      <c r="H9741" s="35"/>
    </row>
    <row r="9742" spans="8:8" x14ac:dyDescent="0.35">
      <c r="H9742" s="35"/>
    </row>
    <row r="9743" spans="8:8" x14ac:dyDescent="0.35">
      <c r="H9743" s="35"/>
    </row>
    <row r="9744" spans="8:8" x14ac:dyDescent="0.35">
      <c r="H9744" s="35"/>
    </row>
    <row r="9745" spans="8:8" x14ac:dyDescent="0.35">
      <c r="H9745" s="35"/>
    </row>
    <row r="9746" spans="8:8" x14ac:dyDescent="0.35">
      <c r="H9746" s="35"/>
    </row>
    <row r="9747" spans="8:8" x14ac:dyDescent="0.35">
      <c r="H9747" s="35"/>
    </row>
    <row r="9748" spans="8:8" x14ac:dyDescent="0.35">
      <c r="H9748" s="35"/>
    </row>
    <row r="9749" spans="8:8" x14ac:dyDescent="0.35">
      <c r="H9749" s="35"/>
    </row>
    <row r="9750" spans="8:8" x14ac:dyDescent="0.35">
      <c r="H9750" s="35"/>
    </row>
    <row r="9751" spans="8:8" x14ac:dyDescent="0.35">
      <c r="H9751" s="35"/>
    </row>
    <row r="9752" spans="8:8" x14ac:dyDescent="0.35">
      <c r="H9752" s="35"/>
    </row>
    <row r="9753" spans="8:8" x14ac:dyDescent="0.35">
      <c r="H9753" s="35"/>
    </row>
    <row r="9754" spans="8:8" x14ac:dyDescent="0.35">
      <c r="H9754" s="35"/>
    </row>
    <row r="9755" spans="8:8" x14ac:dyDescent="0.35">
      <c r="H9755" s="35"/>
    </row>
    <row r="9756" spans="8:8" x14ac:dyDescent="0.35">
      <c r="H9756" s="35"/>
    </row>
    <row r="9757" spans="8:8" x14ac:dyDescent="0.35">
      <c r="H9757" s="35"/>
    </row>
    <row r="9758" spans="8:8" x14ac:dyDescent="0.35">
      <c r="H9758" s="35"/>
    </row>
    <row r="9759" spans="8:8" x14ac:dyDescent="0.35">
      <c r="H9759" s="35"/>
    </row>
    <row r="9760" spans="8:8" x14ac:dyDescent="0.35">
      <c r="H9760" s="35"/>
    </row>
    <row r="9761" spans="8:8" x14ac:dyDescent="0.35">
      <c r="H9761" s="35"/>
    </row>
    <row r="9762" spans="8:8" x14ac:dyDescent="0.35">
      <c r="H9762" s="35"/>
    </row>
    <row r="9763" spans="8:8" x14ac:dyDescent="0.35">
      <c r="H9763" s="35"/>
    </row>
    <row r="9764" spans="8:8" x14ac:dyDescent="0.35">
      <c r="H9764" s="35"/>
    </row>
    <row r="9765" spans="8:8" x14ac:dyDescent="0.35">
      <c r="H9765" s="35"/>
    </row>
    <row r="9766" spans="8:8" x14ac:dyDescent="0.35">
      <c r="H9766" s="35"/>
    </row>
    <row r="9767" spans="8:8" x14ac:dyDescent="0.35">
      <c r="H9767" s="35"/>
    </row>
    <row r="9768" spans="8:8" x14ac:dyDescent="0.35">
      <c r="H9768" s="35"/>
    </row>
    <row r="9769" spans="8:8" x14ac:dyDescent="0.35">
      <c r="H9769" s="35"/>
    </row>
    <row r="9770" spans="8:8" x14ac:dyDescent="0.35">
      <c r="H9770" s="35"/>
    </row>
    <row r="9771" spans="8:8" x14ac:dyDescent="0.35">
      <c r="H9771" s="35"/>
    </row>
    <row r="9772" spans="8:8" x14ac:dyDescent="0.35">
      <c r="H9772" s="35"/>
    </row>
    <row r="9773" spans="8:8" x14ac:dyDescent="0.35">
      <c r="H9773" s="35"/>
    </row>
    <row r="9774" spans="8:8" x14ac:dyDescent="0.35">
      <c r="H9774" s="35"/>
    </row>
    <row r="9775" spans="8:8" x14ac:dyDescent="0.35">
      <c r="H9775" s="35"/>
    </row>
    <row r="9776" spans="8:8" x14ac:dyDescent="0.35">
      <c r="H9776" s="35"/>
    </row>
    <row r="9777" spans="8:8" x14ac:dyDescent="0.35">
      <c r="H9777" s="35"/>
    </row>
    <row r="9778" spans="8:8" x14ac:dyDescent="0.35">
      <c r="H9778" s="35"/>
    </row>
    <row r="9779" spans="8:8" x14ac:dyDescent="0.35">
      <c r="H9779" s="35"/>
    </row>
    <row r="9780" spans="8:8" x14ac:dyDescent="0.35">
      <c r="H9780" s="35"/>
    </row>
    <row r="9781" spans="8:8" x14ac:dyDescent="0.35">
      <c r="H9781" s="35"/>
    </row>
    <row r="9782" spans="8:8" x14ac:dyDescent="0.35">
      <c r="H9782" s="35"/>
    </row>
    <row r="9783" spans="8:8" x14ac:dyDescent="0.35">
      <c r="H9783" s="35"/>
    </row>
    <row r="9784" spans="8:8" x14ac:dyDescent="0.35">
      <c r="H9784" s="35"/>
    </row>
    <row r="9785" spans="8:8" x14ac:dyDescent="0.35">
      <c r="H9785" s="35"/>
    </row>
    <row r="9786" spans="8:8" x14ac:dyDescent="0.35">
      <c r="H9786" s="35"/>
    </row>
    <row r="9787" spans="8:8" x14ac:dyDescent="0.35">
      <c r="H9787" s="35"/>
    </row>
    <row r="9788" spans="8:8" x14ac:dyDescent="0.35">
      <c r="H9788" s="35"/>
    </row>
    <row r="9789" spans="8:8" x14ac:dyDescent="0.35">
      <c r="H9789" s="35"/>
    </row>
    <row r="9790" spans="8:8" x14ac:dyDescent="0.35">
      <c r="H9790" s="35"/>
    </row>
    <row r="9791" spans="8:8" x14ac:dyDescent="0.35">
      <c r="H9791" s="35"/>
    </row>
    <row r="9792" spans="8:8" x14ac:dyDescent="0.35">
      <c r="H9792" s="35"/>
    </row>
    <row r="9793" spans="8:8" x14ac:dyDescent="0.35">
      <c r="H9793" s="35"/>
    </row>
    <row r="9794" spans="8:8" x14ac:dyDescent="0.35">
      <c r="H9794" s="35"/>
    </row>
    <row r="9795" spans="8:8" x14ac:dyDescent="0.35">
      <c r="H9795" s="35"/>
    </row>
    <row r="9796" spans="8:8" x14ac:dyDescent="0.35">
      <c r="H9796" s="35"/>
    </row>
    <row r="9797" spans="8:8" x14ac:dyDescent="0.35">
      <c r="H9797" s="35"/>
    </row>
    <row r="9798" spans="8:8" x14ac:dyDescent="0.35">
      <c r="H9798" s="35"/>
    </row>
    <row r="9799" spans="8:8" x14ac:dyDescent="0.35">
      <c r="H9799" s="35"/>
    </row>
    <row r="9800" spans="8:8" x14ac:dyDescent="0.35">
      <c r="H9800" s="35"/>
    </row>
    <row r="9801" spans="8:8" x14ac:dyDescent="0.35">
      <c r="H9801" s="35"/>
    </row>
    <row r="9802" spans="8:8" x14ac:dyDescent="0.35">
      <c r="H9802" s="35"/>
    </row>
    <row r="9803" spans="8:8" x14ac:dyDescent="0.35">
      <c r="H9803" s="35"/>
    </row>
    <row r="9804" spans="8:8" x14ac:dyDescent="0.35">
      <c r="H9804" s="35"/>
    </row>
    <row r="9805" spans="8:8" x14ac:dyDescent="0.35">
      <c r="H9805" s="35"/>
    </row>
    <row r="9806" spans="8:8" x14ac:dyDescent="0.35">
      <c r="H9806" s="35"/>
    </row>
    <row r="9807" spans="8:8" x14ac:dyDescent="0.35">
      <c r="H9807" s="35"/>
    </row>
    <row r="9808" spans="8:8" x14ac:dyDescent="0.35">
      <c r="H9808" s="35"/>
    </row>
    <row r="9809" spans="8:8" x14ac:dyDescent="0.35">
      <c r="H9809" s="35"/>
    </row>
    <row r="9810" spans="8:8" x14ac:dyDescent="0.35">
      <c r="H9810" s="35"/>
    </row>
    <row r="9811" spans="8:8" x14ac:dyDescent="0.35">
      <c r="H9811" s="35"/>
    </row>
    <row r="9812" spans="8:8" x14ac:dyDescent="0.35">
      <c r="H9812" s="35"/>
    </row>
    <row r="9813" spans="8:8" x14ac:dyDescent="0.35">
      <c r="H9813" s="35"/>
    </row>
    <row r="9814" spans="8:8" x14ac:dyDescent="0.35">
      <c r="H9814" s="35"/>
    </row>
    <row r="9815" spans="8:8" x14ac:dyDescent="0.35">
      <c r="H9815" s="35"/>
    </row>
    <row r="9816" spans="8:8" x14ac:dyDescent="0.35">
      <c r="H9816" s="35"/>
    </row>
    <row r="9817" spans="8:8" x14ac:dyDescent="0.35">
      <c r="H9817" s="35"/>
    </row>
    <row r="9818" spans="8:8" x14ac:dyDescent="0.35">
      <c r="H9818" s="35"/>
    </row>
    <row r="9819" spans="8:8" x14ac:dyDescent="0.35">
      <c r="H9819" s="35"/>
    </row>
    <row r="9820" spans="8:8" x14ac:dyDescent="0.35">
      <c r="H9820" s="35"/>
    </row>
    <row r="9821" spans="8:8" x14ac:dyDescent="0.35">
      <c r="H9821" s="35"/>
    </row>
    <row r="9822" spans="8:8" x14ac:dyDescent="0.35">
      <c r="H9822" s="35"/>
    </row>
    <row r="9823" spans="8:8" x14ac:dyDescent="0.35">
      <c r="H9823" s="35"/>
    </row>
    <row r="9824" spans="8:8" x14ac:dyDescent="0.35">
      <c r="H9824" s="35"/>
    </row>
    <row r="9825" spans="8:8" x14ac:dyDescent="0.35">
      <c r="H9825" s="35"/>
    </row>
    <row r="9826" spans="8:8" x14ac:dyDescent="0.35">
      <c r="H9826" s="35"/>
    </row>
    <row r="9827" spans="8:8" x14ac:dyDescent="0.35">
      <c r="H9827" s="35"/>
    </row>
    <row r="9828" spans="8:8" x14ac:dyDescent="0.35">
      <c r="H9828" s="35"/>
    </row>
    <row r="9829" spans="8:8" x14ac:dyDescent="0.35">
      <c r="H9829" s="35"/>
    </row>
    <row r="9830" spans="8:8" x14ac:dyDescent="0.35">
      <c r="H9830" s="35"/>
    </row>
    <row r="9831" spans="8:8" x14ac:dyDescent="0.35">
      <c r="H9831" s="35"/>
    </row>
    <row r="9832" spans="8:8" x14ac:dyDescent="0.35">
      <c r="H9832" s="35"/>
    </row>
    <row r="9833" spans="8:8" x14ac:dyDescent="0.35">
      <c r="H9833" s="35"/>
    </row>
    <row r="9834" spans="8:8" x14ac:dyDescent="0.35">
      <c r="H9834" s="35"/>
    </row>
    <row r="9835" spans="8:8" x14ac:dyDescent="0.35">
      <c r="H9835" s="35"/>
    </row>
    <row r="9836" spans="8:8" x14ac:dyDescent="0.35">
      <c r="H9836" s="35"/>
    </row>
    <row r="9837" spans="8:8" x14ac:dyDescent="0.35">
      <c r="H9837" s="35"/>
    </row>
    <row r="9838" spans="8:8" x14ac:dyDescent="0.35">
      <c r="H9838" s="35"/>
    </row>
    <row r="9839" spans="8:8" x14ac:dyDescent="0.35">
      <c r="H9839" s="35"/>
    </row>
    <row r="9840" spans="8:8" x14ac:dyDescent="0.35">
      <c r="H9840" s="35"/>
    </row>
    <row r="9841" spans="8:8" x14ac:dyDescent="0.35">
      <c r="H9841" s="35"/>
    </row>
    <row r="9842" spans="8:8" x14ac:dyDescent="0.35">
      <c r="H9842" s="35"/>
    </row>
    <row r="9843" spans="8:8" x14ac:dyDescent="0.35">
      <c r="H9843" s="35"/>
    </row>
    <row r="9844" spans="8:8" x14ac:dyDescent="0.35">
      <c r="H9844" s="35"/>
    </row>
    <row r="9845" spans="8:8" x14ac:dyDescent="0.35">
      <c r="H9845" s="35"/>
    </row>
    <row r="9846" spans="8:8" x14ac:dyDescent="0.35">
      <c r="H9846" s="35"/>
    </row>
    <row r="9847" spans="8:8" x14ac:dyDescent="0.35">
      <c r="H9847" s="35"/>
    </row>
    <row r="9848" spans="8:8" x14ac:dyDescent="0.35">
      <c r="H9848" s="35"/>
    </row>
    <row r="9849" spans="8:8" x14ac:dyDescent="0.35">
      <c r="H9849" s="35"/>
    </row>
    <row r="9850" spans="8:8" x14ac:dyDescent="0.35">
      <c r="H9850" s="35"/>
    </row>
    <row r="9851" spans="8:8" x14ac:dyDescent="0.35">
      <c r="H9851" s="35"/>
    </row>
    <row r="9852" spans="8:8" x14ac:dyDescent="0.35">
      <c r="H9852" s="35"/>
    </row>
    <row r="9853" spans="8:8" x14ac:dyDescent="0.35">
      <c r="H9853" s="35"/>
    </row>
    <row r="9854" spans="8:8" x14ac:dyDescent="0.35">
      <c r="H9854" s="35"/>
    </row>
    <row r="9855" spans="8:8" x14ac:dyDescent="0.35">
      <c r="H9855" s="35"/>
    </row>
    <row r="9856" spans="8:8" x14ac:dyDescent="0.35">
      <c r="H9856" s="35"/>
    </row>
    <row r="9857" spans="8:8" x14ac:dyDescent="0.35">
      <c r="H9857" s="35"/>
    </row>
    <row r="9858" spans="8:8" x14ac:dyDescent="0.35">
      <c r="H9858" s="35"/>
    </row>
    <row r="9859" spans="8:8" x14ac:dyDescent="0.35">
      <c r="H9859" s="35"/>
    </row>
    <row r="9860" spans="8:8" x14ac:dyDescent="0.35">
      <c r="H9860" s="35"/>
    </row>
    <row r="9861" spans="8:8" x14ac:dyDescent="0.35">
      <c r="H9861" s="35"/>
    </row>
    <row r="9862" spans="8:8" x14ac:dyDescent="0.35">
      <c r="H9862" s="35"/>
    </row>
    <row r="9863" spans="8:8" x14ac:dyDescent="0.35">
      <c r="H9863" s="35"/>
    </row>
    <row r="9864" spans="8:8" x14ac:dyDescent="0.35">
      <c r="H9864" s="35"/>
    </row>
    <row r="9865" spans="8:8" x14ac:dyDescent="0.35">
      <c r="H9865" s="35"/>
    </row>
    <row r="9866" spans="8:8" x14ac:dyDescent="0.35">
      <c r="H9866" s="35"/>
    </row>
    <row r="9867" spans="8:8" x14ac:dyDescent="0.35">
      <c r="H9867" s="35"/>
    </row>
    <row r="9868" spans="8:8" x14ac:dyDescent="0.35">
      <c r="H9868" s="35"/>
    </row>
    <row r="9869" spans="8:8" x14ac:dyDescent="0.35">
      <c r="H9869" s="35"/>
    </row>
    <row r="9870" spans="8:8" x14ac:dyDescent="0.35">
      <c r="H9870" s="35"/>
    </row>
    <row r="9871" spans="8:8" x14ac:dyDescent="0.35">
      <c r="H9871" s="35"/>
    </row>
    <row r="9872" spans="8:8" x14ac:dyDescent="0.35">
      <c r="H9872" s="35"/>
    </row>
    <row r="9873" spans="8:8" x14ac:dyDescent="0.35">
      <c r="H9873" s="35"/>
    </row>
    <row r="9874" spans="8:8" x14ac:dyDescent="0.35">
      <c r="H9874" s="35"/>
    </row>
    <row r="9875" spans="8:8" x14ac:dyDescent="0.35">
      <c r="H9875" s="35"/>
    </row>
    <row r="9876" spans="8:8" x14ac:dyDescent="0.35">
      <c r="H9876" s="35"/>
    </row>
    <row r="9877" spans="8:8" x14ac:dyDescent="0.35">
      <c r="H9877" s="35"/>
    </row>
    <row r="9878" spans="8:8" x14ac:dyDescent="0.35">
      <c r="H9878" s="35"/>
    </row>
    <row r="9879" spans="8:8" x14ac:dyDescent="0.35">
      <c r="H9879" s="35"/>
    </row>
    <row r="9880" spans="8:8" x14ac:dyDescent="0.35">
      <c r="H9880" s="35"/>
    </row>
    <row r="9881" spans="8:8" x14ac:dyDescent="0.35">
      <c r="H9881" s="35"/>
    </row>
    <row r="9882" spans="8:8" x14ac:dyDescent="0.35">
      <c r="H9882" s="35"/>
    </row>
    <row r="9883" spans="8:8" x14ac:dyDescent="0.35">
      <c r="H9883" s="35"/>
    </row>
    <row r="9884" spans="8:8" x14ac:dyDescent="0.35">
      <c r="H9884" s="35"/>
    </row>
    <row r="9885" spans="8:8" x14ac:dyDescent="0.35">
      <c r="H9885" s="35"/>
    </row>
    <row r="9886" spans="8:8" x14ac:dyDescent="0.35">
      <c r="H9886" s="35"/>
    </row>
    <row r="9887" spans="8:8" x14ac:dyDescent="0.35">
      <c r="H9887" s="35"/>
    </row>
    <row r="9888" spans="8:8" x14ac:dyDescent="0.35">
      <c r="H9888" s="35"/>
    </row>
    <row r="9889" spans="8:8" x14ac:dyDescent="0.35">
      <c r="H9889" s="35"/>
    </row>
    <row r="9890" spans="8:8" x14ac:dyDescent="0.35">
      <c r="H9890" s="35"/>
    </row>
    <row r="9891" spans="8:8" x14ac:dyDescent="0.35">
      <c r="H9891" s="35"/>
    </row>
    <row r="9892" spans="8:8" x14ac:dyDescent="0.35">
      <c r="H9892" s="35"/>
    </row>
    <row r="9893" spans="8:8" x14ac:dyDescent="0.35">
      <c r="H9893" s="35"/>
    </row>
    <row r="9894" spans="8:8" x14ac:dyDescent="0.35">
      <c r="H9894" s="35"/>
    </row>
    <row r="9895" spans="8:8" x14ac:dyDescent="0.35">
      <c r="H9895" s="35"/>
    </row>
    <row r="9896" spans="8:8" x14ac:dyDescent="0.35">
      <c r="H9896" s="35"/>
    </row>
    <row r="9897" spans="8:8" x14ac:dyDescent="0.35">
      <c r="H9897" s="35"/>
    </row>
    <row r="9898" spans="8:8" x14ac:dyDescent="0.35">
      <c r="H9898" s="35"/>
    </row>
    <row r="9899" spans="8:8" x14ac:dyDescent="0.35">
      <c r="H9899" s="35"/>
    </row>
    <row r="9900" spans="8:8" x14ac:dyDescent="0.35">
      <c r="H9900" s="35"/>
    </row>
    <row r="9901" spans="8:8" x14ac:dyDescent="0.35">
      <c r="H9901" s="35"/>
    </row>
    <row r="9902" spans="8:8" x14ac:dyDescent="0.35">
      <c r="H9902" s="35"/>
    </row>
    <row r="9903" spans="8:8" x14ac:dyDescent="0.35">
      <c r="H9903" s="35"/>
    </row>
    <row r="9904" spans="8:8" x14ac:dyDescent="0.35">
      <c r="H9904" s="35"/>
    </row>
    <row r="9905" spans="8:8" x14ac:dyDescent="0.35">
      <c r="H9905" s="35"/>
    </row>
    <row r="9906" spans="8:8" x14ac:dyDescent="0.35">
      <c r="H9906" s="35"/>
    </row>
    <row r="9907" spans="8:8" x14ac:dyDescent="0.35">
      <c r="H9907" s="35"/>
    </row>
    <row r="9908" spans="8:8" x14ac:dyDescent="0.35">
      <c r="H9908" s="35"/>
    </row>
    <row r="9909" spans="8:8" x14ac:dyDescent="0.35">
      <c r="H9909" s="35"/>
    </row>
    <row r="9910" spans="8:8" x14ac:dyDescent="0.35">
      <c r="H9910" s="35"/>
    </row>
    <row r="9911" spans="8:8" x14ac:dyDescent="0.35">
      <c r="H9911" s="35"/>
    </row>
    <row r="9912" spans="8:8" x14ac:dyDescent="0.35">
      <c r="H9912" s="35"/>
    </row>
    <row r="9913" spans="8:8" x14ac:dyDescent="0.35">
      <c r="H9913" s="35"/>
    </row>
    <row r="9914" spans="8:8" x14ac:dyDescent="0.35">
      <c r="H9914" s="35"/>
    </row>
    <row r="9915" spans="8:8" x14ac:dyDescent="0.35">
      <c r="H9915" s="35"/>
    </row>
    <row r="9916" spans="8:8" x14ac:dyDescent="0.35">
      <c r="H9916" s="35"/>
    </row>
    <row r="9917" spans="8:8" x14ac:dyDescent="0.35">
      <c r="H9917" s="35"/>
    </row>
    <row r="9918" spans="8:8" x14ac:dyDescent="0.35">
      <c r="H9918" s="35"/>
    </row>
    <row r="9919" spans="8:8" x14ac:dyDescent="0.35">
      <c r="H9919" s="35"/>
    </row>
    <row r="9920" spans="8:8" x14ac:dyDescent="0.35">
      <c r="H9920" s="35"/>
    </row>
    <row r="9921" spans="8:8" x14ac:dyDescent="0.35">
      <c r="H9921" s="35"/>
    </row>
    <row r="9922" spans="8:8" x14ac:dyDescent="0.35">
      <c r="H9922" s="35"/>
    </row>
    <row r="9923" spans="8:8" x14ac:dyDescent="0.35">
      <c r="H9923" s="35"/>
    </row>
    <row r="9924" spans="8:8" x14ac:dyDescent="0.35">
      <c r="H9924" s="35"/>
    </row>
    <row r="9925" spans="8:8" x14ac:dyDescent="0.35">
      <c r="H9925" s="35"/>
    </row>
    <row r="9926" spans="8:8" x14ac:dyDescent="0.35">
      <c r="H9926" s="35"/>
    </row>
    <row r="9927" spans="8:8" x14ac:dyDescent="0.35">
      <c r="H9927" s="35"/>
    </row>
    <row r="9928" spans="8:8" x14ac:dyDescent="0.35">
      <c r="H9928" s="35"/>
    </row>
    <row r="9929" spans="8:8" x14ac:dyDescent="0.35">
      <c r="H9929" s="35"/>
    </row>
    <row r="9930" spans="8:8" x14ac:dyDescent="0.35">
      <c r="H9930" s="35"/>
    </row>
    <row r="9931" spans="8:8" x14ac:dyDescent="0.35">
      <c r="H9931" s="35"/>
    </row>
    <row r="9932" spans="8:8" x14ac:dyDescent="0.35">
      <c r="H9932" s="35"/>
    </row>
    <row r="9933" spans="8:8" x14ac:dyDescent="0.35">
      <c r="H9933" s="35"/>
    </row>
    <row r="9934" spans="8:8" x14ac:dyDescent="0.35">
      <c r="H9934" s="35"/>
    </row>
    <row r="9935" spans="8:8" x14ac:dyDescent="0.35">
      <c r="H9935" s="35"/>
    </row>
    <row r="9936" spans="8:8" x14ac:dyDescent="0.35">
      <c r="H9936" s="35"/>
    </row>
    <row r="9937" spans="8:8" x14ac:dyDescent="0.35">
      <c r="H9937" s="35"/>
    </row>
    <row r="9938" spans="8:8" x14ac:dyDescent="0.35">
      <c r="H9938" s="35"/>
    </row>
    <row r="9939" spans="8:8" x14ac:dyDescent="0.35">
      <c r="H9939" s="35"/>
    </row>
    <row r="9940" spans="8:8" x14ac:dyDescent="0.35">
      <c r="H9940" s="35"/>
    </row>
    <row r="9941" spans="8:8" x14ac:dyDescent="0.35">
      <c r="H9941" s="35"/>
    </row>
    <row r="9942" spans="8:8" x14ac:dyDescent="0.35">
      <c r="H9942" s="35"/>
    </row>
    <row r="9943" spans="8:8" x14ac:dyDescent="0.35">
      <c r="H9943" s="35"/>
    </row>
    <row r="9944" spans="8:8" x14ac:dyDescent="0.35">
      <c r="H9944" s="35"/>
    </row>
    <row r="9945" spans="8:8" x14ac:dyDescent="0.35">
      <c r="H9945" s="35"/>
    </row>
    <row r="9946" spans="8:8" x14ac:dyDescent="0.35">
      <c r="H9946" s="35"/>
    </row>
    <row r="9947" spans="8:8" x14ac:dyDescent="0.35">
      <c r="H9947" s="35"/>
    </row>
    <row r="9948" spans="8:8" x14ac:dyDescent="0.35">
      <c r="H9948" s="35"/>
    </row>
    <row r="9949" spans="8:8" x14ac:dyDescent="0.35">
      <c r="H9949" s="35"/>
    </row>
    <row r="9950" spans="8:8" x14ac:dyDescent="0.35">
      <c r="H9950" s="35"/>
    </row>
    <row r="9951" spans="8:8" x14ac:dyDescent="0.35">
      <c r="H9951" s="35"/>
    </row>
    <row r="9952" spans="8:8" x14ac:dyDescent="0.35">
      <c r="H9952" s="35"/>
    </row>
    <row r="9953" spans="8:8" x14ac:dyDescent="0.35">
      <c r="H9953" s="35"/>
    </row>
    <row r="9954" spans="8:8" x14ac:dyDescent="0.35">
      <c r="H9954" s="35"/>
    </row>
    <row r="9955" spans="8:8" x14ac:dyDescent="0.35">
      <c r="H9955" s="35"/>
    </row>
    <row r="9956" spans="8:8" x14ac:dyDescent="0.35">
      <c r="H9956" s="35"/>
    </row>
    <row r="9957" spans="8:8" x14ac:dyDescent="0.35">
      <c r="H9957" s="35"/>
    </row>
    <row r="9958" spans="8:8" x14ac:dyDescent="0.35">
      <c r="H9958" s="35"/>
    </row>
    <row r="9959" spans="8:8" x14ac:dyDescent="0.35">
      <c r="H9959" s="35"/>
    </row>
    <row r="9960" spans="8:8" x14ac:dyDescent="0.35">
      <c r="H9960" s="35"/>
    </row>
    <row r="9961" spans="8:8" x14ac:dyDescent="0.35">
      <c r="H9961" s="35"/>
    </row>
    <row r="9962" spans="8:8" x14ac:dyDescent="0.35">
      <c r="H9962" s="35"/>
    </row>
    <row r="9963" spans="8:8" x14ac:dyDescent="0.35">
      <c r="H9963" s="35"/>
    </row>
    <row r="9964" spans="8:8" x14ac:dyDescent="0.35">
      <c r="H9964" s="35"/>
    </row>
    <row r="9965" spans="8:8" x14ac:dyDescent="0.35">
      <c r="H9965" s="35"/>
    </row>
    <row r="9966" spans="8:8" x14ac:dyDescent="0.35">
      <c r="H9966" s="35"/>
    </row>
    <row r="9967" spans="8:8" x14ac:dyDescent="0.35">
      <c r="H9967" s="35"/>
    </row>
    <row r="9968" spans="8:8" x14ac:dyDescent="0.35">
      <c r="H9968" s="35"/>
    </row>
    <row r="9969" spans="8:8" x14ac:dyDescent="0.35">
      <c r="H9969" s="35"/>
    </row>
    <row r="9970" spans="8:8" x14ac:dyDescent="0.35">
      <c r="H9970" s="35"/>
    </row>
    <row r="9971" spans="8:8" x14ac:dyDescent="0.35">
      <c r="H9971" s="35"/>
    </row>
    <row r="9972" spans="8:8" x14ac:dyDescent="0.35">
      <c r="H9972" s="35"/>
    </row>
    <row r="9973" spans="8:8" x14ac:dyDescent="0.35">
      <c r="H9973" s="35"/>
    </row>
    <row r="9974" spans="8:8" x14ac:dyDescent="0.35">
      <c r="H9974" s="35"/>
    </row>
    <row r="9975" spans="8:8" x14ac:dyDescent="0.35">
      <c r="H9975" s="35"/>
    </row>
    <row r="9976" spans="8:8" x14ac:dyDescent="0.35">
      <c r="H9976" s="35"/>
    </row>
    <row r="9977" spans="8:8" x14ac:dyDescent="0.35">
      <c r="H9977" s="35"/>
    </row>
    <row r="9978" spans="8:8" x14ac:dyDescent="0.35">
      <c r="H9978" s="35"/>
    </row>
    <row r="9979" spans="8:8" x14ac:dyDescent="0.35">
      <c r="H9979" s="35"/>
    </row>
    <row r="9980" spans="8:8" x14ac:dyDescent="0.35">
      <c r="H9980" s="35"/>
    </row>
    <row r="9981" spans="8:8" x14ac:dyDescent="0.35">
      <c r="H9981" s="35"/>
    </row>
    <row r="9982" spans="8:8" x14ac:dyDescent="0.35">
      <c r="H9982" s="35"/>
    </row>
    <row r="9983" spans="8:8" x14ac:dyDescent="0.35">
      <c r="H9983" s="35"/>
    </row>
    <row r="9984" spans="8:8" x14ac:dyDescent="0.35">
      <c r="H9984" s="35"/>
    </row>
    <row r="9985" spans="8:8" x14ac:dyDescent="0.35">
      <c r="H9985" s="35"/>
    </row>
    <row r="9986" spans="8:8" x14ac:dyDescent="0.35">
      <c r="H9986" s="35"/>
    </row>
    <row r="9987" spans="8:8" x14ac:dyDescent="0.35">
      <c r="H9987" s="35"/>
    </row>
    <row r="9988" spans="8:8" x14ac:dyDescent="0.35">
      <c r="H9988" s="35"/>
    </row>
    <row r="9989" spans="8:8" x14ac:dyDescent="0.35">
      <c r="H9989" s="35"/>
    </row>
    <row r="9990" spans="8:8" x14ac:dyDescent="0.35">
      <c r="H9990" s="35"/>
    </row>
    <row r="9991" spans="8:8" x14ac:dyDescent="0.35">
      <c r="H9991" s="35"/>
    </row>
    <row r="9992" spans="8:8" x14ac:dyDescent="0.35">
      <c r="H9992" s="35"/>
    </row>
    <row r="9993" spans="8:8" x14ac:dyDescent="0.35">
      <c r="H9993" s="35"/>
    </row>
    <row r="9994" spans="8:8" x14ac:dyDescent="0.35">
      <c r="H9994" s="35"/>
    </row>
    <row r="9995" spans="8:8" x14ac:dyDescent="0.35">
      <c r="H9995" s="35"/>
    </row>
    <row r="9996" spans="8:8" x14ac:dyDescent="0.35">
      <c r="H9996" s="35"/>
    </row>
    <row r="9997" spans="8:8" x14ac:dyDescent="0.35">
      <c r="H9997" s="35"/>
    </row>
    <row r="9998" spans="8:8" x14ac:dyDescent="0.35">
      <c r="H9998" s="35"/>
    </row>
    <row r="9999" spans="8:8" x14ac:dyDescent="0.35">
      <c r="H9999" s="35"/>
    </row>
    <row r="10000" spans="8:8" x14ac:dyDescent="0.35">
      <c r="H10000" s="35"/>
    </row>
  </sheetData>
  <autoFilter ref="A1:O127">
    <filterColumn colId="0">
      <filters>
        <filter val="158"/>
        <filter val="191"/>
        <filter val="324"/>
        <filter val="329"/>
        <filter val="332"/>
        <filter val="384"/>
        <filter val="391"/>
      </filters>
    </filterColumn>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34998626667073579"/>
  </sheetPr>
  <dimension ref="A1:K72"/>
  <sheetViews>
    <sheetView topLeftCell="A29" zoomScaleNormal="100" workbookViewId="0">
      <selection activeCell="C37" sqref="C37"/>
    </sheetView>
  </sheetViews>
  <sheetFormatPr defaultRowHeight="14.5" x14ac:dyDescent="0.35"/>
  <cols>
    <col min="1" max="1" width="87.54296875" customWidth="1"/>
    <col min="2" max="2" width="14.1796875" style="3" customWidth="1"/>
    <col min="3" max="3" width="16.7265625" style="85" bestFit="1" customWidth="1"/>
  </cols>
  <sheetData>
    <row r="1" spans="1:11" x14ac:dyDescent="0.35">
      <c r="A1" s="6" t="s">
        <v>19</v>
      </c>
    </row>
    <row r="2" spans="1:11" x14ac:dyDescent="0.35">
      <c r="A2" s="37" t="str">
        <f xml:space="preserve"> Data!J73 &amp;" Delays / " &amp; TRUNC(Data!K78,2)  &amp;" HRS"</f>
        <v>57 Delays / 261.03 HRS</v>
      </c>
    </row>
    <row r="3" spans="1:11" ht="6.75" customHeight="1" x14ac:dyDescent="0.35">
      <c r="A3" s="49"/>
    </row>
    <row r="4" spans="1:11" x14ac:dyDescent="0.35">
      <c r="A4" s="63" t="str">
        <f>Data!L75 &amp;":  " &amp; Data!J75 &amp; " Delays / " &amp; TRUNC(Data!K75,2) &amp; " Hrs"</f>
        <v>Generators:  12 Delays / 28.64 Hrs</v>
      </c>
    </row>
    <row r="5" spans="1:11" x14ac:dyDescent="0.35">
      <c r="A5" s="63" t="str">
        <f>COUNTIFS(Data!G:G,Data!L75,Data!Z:Z,0) &amp;" of the "&amp; Data!J75 &amp; " delays has a WO entered for this System; " &amp; Data!O75 &amp; " WO's consumed "&amp; Data!M75 &amp;" parts"</f>
        <v>8 of the 12 delays has a WO entered for this System; 1 WO's consumed 4 parts</v>
      </c>
      <c r="C5" s="98"/>
    </row>
    <row r="6" spans="1:11" x14ac:dyDescent="0.35">
      <c r="A6" s="23" t="s">
        <v>1499</v>
      </c>
      <c r="C6" s="98"/>
    </row>
    <row r="7" spans="1:11" ht="6.75" customHeight="1" x14ac:dyDescent="0.35">
      <c r="A7" s="50"/>
      <c r="C7" s="92"/>
    </row>
    <row r="8" spans="1:11" x14ac:dyDescent="0.35">
      <c r="A8" s="63" t="str">
        <f>Data!L76 &amp;":  " &amp; Data!J76 &amp; " Delays / " &amp; TRUNC(Data!K76,2) &amp; " Hrs"</f>
        <v>Swing System:  43 Delays / 231.67 Hrs</v>
      </c>
      <c r="C8" s="92"/>
    </row>
    <row r="9" spans="1:11" x14ac:dyDescent="0.35">
      <c r="A9" s="63" t="str">
        <f>COUNTIFS(Data!G:G,Data!L76,Data!Z:Z,0) &amp;" of the "&amp; Data!J76 &amp; " delays has a WO entered for this System; " &amp; Data!O76 &amp; " WO's consumed "&amp;Data!M76 &amp;" parts"</f>
        <v>31 of the 43 delays has a WO entered for this System; 4 WO's consumed 12 parts</v>
      </c>
    </row>
    <row r="10" spans="1:11" x14ac:dyDescent="0.35">
      <c r="A10" s="23" t="s">
        <v>1500</v>
      </c>
    </row>
    <row r="11" spans="1:11" ht="6.75" customHeight="1" x14ac:dyDescent="0.35">
      <c r="A11" s="50"/>
    </row>
    <row r="12" spans="1:11" x14ac:dyDescent="0.35">
      <c r="A12" s="63" t="str">
        <f>Data!L77 &amp;":  " &amp; Data!J77 &amp; " Delays / " &amp; TRUNC(Data!K77,2) &amp; " Hrs"</f>
        <v>Main Pump:  2 Delays / 0.72 Hrs</v>
      </c>
      <c r="G12" s="38"/>
      <c r="H12" s="38"/>
      <c r="I12" s="38"/>
      <c r="J12" s="38"/>
      <c r="K12" s="38"/>
    </row>
    <row r="13" spans="1:11" x14ac:dyDescent="0.35">
      <c r="A13" s="63" t="str">
        <f>COUNTIFS(Data!G:G,Data!L77,Data!Z:Z,0) &amp;" of the "&amp; Data!J77 &amp; " delays has a WO entered for this System; " &amp; Data!O77 &amp; " WO's consumed "&amp; Data!M77 &amp;" parts"</f>
        <v>0 of the 2 delays has a WO entered for this System; 0 WO's consumed 0 parts</v>
      </c>
      <c r="G13" s="38"/>
      <c r="H13" s="38"/>
      <c r="I13" s="38"/>
      <c r="J13" s="38"/>
      <c r="K13" s="38"/>
    </row>
    <row r="14" spans="1:11" x14ac:dyDescent="0.35">
      <c r="A14" s="23" t="s">
        <v>1501</v>
      </c>
      <c r="G14" s="38"/>
      <c r="H14" s="38"/>
      <c r="I14" s="38"/>
      <c r="J14" s="38"/>
      <c r="K14" s="38"/>
    </row>
    <row r="15" spans="1:11" ht="6.75" customHeight="1" x14ac:dyDescent="0.35">
      <c r="A15" s="50"/>
      <c r="G15" s="38"/>
      <c r="H15" s="38"/>
      <c r="I15" s="38"/>
      <c r="J15" s="38"/>
      <c r="K15" s="38"/>
    </row>
    <row r="16" spans="1:11" s="36" customFormat="1" ht="6.75" customHeight="1" x14ac:dyDescent="0.35">
      <c r="A16" s="51"/>
      <c r="B16" s="51"/>
      <c r="C16" s="92"/>
      <c r="G16" s="52"/>
      <c r="H16" s="52"/>
      <c r="I16" s="52"/>
      <c r="J16" s="52"/>
      <c r="K16" s="52"/>
    </row>
    <row r="17" spans="1:11" x14ac:dyDescent="0.35">
      <c r="A17" s="6" t="s">
        <v>18</v>
      </c>
      <c r="D17" s="39" t="s">
        <v>119</v>
      </c>
      <c r="E17" s="38"/>
      <c r="F17" s="38"/>
      <c r="G17" s="38"/>
      <c r="H17" s="38"/>
      <c r="I17" s="38"/>
      <c r="J17" s="38"/>
      <c r="K17" s="38"/>
    </row>
    <row r="18" spans="1:11" x14ac:dyDescent="0.35">
      <c r="A18" s="3"/>
      <c r="D18" s="39" t="s">
        <v>120</v>
      </c>
      <c r="E18" s="38"/>
      <c r="F18" s="38"/>
    </row>
    <row r="19" spans="1:11" x14ac:dyDescent="0.35">
      <c r="A19" s="6" t="str">
        <f>Data!L75</f>
        <v>Generators</v>
      </c>
      <c r="D19" s="39" t="s">
        <v>121</v>
      </c>
      <c r="E19" s="38"/>
      <c r="F19" s="38"/>
    </row>
    <row r="20" spans="1:11" x14ac:dyDescent="0.35">
      <c r="A20" s="93" t="s">
        <v>172</v>
      </c>
      <c r="D20" s="39" t="s">
        <v>122</v>
      </c>
      <c r="E20" s="38"/>
      <c r="F20" s="38"/>
    </row>
    <row r="21" spans="1:11" x14ac:dyDescent="0.35">
      <c r="A21" s="23" t="s">
        <v>150</v>
      </c>
      <c r="C21" s="85" t="s">
        <v>233</v>
      </c>
    </row>
    <row r="22" spans="1:11" x14ac:dyDescent="0.35">
      <c r="A22" s="23" t="s">
        <v>1502</v>
      </c>
      <c r="C22" s="111" t="s">
        <v>179</v>
      </c>
      <c r="D22" s="38"/>
    </row>
    <row r="23" spans="1:11" ht="29" x14ac:dyDescent="0.35">
      <c r="A23" s="23" t="s">
        <v>1503</v>
      </c>
      <c r="C23" s="91" t="s">
        <v>171</v>
      </c>
      <c r="D23" s="38"/>
    </row>
    <row r="24" spans="1:11" x14ac:dyDescent="0.35">
      <c r="A24" s="23" t="s">
        <v>1504</v>
      </c>
      <c r="C24" s="91" t="s">
        <v>170</v>
      </c>
    </row>
    <row r="25" spans="1:11" x14ac:dyDescent="0.35">
      <c r="A25" s="23" t="s">
        <v>153</v>
      </c>
      <c r="C25" s="96" t="s">
        <v>395</v>
      </c>
    </row>
    <row r="26" spans="1:11" x14ac:dyDescent="0.35">
      <c r="A26" s="23" t="s">
        <v>154</v>
      </c>
      <c r="C26" s="97" t="s">
        <v>396</v>
      </c>
    </row>
    <row r="27" spans="1:11" x14ac:dyDescent="0.35">
      <c r="A27" s="23"/>
    </row>
    <row r="28" spans="1:11" x14ac:dyDescent="0.35">
      <c r="A28" s="94" t="s">
        <v>173</v>
      </c>
    </row>
    <row r="29" spans="1:11" x14ac:dyDescent="0.35">
      <c r="A29" s="23"/>
    </row>
    <row r="30" spans="1:11" x14ac:dyDescent="0.35">
      <c r="A30" s="23"/>
    </row>
    <row r="31" spans="1:11" x14ac:dyDescent="0.35">
      <c r="A31" s="23"/>
    </row>
    <row r="32" spans="1:11" ht="6.75" customHeight="1" x14ac:dyDescent="0.35">
      <c r="A32" s="95"/>
    </row>
    <row r="33" spans="1:2" x14ac:dyDescent="0.35">
      <c r="A33" s="6" t="str">
        <f>Data!L76</f>
        <v>Swing System</v>
      </c>
    </row>
    <row r="34" spans="1:2" ht="87" x14ac:dyDescent="0.35">
      <c r="A34" s="93" t="s">
        <v>172</v>
      </c>
      <c r="B34" s="3" t="s">
        <v>1514</v>
      </c>
    </row>
    <row r="35" spans="1:2" x14ac:dyDescent="0.35">
      <c r="A35" s="23" t="s">
        <v>150</v>
      </c>
    </row>
    <row r="36" spans="1:2" x14ac:dyDescent="0.35">
      <c r="A36" s="23" t="s">
        <v>1505</v>
      </c>
    </row>
    <row r="37" spans="1:2" x14ac:dyDescent="0.35">
      <c r="A37" s="23" t="s">
        <v>1507</v>
      </c>
    </row>
    <row r="38" spans="1:2" x14ac:dyDescent="0.35">
      <c r="A38" s="23" t="s">
        <v>1506</v>
      </c>
    </row>
    <row r="39" spans="1:2" ht="17" customHeight="1" x14ac:dyDescent="0.35">
      <c r="A39" s="23" t="s">
        <v>1508</v>
      </c>
    </row>
    <row r="40" spans="1:2" x14ac:dyDescent="0.35">
      <c r="A40" s="23" t="s">
        <v>1509</v>
      </c>
    </row>
    <row r="41" spans="1:2" x14ac:dyDescent="0.35">
      <c r="A41" s="23"/>
    </row>
    <row r="42" spans="1:2" x14ac:dyDescent="0.35">
      <c r="A42" s="94" t="s">
        <v>173</v>
      </c>
    </row>
    <row r="43" spans="1:2" ht="58" x14ac:dyDescent="0.35">
      <c r="A43" s="23" t="s">
        <v>1511</v>
      </c>
    </row>
    <row r="44" spans="1:2" x14ac:dyDescent="0.35">
      <c r="A44" s="23"/>
    </row>
    <row r="45" spans="1:2" x14ac:dyDescent="0.35">
      <c r="A45" s="23"/>
    </row>
    <row r="46" spans="1:2" ht="6.75" customHeight="1" x14ac:dyDescent="0.35">
      <c r="A46" s="95"/>
    </row>
    <row r="47" spans="1:2" x14ac:dyDescent="0.35">
      <c r="A47" s="6" t="str">
        <f>Data!L77</f>
        <v>Main Pump</v>
      </c>
    </row>
    <row r="48" spans="1:2" x14ac:dyDescent="0.35">
      <c r="A48" s="93" t="s">
        <v>172</v>
      </c>
    </row>
    <row r="49" spans="1:3" x14ac:dyDescent="0.35">
      <c r="A49" s="23" t="s">
        <v>150</v>
      </c>
    </row>
    <row r="50" spans="1:3" x14ac:dyDescent="0.35">
      <c r="A50" s="23" t="s">
        <v>1510</v>
      </c>
    </row>
    <row r="51" spans="1:3" x14ac:dyDescent="0.35">
      <c r="A51" s="23" t="s">
        <v>151</v>
      </c>
    </row>
    <row r="52" spans="1:3" x14ac:dyDescent="0.35">
      <c r="A52" s="23" t="s">
        <v>152</v>
      </c>
    </row>
    <row r="53" spans="1:3" x14ac:dyDescent="0.35">
      <c r="A53" s="23" t="s">
        <v>153</v>
      </c>
    </row>
    <row r="54" spans="1:3" x14ac:dyDescent="0.35">
      <c r="A54" s="23" t="s">
        <v>154</v>
      </c>
    </row>
    <row r="55" spans="1:3" x14ac:dyDescent="0.35">
      <c r="A55" s="23"/>
    </row>
    <row r="56" spans="1:3" x14ac:dyDescent="0.35">
      <c r="A56" s="94" t="s">
        <v>173</v>
      </c>
    </row>
    <row r="57" spans="1:3" x14ac:dyDescent="0.35">
      <c r="A57" s="23"/>
    </row>
    <row r="58" spans="1:3" x14ac:dyDescent="0.35">
      <c r="A58" s="23"/>
    </row>
    <row r="59" spans="1:3" x14ac:dyDescent="0.35">
      <c r="A59" s="23"/>
    </row>
    <row r="60" spans="1:3" ht="6.75" customHeight="1" x14ac:dyDescent="0.35">
      <c r="A60" s="95"/>
    </row>
    <row r="61" spans="1:3" x14ac:dyDescent="0.35">
      <c r="A61" s="3"/>
    </row>
    <row r="62" spans="1:3" x14ac:dyDescent="0.35">
      <c r="A62" s="7" t="s">
        <v>31</v>
      </c>
      <c r="C62" s="111" t="s">
        <v>179</v>
      </c>
    </row>
    <row r="63" spans="1:3" x14ac:dyDescent="0.35">
      <c r="A63" s="23" t="str">
        <f>"Total delays analyzed: "&amp; Data!J73</f>
        <v>Total delays analyzed: 57</v>
      </c>
      <c r="C63" s="91" t="s">
        <v>171</v>
      </c>
    </row>
    <row r="64" spans="1:3" x14ac:dyDescent="0.35">
      <c r="A64" s="23" t="str">
        <f>"Delays that had Worker Order number entered: " &amp; Data!J72</f>
        <v>Delays that had Worker Order number entered: 40</v>
      </c>
      <c r="C64" s="91" t="s">
        <v>170</v>
      </c>
    </row>
    <row r="65" spans="1:3" x14ac:dyDescent="0.35">
      <c r="A65" s="23" t="str">
        <f>"Delays that had 'NA' entered: " &amp; SUM(Data!J68,Data!J69)</f>
        <v>Delays that had 'NA' entered: 17</v>
      </c>
      <c r="C65" s="96" t="s">
        <v>395</v>
      </c>
    </row>
    <row r="66" spans="1:3" x14ac:dyDescent="0.35">
      <c r="A66" s="23" t="str">
        <f>"Delays that had no entry for WO (Blank):  "&amp;Data!J67</f>
        <v>Delays that had no entry for WO (Blank):  0</v>
      </c>
      <c r="C66" s="97" t="s">
        <v>396</v>
      </c>
    </row>
    <row r="67" spans="1:3" x14ac:dyDescent="0.35">
      <c r="A67" s="23" t="str">
        <f>"Delays that had Findings entered: "&amp;Data!P78</f>
        <v>Delays that had Findings entered: 27</v>
      </c>
    </row>
    <row r="68" spans="1:3" ht="29" x14ac:dyDescent="0.35">
      <c r="A68" s="23" t="s">
        <v>1512</v>
      </c>
    </row>
    <row r="69" spans="1:3" x14ac:dyDescent="0.35">
      <c r="A69" s="23" t="s">
        <v>1513</v>
      </c>
    </row>
    <row r="70" spans="1:3" x14ac:dyDescent="0.35">
      <c r="A70" s="3" t="s">
        <v>163</v>
      </c>
    </row>
    <row r="72" spans="1:3" x14ac:dyDescent="0.35">
      <c r="A72" s="3" t="str">
        <f>Data!O78&amp;" of the "&amp;Data!J72&amp;" Work Orders had parts consumed =  "&amp;TRUNC((Data!O78/Data!J72 * 100),2)&amp;"%"</f>
        <v>5 of the 40 Work Orders had parts consumed =  12.5%</v>
      </c>
    </row>
  </sheetData>
  <conditionalFormatting sqref="C22">
    <cfRule type="cellIs" dxfId="1" priority="2" operator="equal">
      <formula>"No Work Order Entered"</formula>
    </cfRule>
  </conditionalFormatting>
  <conditionalFormatting sqref="C62">
    <cfRule type="cellIs" dxfId="0" priority="1" operator="equal">
      <formula>"No Work Order Entered"</formula>
    </cfRule>
  </conditionalFormatting>
  <hyperlinks>
    <hyperlink ref="C64" location="Data!A1" display="Data Tab"/>
    <hyperlink ref="C63" location="Pareto!A1" display="Pareto"/>
    <hyperlink ref="A20" location="'Gen System Parts'!A1" display="Parts: "/>
    <hyperlink ref="A28" location="'Gen System SJ'!A1" display="Standard Jobs: "/>
    <hyperlink ref="A34" location="'Swing System Parts'!A1" display="Parts: "/>
    <hyperlink ref="A42" location="'Swing System SJ'!A1" display="Standard Jobs: "/>
    <hyperlink ref="A48" location="'Main Pump System Parts'!A1" display="Parts: "/>
    <hyperlink ref="A56" location="'Main Pump System SJ'!A1" display="Standard Jobs: "/>
    <hyperlink ref="C65" location="'HYD DIV SJ BY SYSTEM'!A1" display="HYD Div SJ"/>
    <hyperlink ref="C66" location="'HYD DIV Critical Parts by SYS'!A1" display="HYD Div Parts"/>
    <hyperlink ref="C24" location="Data!A1" display="Data Tab"/>
    <hyperlink ref="C23" location="Pareto!A1" display="Pareto"/>
    <hyperlink ref="C25" location="'HYD DIV SJ BY SYSTEM'!A1" display="HYD Div SJ"/>
    <hyperlink ref="C26" location="'HYD DIV Critical Parts by SYS'!A1" display="HYD Div Parts"/>
    <hyperlink ref="C22" location="'Table Of Contents - Order'!A1" display="Table of Contents"/>
    <hyperlink ref="C62" location="'Table Of Contents - Order'!A1" display="Table of Contents"/>
  </hyperlinks>
  <pageMargins left="0.7" right="0.7" top="0.75" bottom="0.75" header="0.3" footer="0.3"/>
  <pageSetup orientation="portrait" horizontalDpi="4294967293" vertic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K18"/>
  <sheetViews>
    <sheetView tabSelected="1" workbookViewId="0">
      <selection activeCell="G12" sqref="G12"/>
    </sheetView>
  </sheetViews>
  <sheetFormatPr defaultRowHeight="14.5" x14ac:dyDescent="0.35"/>
  <cols>
    <col min="7" max="7" width="13.1796875" customWidth="1"/>
    <col min="8" max="8" width="13.6328125" customWidth="1"/>
    <col min="9" max="9" width="18.54296875" customWidth="1"/>
    <col min="10" max="10" width="15.90625" customWidth="1"/>
    <col min="11" max="11" width="24.81640625" customWidth="1"/>
  </cols>
  <sheetData>
    <row r="1" spans="2:11" ht="15" thickBot="1" x14ac:dyDescent="0.4"/>
    <row r="2" spans="2:11" ht="18.5" x14ac:dyDescent="0.35">
      <c r="B2" s="212"/>
      <c r="C2" s="213"/>
      <c r="D2" s="213"/>
      <c r="E2" s="213"/>
      <c r="F2" s="213"/>
      <c r="G2" s="213"/>
      <c r="H2" s="238" t="s">
        <v>1516</v>
      </c>
      <c r="I2" s="238"/>
      <c r="J2" s="238"/>
      <c r="K2" s="239"/>
    </row>
    <row r="3" spans="2:11" x14ac:dyDescent="0.35">
      <c r="B3" s="214"/>
      <c r="C3" s="9"/>
      <c r="D3" s="9"/>
      <c r="E3" s="9"/>
      <c r="F3" s="9" t="s">
        <v>1526</v>
      </c>
      <c r="G3" s="9" t="s">
        <v>1527</v>
      </c>
      <c r="H3" s="215" t="s">
        <v>1517</v>
      </c>
      <c r="I3" s="215" t="s">
        <v>1518</v>
      </c>
      <c r="J3" s="215" t="s">
        <v>1519</v>
      </c>
      <c r="K3" s="216" t="s">
        <v>1520</v>
      </c>
    </row>
    <row r="4" spans="2:11" x14ac:dyDescent="0.35">
      <c r="B4" s="240" t="s">
        <v>1521</v>
      </c>
      <c r="C4" s="241"/>
      <c r="D4" s="241"/>
      <c r="E4" s="242"/>
      <c r="F4" s="243">
        <v>12</v>
      </c>
      <c r="G4" s="243">
        <v>28.64</v>
      </c>
      <c r="H4" s="218"/>
      <c r="I4" s="218"/>
      <c r="J4" s="218"/>
      <c r="K4" s="219"/>
    </row>
    <row r="5" spans="2:11" x14ac:dyDescent="0.35">
      <c r="B5" s="214"/>
      <c r="C5" s="9"/>
      <c r="D5" s="9"/>
      <c r="E5" s="220"/>
      <c r="F5" s="244"/>
      <c r="G5" s="244"/>
      <c r="H5" s="221"/>
      <c r="I5" s="221"/>
      <c r="J5" s="221"/>
      <c r="K5" s="222"/>
    </row>
    <row r="6" spans="2:11" x14ac:dyDescent="0.35">
      <c r="B6" s="214"/>
      <c r="C6" s="9"/>
      <c r="D6" s="9"/>
      <c r="E6" s="220"/>
      <c r="F6" s="244"/>
      <c r="G6" s="244"/>
      <c r="H6" s="221"/>
      <c r="I6" s="221"/>
      <c r="J6" s="221"/>
      <c r="K6" s="222"/>
    </row>
    <row r="7" spans="2:11" x14ac:dyDescent="0.35">
      <c r="B7" s="240" t="s">
        <v>1522</v>
      </c>
      <c r="C7" s="241"/>
      <c r="D7" s="241"/>
      <c r="E7" s="242"/>
      <c r="F7" s="243">
        <v>43</v>
      </c>
      <c r="G7" s="243">
        <v>231.67</v>
      </c>
      <c r="H7" s="218"/>
      <c r="I7" s="218"/>
      <c r="J7" s="218"/>
      <c r="K7" s="219"/>
    </row>
    <row r="8" spans="2:11" x14ac:dyDescent="0.35">
      <c r="B8" s="214"/>
      <c r="C8" s="9"/>
      <c r="D8" s="9"/>
      <c r="E8" s="220"/>
      <c r="F8" s="244"/>
      <c r="G8" s="244"/>
      <c r="H8" s="221"/>
      <c r="I8" s="221"/>
      <c r="J8" s="221"/>
      <c r="K8" s="222"/>
    </row>
    <row r="9" spans="2:11" x14ac:dyDescent="0.35">
      <c r="B9" s="214"/>
      <c r="C9" s="9"/>
      <c r="D9" s="9"/>
      <c r="E9" s="220"/>
      <c r="F9" s="244"/>
      <c r="G9" s="244"/>
      <c r="H9" s="221"/>
      <c r="I9" s="221"/>
      <c r="J9" s="221"/>
      <c r="K9" s="222"/>
    </row>
    <row r="10" spans="2:11" x14ac:dyDescent="0.35">
      <c r="B10" s="240" t="s">
        <v>1523</v>
      </c>
      <c r="C10" s="241"/>
      <c r="D10" s="241"/>
      <c r="E10" s="242"/>
      <c r="F10" s="243">
        <v>2</v>
      </c>
      <c r="G10" s="243">
        <v>0.73</v>
      </c>
      <c r="H10" s="218"/>
      <c r="I10" s="218"/>
      <c r="J10" s="218"/>
      <c r="K10" s="219"/>
    </row>
    <row r="11" spans="2:11" x14ac:dyDescent="0.35">
      <c r="B11" s="214"/>
      <c r="C11" s="9"/>
      <c r="D11" s="9"/>
      <c r="E11" s="220"/>
      <c r="F11" s="220"/>
      <c r="G11" s="220"/>
      <c r="H11" s="221"/>
      <c r="I11" s="221"/>
      <c r="J11" s="221"/>
      <c r="K11" s="222"/>
    </row>
    <row r="12" spans="2:11" ht="15" thickBot="1" x14ac:dyDescent="0.4">
      <c r="B12" s="223"/>
      <c r="C12" s="224"/>
      <c r="D12" s="224"/>
      <c r="E12" s="225"/>
      <c r="F12" s="225"/>
      <c r="G12" s="225"/>
      <c r="H12" s="226"/>
      <c r="I12" s="226"/>
      <c r="J12" s="226"/>
      <c r="K12" s="227"/>
    </row>
    <row r="13" spans="2:11" x14ac:dyDescent="0.35">
      <c r="B13" s="240" t="s">
        <v>1524</v>
      </c>
      <c r="C13" s="241"/>
      <c r="D13" s="241"/>
      <c r="E13" s="242"/>
      <c r="F13" s="217"/>
      <c r="G13" s="217"/>
      <c r="H13" s="218"/>
      <c r="I13" s="218"/>
      <c r="J13" s="218"/>
      <c r="K13" s="219"/>
    </row>
    <row r="14" spans="2:11" x14ac:dyDescent="0.35">
      <c r="B14" s="214"/>
      <c r="C14" s="9"/>
      <c r="D14" s="9"/>
      <c r="E14" s="220"/>
      <c r="F14" s="220"/>
      <c r="G14" s="220"/>
      <c r="H14" s="221"/>
      <c r="I14" s="221"/>
      <c r="J14" s="221"/>
      <c r="K14" s="222"/>
    </row>
    <row r="15" spans="2:11" ht="15" thickBot="1" x14ac:dyDescent="0.4">
      <c r="B15" s="223"/>
      <c r="C15" s="224"/>
      <c r="D15" s="224"/>
      <c r="E15" s="225"/>
      <c r="F15" s="225"/>
      <c r="G15" s="225"/>
      <c r="H15" s="226"/>
      <c r="I15" s="226"/>
      <c r="J15" s="226"/>
      <c r="K15" s="227"/>
    </row>
    <row r="16" spans="2:11" x14ac:dyDescent="0.35">
      <c r="B16" s="240" t="s">
        <v>1525</v>
      </c>
      <c r="C16" s="241"/>
      <c r="D16" s="241"/>
      <c r="E16" s="242"/>
      <c r="F16" s="217"/>
      <c r="G16" s="217"/>
      <c r="H16" s="218"/>
      <c r="I16" s="218"/>
      <c r="J16" s="218"/>
      <c r="K16" s="219"/>
    </row>
    <row r="17" spans="2:11" x14ac:dyDescent="0.35">
      <c r="B17" s="214"/>
      <c r="C17" s="9"/>
      <c r="D17" s="9"/>
      <c r="E17" s="220"/>
      <c r="F17" s="220"/>
      <c r="G17" s="220"/>
      <c r="H17" s="221"/>
      <c r="I17" s="221"/>
      <c r="J17" s="221"/>
      <c r="K17" s="222"/>
    </row>
    <row r="18" spans="2:11" ht="15" thickBot="1" x14ac:dyDescent="0.4">
      <c r="B18" s="223"/>
      <c r="C18" s="224"/>
      <c r="D18" s="224"/>
      <c r="E18" s="225"/>
      <c r="F18" s="225"/>
      <c r="G18" s="225"/>
      <c r="H18" s="226"/>
      <c r="I18" s="226"/>
      <c r="J18" s="226"/>
      <c r="K18" s="227"/>
    </row>
  </sheetData>
  <mergeCells count="6">
    <mergeCell ref="B16:E16"/>
    <mergeCell ref="H2:K2"/>
    <mergeCell ref="B4:E4"/>
    <mergeCell ref="B7:E7"/>
    <mergeCell ref="B10:E10"/>
    <mergeCell ref="B13:E13"/>
  </mergeCells>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Table Of Contents - Order</vt:lpstr>
      <vt:lpstr>Pareto</vt:lpstr>
      <vt:lpstr>Delay Log Appendix A</vt:lpstr>
      <vt:lpstr>Data</vt:lpstr>
      <vt:lpstr>Gen System SJ</vt:lpstr>
      <vt:lpstr>Gen System Parts</vt:lpstr>
      <vt:lpstr>Swing System SJ</vt:lpstr>
      <vt:lpstr>Swing System Parts</vt:lpstr>
      <vt:lpstr>Main Pump System SJ</vt:lpstr>
      <vt:lpstr>Main Pump System Parts</vt:lpstr>
      <vt:lpstr>HYD DIV SJ BY SYSTEM</vt:lpstr>
      <vt:lpstr>HYD DIV Critical Parts by SYS</vt:lpstr>
      <vt:lpstr>MCIA Cases</vt:lpstr>
      <vt:lpstr>MCIA Root Causes</vt:lpstr>
      <vt:lpstr>MCIA CA</vt:lpstr>
      <vt:lpstr>Summary Recommendations</vt:lpstr>
      <vt:lpstr>Action Tab</vt:lpstr>
    </vt:vector>
  </TitlesOfParts>
  <Company>GLDD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Parks</dc:creator>
  <cp:lastModifiedBy>Fleming, Timothy S</cp:lastModifiedBy>
  <cp:lastPrinted>2020-03-26T16:20:04Z</cp:lastPrinted>
  <dcterms:created xsi:type="dcterms:W3CDTF">2018-12-05T16:21:32Z</dcterms:created>
  <dcterms:modified xsi:type="dcterms:W3CDTF">2021-12-21T17:09:25Z</dcterms:modified>
</cp:coreProperties>
</file>